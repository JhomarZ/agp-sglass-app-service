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2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drawings/drawing3.xml" ContentType="application/vnd.openxmlformats-officedocument.drawing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drawings/drawing4.xml" ContentType="application/vnd.openxmlformats-officedocument.drawing+xml"/>
  <Override PartName="/xl/ctrlProps/ctrlProp29.xml" ContentType="application/vnd.ms-excel.controlproperties+xml"/>
  <Override PartName="/xl/ctrlProps/ctrlProp30.xml" ContentType="application/vnd.ms-excel.controlproperties+xml"/>
  <Override PartName="/xl/ctrlProps/ctrlProp31.xml" ContentType="application/vnd.ms-excel.controlproperties+xml"/>
  <Override PartName="/xl/ctrlProps/ctrlProp32.xml" ContentType="application/vnd.ms-excel.controlproperties+xml"/>
  <Override PartName="/xl/ctrlProps/ctrlProp33.xml" ContentType="application/vnd.ms-excel.controlproperties+xml"/>
  <Override PartName="/xl/ctrlProps/ctrlProp34.xml" ContentType="application/vnd.ms-excel.controlproperties+xml"/>
  <Override PartName="/xl/ctrlProps/ctrlProp35.xml" ContentType="application/vnd.ms-excel.controlproperties+xml"/>
  <Override PartName="/xl/ctrlProps/ctrlProp36.xml" ContentType="application/vnd.ms-excel.controlproperties+xml"/>
  <Override PartName="/xl/ctrlProps/ctrlProp37.xml" ContentType="application/vnd.ms-excel.controlproperties+xml"/>
  <Override PartName="/xl/ctrlProps/ctrlProp38.xml" ContentType="application/vnd.ms-excel.controlproperties+xml"/>
  <Override PartName="/xl/comments4.xml" ContentType="application/vnd.openxmlformats-officedocument.spreadsheetml.comments+xml"/>
  <Override PartName="/xl/threadedComments/threadedComment4.xml" ContentType="application/vnd.ms-excel.threadedcomments+xml"/>
  <Override PartName="/xl/drawings/drawing5.xml" ContentType="application/vnd.openxmlformats-officedocument.drawing+xml"/>
  <Override PartName="/xl/ctrlProps/ctrlProp39.xml" ContentType="application/vnd.ms-excel.controlproperties+xml"/>
  <Override PartName="/xl/ctrlProps/ctrlProp40.xml" ContentType="application/vnd.ms-excel.controlproperties+xml"/>
  <Override PartName="/xl/ctrlProps/ctrlProp41.xml" ContentType="application/vnd.ms-excel.controlproperties+xml"/>
  <Override PartName="/xl/ctrlProps/ctrlProp42.xml" ContentType="application/vnd.ms-excel.controlproperties+xml"/>
  <Override PartName="/xl/ctrlProps/ctrlProp43.xml" ContentType="application/vnd.ms-excel.controlproperties+xml"/>
  <Override PartName="/xl/ctrlProps/ctrlProp44.xml" ContentType="application/vnd.ms-excel.controlproperties+xml"/>
  <Override PartName="/xl/ctrlProps/ctrlProp45.xml" ContentType="application/vnd.ms-excel.controlproperties+xml"/>
  <Override PartName="/xl/ctrlProps/ctrlProp46.xml" ContentType="application/vnd.ms-excel.controlproperties+xml"/>
  <Override PartName="/xl/ctrlProps/ctrlProp47.xml" ContentType="application/vnd.ms-excel.controlproperties+xml"/>
  <Override PartName="/xl/ctrlProps/ctrlProp48.xml" ContentType="application/vnd.ms-excel.controlproperties+xml"/>
  <Override PartName="/xl/ctrlProps/ctrlProp49.xml" ContentType="application/vnd.ms-excel.controlproperties+xml"/>
  <Override PartName="/xl/ctrlProps/ctrlProp50.xml" ContentType="application/vnd.ms-excel.controlproperties+xml"/>
  <Override PartName="/xl/ctrlProps/ctrlProp51.xml" ContentType="application/vnd.ms-excel.controlproperties+xml"/>
  <Override PartName="/xl/ctrlProps/ctrlProp52.xml" ContentType="application/vnd.ms-excel.controlproperties+xml"/>
  <Override PartName="/xl/ctrlProps/ctrlProp53.xml" ContentType="application/vnd.ms-excel.controlproperties+xml"/>
  <Override PartName="/xl/ctrlProps/ctrlProp54.xml" ContentType="application/vnd.ms-excel.controlproperties+xml"/>
  <Override PartName="/xl/ctrlProps/ctrlProp55.xml" ContentType="application/vnd.ms-excel.controlproperties+xml"/>
  <Override PartName="/xl/ctrlProps/ctrlProp56.xml" ContentType="application/vnd.ms-excel.controlproperties+xml"/>
  <Override PartName="/xl/ctrlProps/ctrlProp57.xml" ContentType="application/vnd.ms-excel.controlproperties+xml"/>
  <Override PartName="/xl/comments5.xml" ContentType="application/vnd.openxmlformats-officedocument.spreadsheetml.comments+xml"/>
  <Override PartName="/xl/threadedComments/threadedComment5.xml" ContentType="application/vnd.ms-excel.threadedcomments+xml"/>
  <Override PartName="/xl/drawings/drawing6.xml" ContentType="application/vnd.openxmlformats-officedocument.drawing+xml"/>
  <Override PartName="/xl/ctrlProps/ctrlProp58.xml" ContentType="application/vnd.ms-excel.controlproperties+xml"/>
  <Override PartName="/xl/ctrlProps/ctrlProp59.xml" ContentType="application/vnd.ms-excel.controlproperties+xml"/>
  <Override PartName="/xl/ctrlProps/ctrlProp60.xml" ContentType="application/vnd.ms-excel.controlproperties+xml"/>
  <Override PartName="/xl/ctrlProps/ctrlProp61.xml" ContentType="application/vnd.ms-excel.controlproperties+xml"/>
  <Override PartName="/xl/ctrlProps/ctrlProp62.xml" ContentType="application/vnd.ms-excel.controlproperties+xml"/>
  <Override PartName="/xl/ctrlProps/ctrlProp63.xml" ContentType="application/vnd.ms-excel.controlproperties+xml"/>
  <Override PartName="/xl/ctrlProps/ctrlProp64.xml" ContentType="application/vnd.ms-excel.controlproperties+xml"/>
  <Override PartName="/xl/ctrlProps/ctrlProp65.xml" ContentType="application/vnd.ms-excel.controlproperties+xml"/>
  <Override PartName="/xl/ctrlProps/ctrlProp66.xml" ContentType="application/vnd.ms-excel.controlproperties+xml"/>
  <Override PartName="/xl/ctrlProps/ctrlProp67.xml" ContentType="application/vnd.ms-excel.controlproperties+xml"/>
  <Override PartName="/xl/comments6.xml" ContentType="application/vnd.openxmlformats-officedocument.spreadsheetml.comments+xml"/>
  <Override PartName="/xl/threadedComments/threadedComment6.xml" ContentType="application/vnd.ms-excel.threadedcomments+xml"/>
  <Override PartName="/xl/drawings/drawing7.xml" ContentType="application/vnd.openxmlformats-officedocument.drawing+xml"/>
  <Override PartName="/xl/ctrlProps/ctrlProp68.xml" ContentType="application/vnd.ms-excel.controlproperties+xml"/>
  <Override PartName="/xl/ctrlProps/ctrlProp69.xml" ContentType="application/vnd.ms-excel.controlproperties+xml"/>
  <Override PartName="/xl/ctrlProps/ctrlProp70.xml" ContentType="application/vnd.ms-excel.controlproperties+xml"/>
  <Override PartName="/xl/ctrlProps/ctrlProp71.xml" ContentType="application/vnd.ms-excel.controlproperties+xml"/>
  <Override PartName="/xl/ctrlProps/ctrlProp72.xml" ContentType="application/vnd.ms-excel.controlproperties+xml"/>
  <Override PartName="/xl/ctrlProps/ctrlProp73.xml" ContentType="application/vnd.ms-excel.controlproperties+xml"/>
  <Override PartName="/xl/ctrlProps/ctrlProp74.xml" ContentType="application/vnd.ms-excel.controlproperties+xml"/>
  <Override PartName="/xl/ctrlProps/ctrlProp75.xml" ContentType="application/vnd.ms-excel.controlproperties+xml"/>
  <Override PartName="/xl/ctrlProps/ctrlProp76.xml" ContentType="application/vnd.ms-excel.controlproperties+xml"/>
  <Override PartName="/xl/ctrlProps/ctrlProp77.xml" ContentType="application/vnd.ms-excel.controlproperties+xml"/>
  <Override PartName="/xl/comments7.xml" ContentType="application/vnd.openxmlformats-officedocument.spreadsheetml.comments+xml"/>
  <Override PartName="/xl/threadedComments/threadedComment7.xml" ContentType="application/vnd.ms-excel.threadedcomments+xml"/>
  <Override PartName="/xl/drawings/drawing8.xml" ContentType="application/vnd.openxmlformats-officedocument.drawing+xml"/>
  <Override PartName="/xl/ctrlProps/ctrlProp78.xml" ContentType="application/vnd.ms-excel.controlproperties+xml"/>
  <Override PartName="/xl/ctrlProps/ctrlProp79.xml" ContentType="application/vnd.ms-excel.controlproperties+xml"/>
  <Override PartName="/xl/ctrlProps/ctrlProp80.xml" ContentType="application/vnd.ms-excel.controlproperties+xml"/>
  <Override PartName="/xl/ctrlProps/ctrlProp81.xml" ContentType="application/vnd.ms-excel.controlproperties+xml"/>
  <Override PartName="/xl/ctrlProps/ctrlProp82.xml" ContentType="application/vnd.ms-excel.controlproperties+xml"/>
  <Override PartName="/xl/ctrlProps/ctrlProp83.xml" ContentType="application/vnd.ms-excel.controlproperties+xml"/>
  <Override PartName="/xl/ctrlProps/ctrlProp84.xml" ContentType="application/vnd.ms-excel.controlproperties+xml"/>
  <Override PartName="/xl/ctrlProps/ctrlProp85.xml" ContentType="application/vnd.ms-excel.controlproperties+xml"/>
  <Override PartName="/xl/ctrlProps/ctrlProp86.xml" ContentType="application/vnd.ms-excel.controlproperties+xml"/>
  <Override PartName="/xl/ctrlProps/ctrlProp87.xml" ContentType="application/vnd.ms-excel.controlproperties+xml"/>
  <Override PartName="/xl/comments8.xml" ContentType="application/vnd.openxmlformats-officedocument.spreadsheetml.comments+xml"/>
  <Override PartName="/xl/threadedComments/threadedComment8.xml" ContentType="application/vnd.ms-excel.threadedcomments+xml"/>
  <Override PartName="/xl/drawings/drawing9.xml" ContentType="application/vnd.openxmlformats-officedocument.drawing+xml"/>
  <Override PartName="/xl/ctrlProps/ctrlProp88.xml" ContentType="application/vnd.ms-excel.controlproperties+xml"/>
  <Override PartName="/xl/ctrlProps/ctrlProp89.xml" ContentType="application/vnd.ms-excel.controlproperties+xml"/>
  <Override PartName="/xl/ctrlProps/ctrlProp90.xml" ContentType="application/vnd.ms-excel.controlproperties+xml"/>
  <Override PartName="/xl/ctrlProps/ctrlProp91.xml" ContentType="application/vnd.ms-excel.controlproperties+xml"/>
  <Override PartName="/xl/ctrlProps/ctrlProp92.xml" ContentType="application/vnd.ms-excel.controlproperties+xml"/>
  <Override PartName="/xl/ctrlProps/ctrlProp93.xml" ContentType="application/vnd.ms-excel.controlproperties+xml"/>
  <Override PartName="/xl/ctrlProps/ctrlProp94.xml" ContentType="application/vnd.ms-excel.controlproperties+xml"/>
  <Override PartName="/xl/ctrlProps/ctrlProp95.xml" ContentType="application/vnd.ms-excel.controlproperties+xml"/>
  <Override PartName="/xl/ctrlProps/ctrlProp96.xml" ContentType="application/vnd.ms-excel.controlproperties+xml"/>
  <Override PartName="/xl/ctrlProps/ctrlProp97.xml" ContentType="application/vnd.ms-excel.controlproperties+xml"/>
  <Override PartName="/xl/comments9.xml" ContentType="application/vnd.openxmlformats-officedocument.spreadsheetml.comments+xml"/>
  <Override PartName="/xl/threadedComments/threadedComment9.xml" ContentType="application/vnd.ms-excel.threadedcomments+xml"/>
  <Override PartName="/xl/drawings/drawing10.xml" ContentType="application/vnd.openxmlformats-officedocument.drawing+xml"/>
  <Override PartName="/xl/ctrlProps/ctrlProp98.xml" ContentType="application/vnd.ms-excel.controlproperties+xml"/>
  <Override PartName="/xl/ctrlProps/ctrlProp99.xml" ContentType="application/vnd.ms-excel.controlproperties+xml"/>
  <Override PartName="/xl/ctrlProps/ctrlProp100.xml" ContentType="application/vnd.ms-excel.controlproperties+xml"/>
  <Override PartName="/xl/ctrlProps/ctrlProp101.xml" ContentType="application/vnd.ms-excel.controlproperties+xml"/>
  <Override PartName="/xl/ctrlProps/ctrlProp102.xml" ContentType="application/vnd.ms-excel.controlproperties+xml"/>
  <Override PartName="/xl/ctrlProps/ctrlProp103.xml" ContentType="application/vnd.ms-excel.controlproperties+xml"/>
  <Override PartName="/xl/ctrlProps/ctrlProp104.xml" ContentType="application/vnd.ms-excel.controlproperties+xml"/>
  <Override PartName="/xl/ctrlProps/ctrlProp105.xml" ContentType="application/vnd.ms-excel.controlproperties+xml"/>
  <Override PartName="/xl/ctrlProps/ctrlProp106.xml" ContentType="application/vnd.ms-excel.controlproperties+xml"/>
  <Override PartName="/xl/ctrlProps/ctrlProp107.xml" ContentType="application/vnd.ms-excel.controlproperties+xml"/>
  <Override PartName="/xl/comments10.xml" ContentType="application/vnd.openxmlformats-officedocument.spreadsheetml.comments+xml"/>
  <Override PartName="/xl/threadedComments/threadedComment10.xml" ContentType="application/vnd.ms-excel.threadedcomments+xml"/>
  <Override PartName="/xl/drawings/drawing11.xml" ContentType="application/vnd.openxmlformats-officedocument.drawing+xml"/>
  <Override PartName="/xl/ctrlProps/ctrlProp108.xml" ContentType="application/vnd.ms-excel.controlproperties+xml"/>
  <Override PartName="/xl/ctrlProps/ctrlProp109.xml" ContentType="application/vnd.ms-excel.controlproperties+xml"/>
  <Override PartName="/xl/ctrlProps/ctrlProp110.xml" ContentType="application/vnd.ms-excel.controlproperties+xml"/>
  <Override PartName="/xl/ctrlProps/ctrlProp111.xml" ContentType="application/vnd.ms-excel.controlproperties+xml"/>
  <Override PartName="/xl/ctrlProps/ctrlProp112.xml" ContentType="application/vnd.ms-excel.controlproperties+xml"/>
  <Override PartName="/xl/ctrlProps/ctrlProp113.xml" ContentType="application/vnd.ms-excel.controlproperties+xml"/>
  <Override PartName="/xl/ctrlProps/ctrlProp114.xml" ContentType="application/vnd.ms-excel.controlproperties+xml"/>
  <Override PartName="/xl/ctrlProps/ctrlProp115.xml" ContentType="application/vnd.ms-excel.controlproperties+xml"/>
  <Override PartName="/xl/ctrlProps/ctrlProp116.xml" ContentType="application/vnd.ms-excel.controlproperties+xml"/>
  <Override PartName="/xl/ctrlProps/ctrlProp117.xml" ContentType="application/vnd.ms-excel.controlproperties+xml"/>
  <Override PartName="/xl/comments11.xml" ContentType="application/vnd.openxmlformats-officedocument.spreadsheetml.comments+xml"/>
  <Override PartName="/xl/threadedComments/threadedComment11.xml" ContentType="application/vnd.ms-excel.threadedcomments+xml"/>
  <Override PartName="/xl/drawings/drawing12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codeName="ThisWorkbook"/>
  <mc:AlternateContent xmlns:mc="http://schemas.openxmlformats.org/markup-compatibility/2006">
    <mc:Choice Requires="x15">
      <x15ac:absPath xmlns:x15ac="http://schemas.microsoft.com/office/spreadsheetml/2010/11/ac" url="https://agpglass-my.sharepoint.com/personal/evasquez_agpglass_com/Documents/Archivos de chat de Microsoft Teams/"/>
    </mc:Choice>
  </mc:AlternateContent>
  <xr:revisionPtr revIDLastSave="2" documentId="13_ncr:1_{6C9AAA65-DEBC-42B3-AD61-D146017FE2FC}" xr6:coauthVersionLast="47" xr6:coauthVersionMax="47" xr10:uidLastSave="{8091993E-7405-40F7-BD9E-7493CEEB6DFA}"/>
  <bookViews>
    <workbookView xWindow="-120" yWindow="-120" windowWidth="20730" windowHeight="11160" tabRatio="884" activeTab="11" xr2:uid="{00000000-000D-0000-FFFF-FFFF00000000}"/>
  </bookViews>
  <sheets>
    <sheet name="DATOS" sheetId="7" r:id="rId1"/>
    <sheet name="TERMO" sheetId="11" r:id="rId2"/>
    <sheet name="DISTORSION" sheetId="22" r:id="rId3"/>
    <sheet name="DOBLE IMAGEN" sheetId="16" r:id="rId4"/>
    <sheet name="ACCESSORIES" sheetId="15" r:id="rId5"/>
    <sheet name="BN" sheetId="17" r:id="rId6"/>
    <sheet name="SERIGRAFIA" sheetId="20" r:id="rId7"/>
    <sheet name="TNT" sheetId="18" r:id="rId8"/>
    <sheet name="PC" sheetId="21" r:id="rId9"/>
    <sheet name="TORKER" sheetId="27" r:id="rId10"/>
    <sheet name="STICKER ADUANA" sheetId="23" r:id="rId11"/>
    <sheet name="Lista Defeitos" sheetId="10" r:id="rId12"/>
    <sheet name="VARIABLES" sheetId="5" state="hidden" r:id="rId13"/>
    <sheet name="POSICIONES" sheetId="6" state="hidden" r:id="rId14"/>
    <sheet name="parametros" sheetId="3" state="hidden" r:id="rId15"/>
  </sheets>
  <externalReferences>
    <externalReference r:id="rId16"/>
  </externalReferences>
  <definedNames>
    <definedName name="_xlnm._FilterDatabase" localSheetId="11" hidden="1">'Lista Defeitos'!$B$2:$C$121</definedName>
    <definedName name="_xlnm.Print_Area" localSheetId="4">ACCESSORIES!$A$1:$P$47</definedName>
    <definedName name="_xlnm.Print_Area" localSheetId="5">BN!$A$1:$P$53</definedName>
    <definedName name="_xlnm.Print_Area" localSheetId="0">DATOS!$A$1:$AW$87</definedName>
    <definedName name="_xlnm.Print_Area" localSheetId="2">DISTORSION!$A$1:$J$70</definedName>
    <definedName name="_xlnm.Print_Area" localSheetId="3">'DOBLE IMAGEN'!$A$1:$I$45</definedName>
    <definedName name="_xlnm.Print_Area" localSheetId="8">PC!$A$1:$N$53</definedName>
    <definedName name="_xlnm.Print_Area" localSheetId="6">SERIGRAFIA!$A$1:$P$53</definedName>
    <definedName name="_xlnm.Print_Area" localSheetId="10">'STICKER ADUANA'!$A$1:$N$37</definedName>
    <definedName name="_xlnm.Print_Area" localSheetId="1">TERMO!$A$1:$P$43</definedName>
    <definedName name="_xlnm.Print_Area" localSheetId="7">TNT!$A$1:$M$52</definedName>
    <definedName name="_xlnm.Print_Area" localSheetId="9">TORKER!$A$1:$N$48</definedName>
    <definedName name="G">#REF!</definedName>
    <definedName name="H">#REF!</definedName>
    <definedName name="HOLA">POSICIONES!$C$10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4" i="11" l="1"/>
  <c r="L4" i="27" l="1"/>
  <c r="L4" i="23"/>
  <c r="L4" i="21"/>
  <c r="J4" i="18"/>
  <c r="M4" i="20"/>
  <c r="M4" i="17"/>
  <c r="M4" i="15"/>
  <c r="G6" i="16"/>
  <c r="H6" i="22"/>
  <c r="F38" i="11"/>
  <c r="C4" i="11"/>
  <c r="C4" i="18"/>
  <c r="C4" i="20" s="1"/>
  <c r="E66" i="22"/>
  <c r="F42" i="15" s="1"/>
  <c r="F48" i="17" s="1"/>
  <c r="F48" i="20" s="1"/>
  <c r="E47" i="18" s="1"/>
  <c r="F43" i="27" l="1"/>
  <c r="F32" i="23" s="1"/>
  <c r="F48" i="21"/>
  <c r="D40" i="16"/>
  <c r="D6" i="22"/>
  <c r="H7" i="22"/>
  <c r="B2" i="5" l="1"/>
  <c r="C5" i="27"/>
  <c r="C4" i="27"/>
  <c r="C5" i="23"/>
  <c r="C5" i="21"/>
  <c r="C5" i="18"/>
  <c r="C5" i="17"/>
  <c r="C5" i="15"/>
  <c r="C4" i="15"/>
  <c r="C7" i="16"/>
  <c r="H34" i="22"/>
  <c r="H35" i="22" s="1"/>
  <c r="G34" i="22"/>
  <c r="G35" i="22" s="1"/>
  <c r="F34" i="22"/>
  <c r="F35" i="22" s="1"/>
  <c r="E34" i="22"/>
  <c r="E35" i="22" s="1"/>
  <c r="H28" i="22"/>
  <c r="G28" i="22"/>
  <c r="F28" i="22"/>
  <c r="E28" i="22"/>
  <c r="D7" i="22"/>
  <c r="L18" i="11"/>
  <c r="H18" i="11"/>
  <c r="L17" i="11"/>
  <c r="H17" i="11"/>
  <c r="L16" i="11"/>
  <c r="H16" i="11"/>
  <c r="L15" i="11"/>
  <c r="H15" i="11"/>
  <c r="C5" i="11"/>
  <c r="C6" i="16"/>
  <c r="K60" i="7"/>
  <c r="K59" i="7"/>
  <c r="K58" i="7"/>
  <c r="K57" i="7"/>
  <c r="K56" i="7"/>
  <c r="C4" i="23" l="1"/>
  <c r="C4" i="21"/>
  <c r="C4" i="17"/>
  <c r="E36" i="22"/>
  <c r="E37" i="22" s="1"/>
  <c r="F36" i="22"/>
  <c r="F37" i="22" s="1"/>
  <c r="G36" i="22"/>
  <c r="G37" i="22" s="1"/>
  <c r="H36" i="22"/>
  <c r="H37" i="2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tc={525BF156-5564-49AD-84BF-8F00BD68B04E}</author>
    <author>tc={A57F0B58-B0BA-43A9-AEF1-902C63764605}</author>
    <author>tc={DA4FFC63-4874-49E3-824A-F180980FA8A7}</author>
    <author>tc={883CB1AA-BE4F-4EEF-916B-67C588C7F61F}</author>
    <author>tc={8298787D-E719-48D3-B286-15AED031DD92}</author>
    <author>tc={6FBDC7AE-92E2-48E2-82C8-23ABFAB983F7}</author>
    <author>tc={5AF988A6-57AC-411B-8013-8D43C796FD01}</author>
    <author>tc={22E98CE0-AEF8-4756-BAC1-2535CF3C2CCC}</author>
    <author>tc={1C2ADDC1-DC53-4B67-8F7E-94FCF707A4E9}</author>
    <author>tc={1D323E19-D5B9-4CE6-945E-A95AA8B42D89}</author>
    <author>tc={BEE125A6-9B1C-4BEA-BF6C-463A22EB5C3E}</author>
    <author>tc={8A4A1073-28C5-43B1-B329-05445F7B6C62}</author>
    <author>tc={BEC35A51-3949-46A4-BB8A-76C23C6D724C}</author>
    <author>tc={B407E35D-DF81-4883-A34E-C7E9A4E2743F}</author>
    <author>tc={8866DAFD-E6E7-473B-B1DA-7C6B79B9A2E7}</author>
    <author>tc={17455E46-8131-4942-884F-14D739E6F39C}</author>
  </authors>
  <commentList>
    <comment ref="E7" authorId="0" shapeId="0" xr:uid="{525BF156-5564-49AD-84BF-8F00BD68B04E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Traer de SAP</t>
      </text>
    </comment>
    <comment ref="AE7" authorId="1" shapeId="0" xr:uid="{A57F0B58-B0BA-43A9-AEF1-902C63764605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Traer de SAP</t>
      </text>
    </comment>
    <comment ref="AR7" authorId="2" shapeId="0" xr:uid="{DA4FFC63-4874-49E3-824A-F180980FA8A7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Traer de SAP</t>
      </text>
    </comment>
    <comment ref="E8" authorId="3" shapeId="0" xr:uid="{883CB1AA-BE4F-4EEF-916B-67C588C7F61F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Traer de SAP</t>
      </text>
    </comment>
    <comment ref="AE8" authorId="4" shapeId="0" xr:uid="{8298787D-E719-48D3-B286-15AED031DD92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Traer de SAP</t>
      </text>
    </comment>
    <comment ref="AR8" authorId="5" shapeId="0" xr:uid="{6FBDC7AE-92E2-48E2-82C8-23ABFAB983F7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Traer de sap</t>
      </text>
    </comment>
    <comment ref="E9" authorId="6" shapeId="0" xr:uid="{5AF988A6-57AC-411B-8013-8D43C796FD01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Traer de SAP</t>
      </text>
    </comment>
    <comment ref="AR9" authorId="7" shapeId="0" xr:uid="{22E98CE0-AEF8-4756-BAC1-2535CF3C2CCC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Traer de GORDON
</t>
      </text>
    </comment>
    <comment ref="B11" authorId="8" shapeId="0" xr:uid="{1C2ADDC1-DC53-4B67-8F7E-94FCF707A4E9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Colocar la imagen en la celda J14
</t>
      </text>
    </comment>
    <comment ref="AR49" authorId="9" shapeId="0" xr:uid="{1D323E19-D5B9-4CE6-945E-A95AA8B42D89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Cambiar el Dt y poner IT</t>
      </text>
    </comment>
    <comment ref="K63" authorId="10" shapeId="0" xr:uid="{BEE125A6-9B1C-4BEA-BF6C-463A22EB5C3E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Poner X 
Respuesta:
    ID 322</t>
      </text>
    </comment>
    <comment ref="AL63" authorId="11" shapeId="0" xr:uid="{8A4A1073-28C5-43B1-B329-05445F7B6C62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Poner X</t>
      </text>
    </comment>
    <comment ref="K67" authorId="12" shapeId="0" xr:uid="{BEC35A51-3949-46A4-BB8A-76C23C6D724C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Pasar la info de Sap y un ¨+Promedio de los espesores ¨
Respuesta:
    ID 297 </t>
      </text>
    </comment>
    <comment ref="N83" authorId="13" shapeId="0" xr:uid="{B407E35D-DF81-4883-A34E-C7E9A4E2743F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NOMBRE INSPECTOR QUE GENERA CERTIFICADO </t>
      </text>
    </comment>
    <comment ref="AS84" authorId="14" shapeId="0" xr:uid="{8866DAFD-E6E7-473B-B1DA-7C6B79B9A2E7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Combinar las celdas AS ; AT ; AU y poner la fecha  </t>
      </text>
    </comment>
    <comment ref="AV86" authorId="15" shapeId="0" xr:uid="{17455E46-8131-4942-884F-14D739E6F39C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Ajustar el tema de  pagina  a 11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tc={EEABE908-BC67-494E-9FAF-AF1B2AAF9A73}</author>
    <author>tc={5ABB52E6-1E93-47E4-BE54-3732A0CFF979}</author>
    <author>tc={4A3F4F91-AED1-4BA6-99B7-4DDF079A2557}</author>
    <author>tc={7D2E42AE-0CBC-49C6-ABF8-AD79B28FE1C6}</author>
    <author>tc={68727FB5-5D41-4DE5-8F98-117E8B812B11}</author>
    <author>tc={422FFF4E-9287-415C-A4C8-74C8F1377951}</author>
    <author>tc={3B6BFCD7-6FA1-456C-BC3C-FCF110F94B80}</author>
    <author>tc={F963049A-B2C9-4351-8480-128D17140A3D}</author>
    <author>tc={C3AA824A-643D-4C6F-A278-7EF4E5CB7E23}</author>
    <author>tc={EF97E2BC-673A-4293-A1D0-C94D703410CD}</author>
  </authors>
  <commentList>
    <comment ref="M4" authorId="0" shapeId="0" xr:uid="{EEABE908-BC67-494E-9FAF-AF1B2AAF9A73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Vincular la fecha a  "=DATOS!AS84" </t>
      </text>
    </comment>
    <comment ref="M18" authorId="1" shapeId="0" xr:uid="{5ABB52E6-1E93-47E4-BE54-3732A0CFF979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NUEVO DATO, PONER PARAMETRO DE GORDON 726</t>
      </text>
    </comment>
    <comment ref="B20" authorId="2" shapeId="0" xr:uid="{4A3F4F91-AED1-4BA6-99B7-4DDF079A2557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Poner imagen en celda B21
Respuesta:
    ID 329 </t>
      </text>
    </comment>
    <comment ref="E20" authorId="3" shapeId="0" xr:uid="{7D2E42AE-0CBC-49C6-ABF8-AD79B28FE1C6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Parametro de gordon , colocar imagen en la celda F21 
Respuesta:
    ID 330 </t>
      </text>
    </comment>
    <comment ref="L20" authorId="4" shapeId="0" xr:uid="{68727FB5-5D41-4DE5-8F98-117E8B812B11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Parametro gordon 369 , Colocar imagen en la celda  M21  </t>
      </text>
    </comment>
    <comment ref="B34" authorId="5" shapeId="0" xr:uid="{422FFF4E-9287-415C-A4C8-74C8F1377951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Colocar imagen celda B34</t>
      </text>
    </comment>
    <comment ref="E34" authorId="6" shapeId="0" xr:uid="{3B6BFCD7-6FA1-456C-BC3C-FCF110F94B8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Colocar imagen en la celda F 34</t>
      </text>
    </comment>
    <comment ref="L34" authorId="7" shapeId="0" xr:uid="{F963049A-B2C9-4351-8480-128D17140A3D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Colocar imagen en la celda L34</t>
      </text>
    </comment>
    <comment ref="F38" authorId="8" shapeId="0" xr:uid="{C3AA824A-643D-4C6F-A278-7EF4E5CB7E23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Traer nombre inspector de gordon</t>
      </text>
    </comment>
    <comment ref="N42" authorId="9" shapeId="0" xr:uid="{EF97E2BC-673A-4293-A1D0-C94D703410CD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Colocar el rango hasta 11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tc={5BCBDD42-751A-4634-9823-976B3A3F5BC4}</author>
    <author>tc={46CC3FE2-3FE3-4E44-ACED-D029DD86F20D}</author>
    <author>tc={D59A924B-C446-4C76-A8DF-94BB66AED466}</author>
    <author>tc={BDFDB8F0-322B-4CAA-B650-9C19617843CA}</author>
    <author>tc={EBA6F145-8A1A-4D86-8B6D-0B2686F7DE4C}</author>
    <author>tc={4F9DAA5F-47C4-4FCC-B8DF-D78FDA1FE0C3}</author>
    <author>tc={79392F61-AC3E-4A15-932C-9AD173C2139C}</author>
    <author>tc={B04B031D-9DE0-4737-8669-DE424B653309}</author>
    <author>tc={09877ADC-E117-4A3E-991F-1D5EE4F8931D}</author>
    <author>tc={017C7FE8-4885-4C36-9B4D-16B69A84B609}</author>
  </authors>
  <commentList>
    <comment ref="H6" authorId="0" shapeId="0" xr:uid="{5BCBDD42-751A-4634-9823-976B3A3F5BC4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Vincular la fecha a  "=DATOS!AS84"</t>
      </text>
    </comment>
    <comment ref="B25" authorId="1" shapeId="0" xr:uid="{46CC3FE2-3FE3-4E44-ACED-D029DD86F20D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Ocultar las filas desde la 26 hasta la 37</t>
      </text>
    </comment>
    <comment ref="B41" authorId="2" shapeId="0" xr:uid="{D59A924B-C446-4C76-A8DF-94BB66AED466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Centrar imagen en la celda B42</t>
      </text>
    </comment>
    <comment ref="E41" authorId="3" shapeId="0" xr:uid="{BDFDB8F0-322B-4CAA-B650-9C19617843CA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Traer la imagen de Gordon "Distorsión sin cebra " y Centrar imagen  en la celda E42
Respuesta:
    ID 269
</t>
      </text>
    </comment>
    <comment ref="G41" authorId="4" shapeId="0" xr:uid="{EBA6F145-8A1A-4D86-8B6D-0B2686F7DE4C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Centrar imagen  en la celda G42</t>
      </text>
    </comment>
    <comment ref="B52" authorId="5" shapeId="0" xr:uid="{4F9DAA5F-47C4-4FCC-B8DF-D78FDA1FE0C3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Centrar imagen  en la celda B53
</t>
      </text>
    </comment>
    <comment ref="E52" authorId="6" shapeId="0" xr:uid="{79392F61-AC3E-4A15-932C-9AD173C2139C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Traer la imagen de Gordon "Foto de distorsión con paisaje "y centrar imagen  en la celda E53
Respuesta:
    ID  365
</t>
      </text>
    </comment>
    <comment ref="G52" authorId="7" shapeId="0" xr:uid="{B04B031D-9DE0-4737-8669-DE424B653309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Centrar imagen  en la celda G53</t>
      </text>
    </comment>
    <comment ref="E66" authorId="8" shapeId="0" xr:uid="{09877ADC-E117-4A3E-991F-1D5EE4F8931D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Traer nombre inspector gordon</t>
      </text>
    </comment>
    <comment ref="H69" authorId="9" shapeId="0" xr:uid="{017C7FE8-4885-4C36-9B4D-16B69A84B609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Revisar que sea hasta 11</t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tc={DA7C0314-2F99-4D6A-A387-2ABB14D75F40}</author>
    <author>tc={84609E7F-19D3-4362-A4E1-446EAA3C31A3}</author>
    <author>tc={C8F3FC1A-6172-4762-B4CD-E8128192535B}</author>
    <author>tc={293F4416-0E41-4E45-9DE7-887404D732AE}</author>
  </authors>
  <commentList>
    <comment ref="G6" authorId="0" shapeId="0" xr:uid="{DA7C0314-2F99-4D6A-A387-2ABB14D75F4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Vincular la fecha a  "=DATOS!AS84"</t>
      </text>
    </comment>
    <comment ref="D26" authorId="1" shapeId="0" xr:uid="{84609E7F-19D3-4362-A4E1-446EAA3C31A3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Centrar imagen  en la celda D27</t>
      </text>
    </comment>
    <comment ref="D40" authorId="2" shapeId="0" xr:uid="{C8F3FC1A-6172-4762-B4CD-E8128192535B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Traer nombre inspector gordon</t>
      </text>
    </comment>
    <comment ref="G44" authorId="3" shapeId="0" xr:uid="{293F4416-0E41-4E45-9DE7-887404D732AE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Revisar que sea hasta 11</t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tc={A95AFC13-282D-46CB-AC43-2C33EE167C1F}</author>
    <author>tc={F4B1C23E-FFD6-4391-A505-A3FF6284C0AA}</author>
    <author>tc={DE5A6B02-6C62-48AC-A92F-6AF294249EDD}</author>
    <author>tc={8CA18744-234A-49AE-BB19-CD2F8CD686F7}</author>
    <author>tc={2E1CB8E2-EAF7-40A4-BCD9-55C9E849DD51}</author>
    <author>tc={57552779-C27C-4C60-9B90-90BD9FEE79E9}</author>
    <author>tc={FC38A818-04C9-438A-800A-2E961E782874}</author>
    <author>tc={F7E8CCBA-FED2-4DAB-88E0-3E5BF123649F}</author>
    <author>tc={3062B805-AD28-4F99-A016-A5E7A769AEF2}</author>
    <author>tc={D65E6004-8491-4115-B992-1ECF70C2F50A}</author>
    <author>tc={2AE0B57A-9399-479B-9720-D3BF6447AE82}</author>
    <author>tc={EE08F66F-4E13-49BA-ADE5-ED1B0A9C2059}</author>
  </authors>
  <commentList>
    <comment ref="M4" authorId="0" shapeId="0" xr:uid="{A95AFC13-282D-46CB-AC43-2C33EE167C1F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Vincular la fecha a  "=DATOS!AS84"</t>
      </text>
    </comment>
    <comment ref="B15" authorId="1" shapeId="0" xr:uid="{F4B1C23E-FFD6-4391-A505-A3FF6284C0AA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Ajustar imagen en celda B15  </t>
      </text>
    </comment>
    <comment ref="D15" authorId="2" shapeId="0" xr:uid="{DE5A6B02-6C62-48AC-A92F-6AF294249EDD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Ajustar imagen en celda E15  </t>
      </text>
    </comment>
    <comment ref="I15" authorId="3" shapeId="0" xr:uid="{8CA18744-234A-49AE-BB19-CD2F8CD686F7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Ajustar imagen en celda J15  </t>
      </text>
    </comment>
    <comment ref="M15" authorId="4" shapeId="0" xr:uid="{2E1CB8E2-EAF7-40A4-BCD9-55C9E849DD51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Ajustar imagen en celda M15  
</t>
      </text>
    </comment>
    <comment ref="C27" authorId="5" shapeId="0" xr:uid="{57552779-C27C-4C60-9B90-90BD9FEE79E9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Ajustar imagen a celda C27</t>
      </text>
    </comment>
    <comment ref="G27" authorId="6" shapeId="0" xr:uid="{FC38A818-04C9-438A-800A-2E961E782874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Ajustar imagen a celda H27</t>
      </text>
    </comment>
    <comment ref="L27" authorId="7" shapeId="0" xr:uid="{F7E8CCBA-FED2-4DAB-88E0-3E5BF123649F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Ajustar imagen a celda L27</t>
      </text>
    </comment>
    <comment ref="D32" authorId="8" shapeId="0" xr:uid="{3062B805-AD28-4F99-A016-A5E7A769AEF2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Traer imagen de gordon "
Soporte de camara"
Respuesta:
    ID 703
</t>
      </text>
    </comment>
    <comment ref="I32" authorId="9" shapeId="0" xr:uid="{D65E6004-8491-4115-B992-1ECF70C2F50A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Parámetro 701</t>
      </text>
    </comment>
    <comment ref="M32" authorId="10" shapeId="0" xr:uid="{2AE0B57A-9399-479B-9720-D3BF6447AE82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Parámetro 725</t>
      </text>
    </comment>
    <comment ref="F42" authorId="11" shapeId="0" xr:uid="{EE08F66F-4E13-49BA-ADE5-ED1B0A9C2059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Traer nombre inspector gordon</t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tc={1F2CF18A-50DE-4D4D-A21A-F48819257A45}</author>
    <author>tc={A5D03B66-D295-40E1-8AA4-EFF1D7679B6B}</author>
    <author>tc={A05D0B1B-AD90-4F49-B304-43747AB0D8EA}</author>
  </authors>
  <commentList>
    <comment ref="M4" authorId="0" shapeId="0" xr:uid="{1F2CF18A-50DE-4D4D-A21A-F48819257A45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Vincular la fecha a  "=DATOS!AS84"</t>
      </text>
    </comment>
    <comment ref="F48" authorId="1" shapeId="0" xr:uid="{A5D03B66-D295-40E1-8AA4-EFF1D7679B6B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Traer nombre inspector gordon</t>
      </text>
    </comment>
    <comment ref="N52" authorId="2" shapeId="0" xr:uid="{A05D0B1B-AD90-4F49-B304-43747AB0D8EA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Revisar que sea 11</t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tc={23A6599F-DC89-4CC3-89C4-D31A23DE5A67}</author>
    <author>tc={021F1C69-CBE6-4259-8AED-49A09F05FF94}</author>
    <author>tc={9CCA2F78-8F2C-430A-9526-A08818079513}</author>
    <author>tc={F3DD52AB-AD6E-4C0F-8079-A9441B189CAA}</author>
    <author>tc={4152BC86-F98F-4832-AA8B-9FB496B01B5C}</author>
    <author>tc={5D6C5F1E-7D1F-48DE-82E8-0685AD7432CA}</author>
    <author>tc={EBDC6EE1-1F72-4DAF-AF16-B4416A54DD68}</author>
  </authors>
  <commentList>
    <comment ref="M4" authorId="0" shapeId="0" xr:uid="{23A6599F-DC89-4CC3-89C4-D31A23DE5A67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Vincular la fecha a  "=DATOS!AS84"</t>
      </text>
    </comment>
    <comment ref="B13" authorId="1" shapeId="0" xr:uid="{021F1C69-CBE6-4259-8AED-49A09F05FF94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Ajustar imagen a el B14</t>
      </text>
    </comment>
    <comment ref="K13" authorId="2" shapeId="0" xr:uid="{9CCA2F78-8F2C-430A-9526-A08818079513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Ajustar imagen al L14</t>
      </text>
    </comment>
    <comment ref="B31" authorId="3" shapeId="0" xr:uid="{F3DD52AB-AD6E-4C0F-8079-A9441B189CAA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Ajustar la imagen a la celda B32</t>
      </text>
    </comment>
    <comment ref="K31" authorId="4" shapeId="0" xr:uid="{4152BC86-F98F-4832-AA8B-9FB496B01B5C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Ajustar imagen a la celda L33</t>
      </text>
    </comment>
    <comment ref="F48" authorId="5" shapeId="0" xr:uid="{5D6C5F1E-7D1F-48DE-82E8-0685AD7432CA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Traer nombre inspector gordon</t>
      </text>
    </comment>
    <comment ref="N52" authorId="6" shapeId="0" xr:uid="{EBDC6EE1-1F72-4DAF-AF16-B4416A54DD68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Revisar que sea 11</t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tc={D22A0012-483B-4699-9225-D11B2AF0247B}</author>
    <author>tc={1B50C7BC-C0C2-4E23-9B08-3250DD0733B7}</author>
    <author>tc={BBE767F6-6362-47BD-9582-645DEA86E2F3}</author>
  </authors>
  <commentList>
    <comment ref="J4" authorId="0" shapeId="0" xr:uid="{D22A0012-483B-4699-9225-D11B2AF0247B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Vincular la fecha a  "=DATOS!AS84"</t>
      </text>
    </comment>
    <comment ref="E47" authorId="1" shapeId="0" xr:uid="{1B50C7BC-C0C2-4E23-9B08-3250DD0733B7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TRAER NOMBRE INSPECTOR DE SAP</t>
      </text>
    </comment>
    <comment ref="K51" authorId="2" shapeId="0" xr:uid="{BBE767F6-6362-47BD-9582-645DEA86E2F3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Verificar que la cantidad sea 11</t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tc={26E7A48D-4660-47E6-9DCC-E7F9D8F80144}</author>
    <author>tc={4F8120D7-5027-4658-B236-EA135FFFEC11}</author>
    <author>tc={CFEB368C-1E0F-43ED-A47C-CD29A0C1997D}</author>
    <author>tc={44DD6273-3E8B-4424-B77A-BCB653B09E26}</author>
    <author>tc={6BB70863-5B22-462C-8FC2-8EB9E1D6F914}</author>
  </authors>
  <commentList>
    <comment ref="L4" authorId="0" shapeId="0" xr:uid="{26E7A48D-4660-47E6-9DCC-E7F9D8F80144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Vincular la fecha a  "=DATOS!AS84"</t>
      </text>
    </comment>
    <comment ref="C13" authorId="1" shapeId="0" xr:uid="{4F8120D7-5027-4658-B236-EA135FFFEC11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Ajustar imagen a celda D14</t>
      </text>
    </comment>
    <comment ref="C31" authorId="2" shapeId="0" xr:uid="{CFEB368C-1E0F-43ED-A47C-CD29A0C1997D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Ajustar imagen a celda D32</t>
      </text>
    </comment>
    <comment ref="F48" authorId="3" shapeId="0" xr:uid="{44DD6273-3E8B-4424-B77A-BCB653B09E26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TRAER NOMBRE INSPECTOR DE SAP </t>
      </text>
    </comment>
    <comment ref="M52" authorId="4" shapeId="0" xr:uid="{6BB70863-5B22-462C-8FC2-8EB9E1D6F914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Ajustar que si sea 11</t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tc={8C029C6A-57CB-483D-BAA4-D67F38AAC57B}</author>
    <author>tc={9D6C20A4-A201-48EE-AEA1-8B2A00C0CB22}</author>
    <author>tc={5351DD5D-65CA-4385-8D2D-EF887B01C7D4}</author>
    <author>tc={C1AEAF32-BD30-42DF-BDCD-CD35A6A9CDCC}</author>
    <author>tc={A3DA0935-446E-40AC-B25E-493BEF58595D}</author>
    <author>tc={94922709-CBC6-4C7F-9A61-67E78ECAD9EF}</author>
  </authors>
  <commentList>
    <comment ref="L4" authorId="0" shapeId="0" xr:uid="{8C029C6A-57CB-483D-BAA4-D67F38AAC57B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Vincular la fecha a  "=DATOS!AS84"</t>
      </text>
    </comment>
    <comment ref="C27" authorId="1" shapeId="0" xr:uid="{9D6C20A4-A201-48EE-AEA1-8B2A00C0CB22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Traer imagen de Gordon "Prueba de torque 2 " y ajustar a celda D28
Respuesta:
    ID 704
</t>
      </text>
    </comment>
    <comment ref="C40" authorId="2" shapeId="0" xr:uid="{5351DD5D-65CA-4385-8D2D-EF887B01C7D4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Traer de gordon</t>
      </text>
    </comment>
    <comment ref="L40" authorId="3" shapeId="0" xr:uid="{C1AEAF32-BD30-42DF-BDCD-CD35A6A9CDCC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Traer el dato de gordon</t>
      </text>
    </comment>
    <comment ref="F43" authorId="4" shapeId="0" xr:uid="{A3DA0935-446E-40AC-B25E-493BEF58595D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TRAER INSPECTOR GORDON</t>
      </text>
    </comment>
    <comment ref="M47" authorId="5" shapeId="0" xr:uid="{94922709-CBC6-4C7F-9A61-67E78ECAD9EF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Verificar que este primero la hoja de torque antes que la de aduana , revisar que si sean 11</t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tc={FF92D742-0600-4388-837F-7966D915D4AE}</author>
    <author>tc={7BC4C25A-16C8-47DC-943E-890E08013FFD}</author>
    <author>tc={6E779F64-2E22-4697-98C0-5DA757879074}</author>
  </authors>
  <commentList>
    <comment ref="L4" authorId="0" shapeId="0" xr:uid="{FF92D742-0600-4388-837F-7966D915D4AE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Vincular la fecha a  "=DATOS!AS84"</t>
      </text>
    </comment>
    <comment ref="C13" authorId="1" shapeId="0" xr:uid="{7BC4C25A-16C8-47DC-943E-890E08013FFD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ID 388 colocar imagen celda D14 </t>
      </text>
    </comment>
    <comment ref="F32" authorId="2" shapeId="0" xr:uid="{6E779F64-2E22-4697-98C0-5DA757879074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TRAER INSPECTOR DE SAP</t>
      </text>
    </comment>
  </commentList>
</comments>
</file>

<file path=xl/sharedStrings.xml><?xml version="1.0" encoding="utf-8"?>
<sst xmlns="http://schemas.openxmlformats.org/spreadsheetml/2006/main" count="735" uniqueCount="475">
  <si>
    <t>PRODUCT CERTIFICATION</t>
  </si>
  <si>
    <t>QUALITY CONTROL DEPARTMENT</t>
  </si>
  <si>
    <t>CLIENT:</t>
  </si>
  <si>
    <t xml:space="preserve">COLOR: </t>
  </si>
  <si>
    <t>VEHICLE:</t>
  </si>
  <si>
    <t>COMPOSITION:</t>
  </si>
  <si>
    <t>PART NUMBER:</t>
  </si>
  <si>
    <t>PART:</t>
  </si>
  <si>
    <t>WINDSHIELD / FRONTSHEIBE</t>
  </si>
  <si>
    <t>OUTER GLASS FINISH:</t>
  </si>
  <si>
    <t>ACCORDING TO DRAWING</t>
  </si>
  <si>
    <t xml:space="preserve"> SUPERFICIAL AND INTERNAL  APPEARANCE VISUAL DEFECTS CHART</t>
  </si>
  <si>
    <t>ITEM</t>
  </si>
  <si>
    <t>ZONE</t>
  </si>
  <si>
    <t>CODE OF DEFEC</t>
  </si>
  <si>
    <t>DESCRIPTION</t>
  </si>
  <si>
    <t>SIZE (mm)</t>
  </si>
  <si>
    <t>QUANTITY OF DEFECTS</t>
  </si>
  <si>
    <t>ACCORDING TO QV0008
2.3.2</t>
  </si>
  <si>
    <t>B</t>
  </si>
  <si>
    <t>OK</t>
  </si>
  <si>
    <t>Not OK</t>
  </si>
  <si>
    <t>TERMINALS INSULATION</t>
  </si>
  <si>
    <t>LOGO (INTERNAL BLACK)</t>
  </si>
  <si>
    <t>TERMINALS</t>
  </si>
  <si>
    <t>CHAMFER</t>
  </si>
  <si>
    <t>FINISHING</t>
  </si>
  <si>
    <t>REFLECTION</t>
  </si>
  <si>
    <t>MIRROR BRACKET</t>
  </si>
  <si>
    <t>BLACK BAND INTERNAL</t>
  </si>
  <si>
    <t>THICKNEES (33,3 - 37,1 mm)</t>
  </si>
  <si>
    <t>BLACK BAND EXTERNAL</t>
  </si>
  <si>
    <t>SERIGRAPHY</t>
  </si>
  <si>
    <t>COMMENTS</t>
  </si>
  <si>
    <t>CONVENTIONS</t>
  </si>
  <si>
    <t xml:space="preserve">B = WIDTH (mm) </t>
  </si>
  <si>
    <t>L = LENGTH (mm)</t>
  </si>
  <si>
    <t>D = DIAMETER (mm)</t>
  </si>
  <si>
    <t>A = DISTANCE (mm)</t>
  </si>
  <si>
    <t>ANNEXES</t>
  </si>
  <si>
    <t>IT = INSIDE TOLERANCE</t>
  </si>
  <si>
    <t>See attached the geometric report</t>
  </si>
  <si>
    <t>OT = OUT OF TOLERANCE</t>
  </si>
  <si>
    <t>Z = ZONE</t>
  </si>
  <si>
    <t>N/A = NOT APPLICABLE</t>
  </si>
  <si>
    <t>AUTHORIZED BY</t>
  </si>
  <si>
    <t>REVIEWED BY</t>
  </si>
  <si>
    <t xml:space="preserve">CONTROL  CHECK </t>
  </si>
  <si>
    <t>DATE:</t>
  </si>
  <si>
    <t>751-28-03A-15-F01 V.4</t>
  </si>
  <si>
    <t>REPORT THERMOGRAPHY</t>
  </si>
  <si>
    <t xml:space="preserve">QUALITY CONTROL </t>
  </si>
  <si>
    <t>PART NUMBER AGP:</t>
  </si>
  <si>
    <t>CUSTOMER:</t>
  </si>
  <si>
    <t>BENTELER lightweight Protection GmbH</t>
  </si>
  <si>
    <t>REASON FOR SUBMISSION</t>
  </si>
  <si>
    <t xml:space="preserve">Report Evaluation of Quality </t>
  </si>
  <si>
    <t>Part Submission warrant</t>
  </si>
  <si>
    <t>First Production Shipment</t>
  </si>
  <si>
    <t>Special Sample</t>
  </si>
  <si>
    <t>Re-submission</t>
  </si>
  <si>
    <t>Other</t>
  </si>
  <si>
    <t>Engineering change</t>
  </si>
  <si>
    <t>HEATING ZONE</t>
  </si>
  <si>
    <t>SOURCE POWER [V]</t>
  </si>
  <si>
    <t>CURRENT [A]</t>
  </si>
  <si>
    <t>POWER [W]</t>
  </si>
  <si>
    <t>RESISTANCE [Ohm]</t>
  </si>
  <si>
    <t>MIN</t>
  </si>
  <si>
    <t>MAX</t>
  </si>
  <si>
    <t>WINSHIELD</t>
  </si>
  <si>
    <t>RESISTANCE LEFT (HFS 4)</t>
  </si>
  <si>
    <t>[12,1 +/- 0,1]</t>
  </si>
  <si>
    <t>RESISTANCE RIGHT (HFS 4)</t>
  </si>
  <si>
    <t>Left Thermograph</t>
  </si>
  <si>
    <t>Right Thermograph</t>
  </si>
  <si>
    <t>Camera Thermograph</t>
  </si>
  <si>
    <t>ELECTRIC TERMINALS</t>
  </si>
  <si>
    <t>UPPER CENTRAL</t>
  </si>
  <si>
    <t>LOWER LEFT</t>
  </si>
  <si>
    <t>LOWER RIGHT</t>
  </si>
  <si>
    <t>CONTROL  CHECK</t>
  </si>
  <si>
    <t>QV0008
2.3.2</t>
  </si>
  <si>
    <t>OT</t>
  </si>
  <si>
    <t>-</t>
  </si>
  <si>
    <t>X</t>
  </si>
  <si>
    <t>xx</t>
  </si>
  <si>
    <t>Defects 1 to 7 are not vissible to daylight</t>
  </si>
  <si>
    <t>QUALITY CONTROL</t>
  </si>
  <si>
    <t>PROJECT:</t>
  </si>
  <si>
    <t>REASON FOR SUBMISSION:</t>
  </si>
  <si>
    <t>QUALITY TEST</t>
  </si>
  <si>
    <t>Refractive Power</t>
  </si>
  <si>
    <t>STANDARD</t>
  </si>
  <si>
    <t xml:space="preserve">DIN 52305 </t>
  </si>
  <si>
    <t>DESCRIPTION OF TEST</t>
  </si>
  <si>
    <t>Determination of Refractive Power is according to AZDIN 52305 for Zones 1 and 2.</t>
  </si>
  <si>
    <t>CONDITIONS</t>
  </si>
  <si>
    <t>EVALUATION</t>
  </si>
  <si>
    <t>ZONE A</t>
  </si>
  <si>
    <t>ZONE B</t>
  </si>
  <si>
    <t>MEASUREMENT 1</t>
  </si>
  <si>
    <t>MEASUREMENT 2</t>
  </si>
  <si>
    <t>Max</t>
  </si>
  <si>
    <t>Min</t>
  </si>
  <si>
    <t xml:space="preserve"> Db</t>
  </si>
  <si>
    <t>L1</t>
  </si>
  <si>
    <t>L2</t>
  </si>
  <si>
    <t>b</t>
  </si>
  <si>
    <t>n</t>
  </si>
  <si>
    <t>e</t>
  </si>
  <si>
    <t>rad</t>
  </si>
  <si>
    <t>f(e)</t>
  </si>
  <si>
    <t>Do</t>
  </si>
  <si>
    <t>RESULT</t>
  </si>
  <si>
    <t>mdop</t>
  </si>
  <si>
    <t>REQUERIMENT</t>
  </si>
  <si>
    <t>&lt; 85</t>
  </si>
  <si>
    <t>&lt; 150</t>
  </si>
  <si>
    <t>DISTORTION IMAGE AT 0°</t>
  </si>
  <si>
    <t>DISTORTION WHIOUT ZEBRA</t>
  </si>
  <si>
    <t>DISTORTION IMAGE AT 45°</t>
  </si>
  <si>
    <t>REFLECTION 1</t>
  </si>
  <si>
    <t>LANDSCAPE DISTORTION</t>
  </si>
  <si>
    <t>REFLECTION 2</t>
  </si>
  <si>
    <t>Requirement: Without interruption of  grid lines</t>
  </si>
  <si>
    <t>CONCLUSION</t>
  </si>
  <si>
    <t>This part fullfill with requirements</t>
  </si>
  <si>
    <t>SECONDARY IMAGE SEPARATION</t>
  </si>
  <si>
    <t>BENTELER lightweight</t>
  </si>
  <si>
    <t>Secondary Image Separation</t>
  </si>
  <si>
    <t>ISO 3538</t>
  </si>
  <si>
    <t>RESULTS</t>
  </si>
  <si>
    <t>HR:</t>
  </si>
  <si>
    <t>T (ºC):</t>
  </si>
  <si>
    <t>23°C</t>
  </si>
  <si>
    <t>REQUIREMENT: &lt;20 arcmin</t>
  </si>
  <si>
    <t>DOUBLE IMAGE</t>
  </si>
  <si>
    <t>ACCESSORIES</t>
  </si>
  <si>
    <t>TNT FLEX</t>
  </si>
  <si>
    <t>STEELS</t>
  </si>
  <si>
    <t>BLACK BAND MEASUREMET</t>
  </si>
  <si>
    <t xml:space="preserve"> </t>
  </si>
  <si>
    <t>Image 1</t>
  </si>
  <si>
    <t>Image 2</t>
  </si>
  <si>
    <t>Image 3</t>
  </si>
  <si>
    <t>Image 4</t>
  </si>
  <si>
    <t>TNT FLEX MEASUREMET</t>
  </si>
  <si>
    <t>Tolerance</t>
  </si>
  <si>
    <t>A</t>
  </si>
  <si>
    <t>N/A</t>
  </si>
  <si>
    <t>C</t>
  </si>
  <si>
    <t>D</t>
  </si>
  <si>
    <t>IMAGE PC</t>
  </si>
  <si>
    <t>IMAGE 1</t>
  </si>
  <si>
    <t>IMAGE 2</t>
  </si>
  <si>
    <t>TORKER´S TEST</t>
  </si>
  <si>
    <t>Pag 11 of 11</t>
  </si>
  <si>
    <t>CUSTOMS STICKER</t>
  </si>
  <si>
    <t>DEFECTOS CERTIFICADOS EN INGLES</t>
  </si>
  <si>
    <t xml:space="preserve">Codigo </t>
  </si>
  <si>
    <t>Espanol / Portugues</t>
  </si>
  <si>
    <t>Ingles</t>
  </si>
  <si>
    <t>Impureza</t>
  </si>
  <si>
    <t>Impurity</t>
  </si>
  <si>
    <t>Burbuja</t>
  </si>
  <si>
    <t>Bubble</t>
  </si>
  <si>
    <t>Inclusión</t>
  </si>
  <si>
    <t>Inclusion</t>
  </si>
  <si>
    <t>Porosidad</t>
  </si>
  <si>
    <t>Porosity</t>
  </si>
  <si>
    <t>Punto de Color</t>
  </si>
  <si>
    <t>Color dot</t>
  </si>
  <si>
    <t>Raya sensible a uña</t>
  </si>
  <si>
    <t>Perceptible Scratch</t>
  </si>
  <si>
    <t>Raya no sensible a la uña</t>
  </si>
  <si>
    <t>Unperceptible Scratch</t>
  </si>
  <si>
    <t>Raya Interna</t>
  </si>
  <si>
    <t>Intern Scratch</t>
  </si>
  <si>
    <t>Escalla</t>
  </si>
  <si>
    <t>Conchoidal Defect</t>
  </si>
  <si>
    <t>Cabello</t>
  </si>
  <si>
    <t>Interna Hair</t>
  </si>
  <si>
    <t>Pestaña</t>
  </si>
  <si>
    <t>Internal Eyelash</t>
  </si>
  <si>
    <t>Pelusa</t>
  </si>
  <si>
    <t>Fluff</t>
  </si>
  <si>
    <t>Depresión Circular</t>
  </si>
  <si>
    <t>Circular Depression</t>
  </si>
  <si>
    <t>Depresión Alargada</t>
  </si>
  <si>
    <t>Elongated Depression</t>
  </si>
  <si>
    <t>Rayas sensibles a las una en PC</t>
  </si>
  <si>
    <t>Unperceptible Scratch in AL</t>
  </si>
  <si>
    <t>Ojo en Cristal</t>
  </si>
  <si>
    <t>Bull eye in glass</t>
  </si>
  <si>
    <t>Distorsión</t>
  </si>
  <si>
    <t>Distortion</t>
  </si>
  <si>
    <t>Delaminación</t>
  </si>
  <si>
    <t>Delamination</t>
  </si>
  <si>
    <t>Nube de Puntos</t>
  </si>
  <si>
    <t>Cloud of Dots</t>
  </si>
  <si>
    <t>Picadura</t>
  </si>
  <si>
    <t>Puncture</t>
  </si>
  <si>
    <t>Depresión en borde Paquete</t>
  </si>
  <si>
    <t>Depressions at the edge of the package</t>
  </si>
  <si>
    <t>Oxidación SP</t>
  </si>
  <si>
    <t>Oxidation SP</t>
  </si>
  <si>
    <t>Defecto en sello de Paquete</t>
  </si>
  <si>
    <t>Sealing edge defect</t>
  </si>
  <si>
    <t>Picadura en PC</t>
  </si>
  <si>
    <t>Puncture in PC</t>
  </si>
  <si>
    <t>Huellas de Molde</t>
  </si>
  <si>
    <t>Dent (tool trace)</t>
  </si>
  <si>
    <t>Puntos Difusos en Degrade</t>
  </si>
  <si>
    <t xml:space="preserve">Degradee diffuse point </t>
  </si>
  <si>
    <t>Mancha no visible a luz día</t>
  </si>
  <si>
    <t>Not visible stain Day Light</t>
  </si>
  <si>
    <t>Mancha blanca interna en BN</t>
  </si>
  <si>
    <t>White internal stain in BN</t>
  </si>
  <si>
    <t>Mancha en AL no visible a luz día</t>
  </si>
  <si>
    <t>Not visible stain Light day in AL</t>
  </si>
  <si>
    <t>Marcaciones en PC no visibles</t>
  </si>
  <si>
    <t>Bearing not visible in PC</t>
  </si>
  <si>
    <t>Transparencia en BN interna</t>
  </si>
  <si>
    <t>Transparency internal BN</t>
  </si>
  <si>
    <t>Puntos brillantes en AL o PCHT</t>
  </si>
  <si>
    <t>Brilliant points in AL o PCHT</t>
  </si>
  <si>
    <t>Puntos de Defroster</t>
  </si>
  <si>
    <t>Points of defroster</t>
  </si>
  <si>
    <t>Marcación en AL no visible</t>
  </si>
  <si>
    <t>Bearing not visible in AL</t>
  </si>
  <si>
    <t>PC pequeño en el borde</t>
  </si>
  <si>
    <t>PC Smalll in the edge</t>
  </si>
  <si>
    <t>Mancha blanca externa en AL</t>
  </si>
  <si>
    <t>White external stain in AL</t>
  </si>
  <si>
    <t>Punto Blanco vidrio externo</t>
  </si>
  <si>
    <t>White external dot not visible</t>
  </si>
  <si>
    <t>Defectos circulares bajo AL</t>
  </si>
  <si>
    <t>Defects depressions and bumps between PU and PET</t>
  </si>
  <si>
    <t>Pelos o pelusas bajo AL</t>
  </si>
  <si>
    <t>Hairs / fluff between PU and PET</t>
  </si>
  <si>
    <t>Mancha en defroster</t>
  </si>
  <si>
    <t>Internal stain in defroster</t>
  </si>
  <si>
    <t>Transparencia en BN externa</t>
  </si>
  <si>
    <t>Transparency external BN</t>
  </si>
  <si>
    <t>Raya en BN retocada</t>
  </si>
  <si>
    <t xml:space="preserve">Scratch adjustment  BN </t>
  </si>
  <si>
    <t>Defroster con hilo roto</t>
  </si>
  <si>
    <t>Defroster with broken wire</t>
  </si>
  <si>
    <t>Mancha blanca interna en borde PC</t>
  </si>
  <si>
    <t>White internal stain in PC edge</t>
  </si>
  <si>
    <t>Mancha entre laminado no visible en instalación</t>
  </si>
  <si>
    <t>Stain between laminate not visible after installation</t>
  </si>
  <si>
    <t>Raya en BN</t>
  </si>
  <si>
    <t>Scratch in Black band</t>
  </si>
  <si>
    <t>Punto en BN</t>
  </si>
  <si>
    <t>Black band dot</t>
  </si>
  <si>
    <t>Puntos brillantes en PCHT</t>
  </si>
  <si>
    <t>Brilliant points in PCHT</t>
  </si>
  <si>
    <t>Hilos de tungsteno separados</t>
  </si>
  <si>
    <t>Tungsten wires separated</t>
  </si>
  <si>
    <t>Antena visible parte externa</t>
  </si>
  <si>
    <t>Visible out side antennas</t>
  </si>
  <si>
    <t>Antena visible parte interna</t>
  </si>
  <si>
    <t>Visible in side antennas</t>
  </si>
  <si>
    <t>Desplazamiento entre BN interna y externa</t>
  </si>
  <si>
    <t>Displacement between internal and external black band</t>
  </si>
  <si>
    <t>Borde BN no uniforme</t>
  </si>
  <si>
    <t>Liberado conforme norma</t>
  </si>
  <si>
    <t>Following Standard</t>
  </si>
  <si>
    <t>No afecta la dirigibilidad</t>
  </si>
  <si>
    <t>No problem to the driver</t>
  </si>
  <si>
    <t>Contaminación</t>
  </si>
  <si>
    <t>Contamination</t>
  </si>
  <si>
    <t>Raya en PC</t>
  </si>
  <si>
    <t>Scratch in PC</t>
  </si>
  <si>
    <t>Marcaciones en PC</t>
  </si>
  <si>
    <t>Bearing in PC</t>
  </si>
  <si>
    <t>Raya</t>
  </si>
  <si>
    <t>Scratch</t>
  </si>
  <si>
    <t>Mancha en BN</t>
  </si>
  <si>
    <t>Stain in Black band</t>
  </si>
  <si>
    <t>defecto en banda negra</t>
  </si>
  <si>
    <t xml:space="preserve">Defect in Black band </t>
  </si>
  <si>
    <t>Mancha por Glassjet</t>
  </si>
  <si>
    <t>Stain Glassjet</t>
  </si>
  <si>
    <t>Puntos brillantes</t>
  </si>
  <si>
    <t>Brilliant points</t>
  </si>
  <si>
    <t xml:space="preserve">Mancha de PBV tejido </t>
  </si>
  <si>
    <t>Stain in PBV</t>
  </si>
  <si>
    <t>Nube de puntos en PBV</t>
  </si>
  <si>
    <t>Cloud of point in PBV</t>
  </si>
  <si>
    <t xml:space="preserve">Transparencia borde BN </t>
  </si>
  <si>
    <t>Transparency in Black Enamel</t>
  </si>
  <si>
    <t>Marcación en PCHT</t>
  </si>
  <si>
    <t>Mark on PCHT</t>
  </si>
  <si>
    <t>Burbujas en cristal</t>
  </si>
  <si>
    <t>Bubbles in glass</t>
  </si>
  <si>
    <t>Mancha en bn interna not visible en instalacion</t>
  </si>
  <si>
    <t>Internal stain in black band no visible in installation</t>
  </si>
  <si>
    <t>Diente de sierra leve</t>
  </si>
  <si>
    <t>Saw tooth slight</t>
  </si>
  <si>
    <t>Contaminación Fuerte</t>
  </si>
  <si>
    <t>Strong contamination</t>
  </si>
  <si>
    <t>Transparencia</t>
  </si>
  <si>
    <t>Transparency</t>
  </si>
  <si>
    <t>Contaminación Interna Fuerte</t>
  </si>
  <si>
    <t>Strong Internal Contamination</t>
  </si>
  <si>
    <t>Mancha</t>
  </si>
  <si>
    <t>Stain</t>
  </si>
  <si>
    <t>Contaminación leve</t>
  </si>
  <si>
    <t>Slight contamination</t>
  </si>
  <si>
    <t>Punto</t>
  </si>
  <si>
    <t>Dot</t>
  </si>
  <si>
    <t>Picadura Interna</t>
  </si>
  <si>
    <t>Internal puncture</t>
  </si>
  <si>
    <t>Puntos</t>
  </si>
  <si>
    <t>Dots</t>
  </si>
  <si>
    <t>Ojo</t>
  </si>
  <si>
    <t>Eye</t>
  </si>
  <si>
    <t>Marcación externa</t>
  </si>
  <si>
    <t>External marking</t>
  </si>
  <si>
    <t>Raya en PC no visible luz dia</t>
  </si>
  <si>
    <t>Scratch in PC not visible day light</t>
  </si>
  <si>
    <t>Depresion en PC</t>
  </si>
  <si>
    <t>Depression in PC</t>
  </si>
  <si>
    <t>Mancha interna</t>
  </si>
  <si>
    <t>Internal stain</t>
  </si>
  <si>
    <t>Mancha en banda negra (cara externa)</t>
  </si>
  <si>
    <t>Stain in black band (outer face)</t>
  </si>
  <si>
    <t>Punto brillante</t>
  </si>
  <si>
    <t>Brilliant point</t>
  </si>
  <si>
    <t>Marcación en PC</t>
  </si>
  <si>
    <t>Mancha Leve</t>
  </si>
  <si>
    <t>Slight stain</t>
  </si>
  <si>
    <t>Marcación</t>
  </si>
  <si>
    <t>Bearing</t>
  </si>
  <si>
    <t>Contaminación general no visible luz día</t>
  </si>
  <si>
    <t>General contamination not visible daylight</t>
  </si>
  <si>
    <t xml:space="preserve">Rayas en PCHT </t>
  </si>
  <si>
    <t>Scratch in PCHT</t>
  </si>
  <si>
    <t>Nido de puntos no visible luz dia</t>
  </si>
  <si>
    <t>Nest of points not visible daylight</t>
  </si>
  <si>
    <t>Contaminación poco visible luz dia</t>
  </si>
  <si>
    <t>Contamination few visible daylight</t>
  </si>
  <si>
    <t>Contaminación no visible luz dia</t>
  </si>
  <si>
    <t>Contamination not visible daylight</t>
  </si>
  <si>
    <t>Mancha en banda negra no visible en instalación</t>
  </si>
  <si>
    <t>Stain in black band not visible installation</t>
  </si>
  <si>
    <t>Depresion en PC poco visible</t>
  </si>
  <si>
    <t>Depression in PC few visible</t>
  </si>
  <si>
    <t>Raya en banda negra no visible en instalación</t>
  </si>
  <si>
    <t>Scratch in black band not visible in installation</t>
  </si>
  <si>
    <t>Mancha interna poco visible</t>
  </si>
  <si>
    <t>Internal stain few visible</t>
  </si>
  <si>
    <t>Mancha en zona oculta</t>
  </si>
  <si>
    <t>Stain in hidden area</t>
  </si>
  <si>
    <t>Contaminación interna no visible luz dia</t>
  </si>
  <si>
    <t>Internal contamination not visible daylight</t>
  </si>
  <si>
    <t>Mancha no visible en instalación</t>
  </si>
  <si>
    <t>Stain not visible in installation</t>
  </si>
  <si>
    <t>Contaminación no visible en instalación</t>
  </si>
  <si>
    <t>Contamination not visible in installation</t>
  </si>
  <si>
    <t>Raya en banda negra interna</t>
  </si>
  <si>
    <t>Scratch in internal black band</t>
  </si>
  <si>
    <t>Marcación en VP</t>
  </si>
  <si>
    <t>Marking in glass painting</t>
  </si>
  <si>
    <t>Marcación brillante</t>
  </si>
  <si>
    <t>Bright mark</t>
  </si>
  <si>
    <t>Mancha poco visible</t>
  </si>
  <si>
    <t>Stain few visible</t>
  </si>
  <si>
    <t>Raya interna poco visible</t>
  </si>
  <si>
    <t>Internal scratch few visible</t>
  </si>
  <si>
    <t>Mancha poco visible luz dia</t>
  </si>
  <si>
    <t>Stain few visible daylight</t>
  </si>
  <si>
    <t>Mancha en banda negra interna no visible luz dia</t>
  </si>
  <si>
    <t>Stain in internal black band not visible daylight</t>
  </si>
  <si>
    <t>Pelo en banda negra interna</t>
  </si>
  <si>
    <t>Hair in internal black band</t>
  </si>
  <si>
    <t>Depresion en PC no visible en instalación</t>
  </si>
  <si>
    <t>Depression in PC not visible in installation</t>
  </si>
  <si>
    <t>Puntos brillantes no visibles luz dia</t>
  </si>
  <si>
    <t>Brilliant points not visible daylight</t>
  </si>
  <si>
    <t>Marcación interna</t>
  </si>
  <si>
    <t>Internal branding</t>
  </si>
  <si>
    <t>Mancha alargada</t>
  </si>
  <si>
    <t>Elongated stain</t>
  </si>
  <si>
    <t>Pliegue en tecoflex</t>
  </si>
  <si>
    <t>Fold in tecoflex</t>
  </si>
  <si>
    <t>Mancha interna no visible luz dia</t>
  </si>
  <si>
    <t>Internal stain not visible daylight</t>
  </si>
  <si>
    <t>Raya blanca en BN</t>
  </si>
  <si>
    <t>White scratch in black band</t>
  </si>
  <si>
    <t>Mancha en banda negra interna</t>
  </si>
  <si>
    <t>Internal stain in black band</t>
  </si>
  <si>
    <t>INDICE</t>
  </si>
  <si>
    <t>PUNTOS</t>
  </si>
  <si>
    <t>SIN</t>
  </si>
  <si>
    <t>ARRIBA</t>
  </si>
  <si>
    <t>ABAJO</t>
  </si>
  <si>
    <t>IZQUIERDA</t>
  </si>
  <si>
    <t>DERECHA</t>
  </si>
  <si>
    <t>LIBRE</t>
  </si>
  <si>
    <t>-0.1</t>
  </si>
  <si>
    <t>ancho rectangulo</t>
  </si>
  <si>
    <t>CLIENTE</t>
  </si>
  <si>
    <t>MBZ</t>
  </si>
  <si>
    <t>ancho circulo</t>
  </si>
  <si>
    <t>MODELO</t>
  </si>
  <si>
    <t>W166</t>
  </si>
  <si>
    <t>FACTOR ESCALA RECTANGULO</t>
  </si>
  <si>
    <t>NUMERO DE PARTE</t>
  </si>
  <si>
    <t>POSICION ESCALA IZQUIERDA</t>
  </si>
  <si>
    <t>DESCRIPCION</t>
  </si>
  <si>
    <t>FRONT DOOR RIGHT</t>
  </si>
  <si>
    <t>POSICION ESCALA DERECHA</t>
  </si>
  <si>
    <t>OPERADOR</t>
  </si>
  <si>
    <t>Epifanio Pereira</t>
  </si>
  <si>
    <t>POSICION ESCALA SUPERIOR</t>
  </si>
  <si>
    <t>TITULO</t>
  </si>
  <si>
    <t>OFFSET</t>
  </si>
  <si>
    <t>POSICION ESCALA INFERIOR</t>
  </si>
  <si>
    <t xml:space="preserve">OP </t>
  </si>
  <si>
    <t>BB12G</t>
  </si>
  <si>
    <t>DIRECTORIO REPORTES</t>
  </si>
  <si>
    <t>T:\Qualidade\Projetos\Projeto W212\Relatórios de Inspeção final - APROVADAS\Blindado\W166</t>
  </si>
  <si>
    <t>FECHA</t>
  </si>
  <si>
    <t>00/00/2012</t>
  </si>
  <si>
    <t>UNIDADES</t>
  </si>
  <si>
    <t>mm</t>
  </si>
  <si>
    <t>CAMARA BRACKET</t>
  </si>
  <si>
    <t>CABLE OUTPUT (PINS)</t>
  </si>
  <si>
    <t>CONNECTORS</t>
  </si>
  <si>
    <t>N</t>
  </si>
  <si>
    <t>TORKER TEST 1</t>
  </si>
  <si>
    <t>TORKER TEST 2</t>
  </si>
  <si>
    <t>PACKAGE EDGE TYPE:</t>
  </si>
  <si>
    <t>PRODUCTION LOT:</t>
  </si>
  <si>
    <t>LINA TOVAR</t>
  </si>
  <si>
    <t>ELENA BEJARANO</t>
  </si>
  <si>
    <t>RESISTANCE CAMARA (HFS 4)</t>
  </si>
  <si>
    <t xml:space="preserve">LINA TOVAR </t>
  </si>
  <si>
    <t xml:space="preserve">QUALITY CERTIFICATE </t>
  </si>
  <si>
    <r>
      <t xml:space="preserve">REFRACTIVE POWER
</t>
    </r>
    <r>
      <rPr>
        <b/>
        <sz val="9"/>
        <color theme="1" tint="0.249977111117893"/>
        <rFont val="Plus Jakarta Sans"/>
      </rPr>
      <t>According to QV0008 - 2.2.3.</t>
    </r>
  </si>
  <si>
    <r>
      <t xml:space="preserve">HR:       </t>
    </r>
    <r>
      <rPr>
        <sz val="10"/>
        <color theme="1" tint="0.249977111117893"/>
        <rFont val="Plus Jakarta Sans"/>
      </rPr>
      <t>60%</t>
    </r>
  </si>
  <si>
    <r>
      <t xml:space="preserve">T (ºC):   </t>
    </r>
    <r>
      <rPr>
        <sz val="10"/>
        <color theme="1" tint="0.249977111117893"/>
        <rFont val="Plus Jakarta Sans"/>
      </rPr>
      <t>23°C</t>
    </r>
  </si>
  <si>
    <r>
      <t xml:space="preserve">CONCLUSION: </t>
    </r>
    <r>
      <rPr>
        <sz val="10"/>
        <color theme="1" tint="0.249977111117893"/>
        <rFont val="Plus Jakarta Sans"/>
      </rPr>
      <t>This part fullfill with requirements.</t>
    </r>
  </si>
  <si>
    <t>[9,6 +/- 0,1]</t>
  </si>
  <si>
    <t>TORKER TEST 1:</t>
  </si>
  <si>
    <t>TORKER TEST 2:</t>
  </si>
  <si>
    <t>BENTELER</t>
  </si>
  <si>
    <t>BMW G05 X5 4D U 2020</t>
  </si>
  <si>
    <t>L31-1</t>
  </si>
  <si>
    <t>GREEN LIGHT</t>
  </si>
  <si>
    <t>7947007 - N</t>
  </si>
  <si>
    <t>TECOFLEX</t>
  </si>
  <si>
    <t>0823201210</t>
  </si>
  <si>
    <t>Pag 7 of 11</t>
  </si>
  <si>
    <t>Pag 1 of 11</t>
  </si>
  <si>
    <t>Pag 2 of 11</t>
  </si>
  <si>
    <t>Pag 3 of 11</t>
  </si>
  <si>
    <t>Pag 4 of 11</t>
  </si>
  <si>
    <t>Pag 5 of 11</t>
  </si>
  <si>
    <t>Pag 6 of 11</t>
  </si>
  <si>
    <t>Pag 8 of 11</t>
  </si>
  <si>
    <t>Pag 9 of 11</t>
  </si>
  <si>
    <t>Pag 10 of 11</t>
  </si>
  <si>
    <t/>
  </si>
  <si>
    <t>146.3</t>
  </si>
  <si>
    <t>ssanabria</t>
  </si>
  <si>
    <t>146.6</t>
  </si>
  <si>
    <t>56.9</t>
  </si>
  <si>
    <t>57.0</t>
  </si>
  <si>
    <t>57.9</t>
  </si>
  <si>
    <t>56.3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</si>
</sst>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dd\.mm\.yy"/>
    <numFmt numFmtId="165" formatCode="00"/>
    <numFmt numFmtId="166" formatCode="0.0"/>
    <numFmt numFmtId="167" formatCode="0.0000000"/>
    <numFmt numFmtId="168" formatCode="dd/mm/yyyy;@"/>
  </numFmts>
  <fonts count="28" x14ac:knownFonts="1">
    <font>
      <sz val="10"/>
      <name val="Arial"/>
    </font>
    <font>
      <b/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14"/>
      <name val="Arial"/>
      <family val="2"/>
    </font>
    <font>
      <sz val="22"/>
      <name val="Arial"/>
      <family val="2"/>
    </font>
    <font>
      <sz val="10"/>
      <name val="Plus Jakarta Sans"/>
    </font>
    <font>
      <sz val="9"/>
      <name val="Plus Jakarta Sans"/>
    </font>
    <font>
      <sz val="11"/>
      <name val="Plus Jakarta Sans"/>
    </font>
    <font>
      <sz val="10"/>
      <color theme="1" tint="0.249977111117893"/>
      <name val="Plus Jakarta Sans"/>
    </font>
    <font>
      <b/>
      <sz val="16"/>
      <color theme="1" tint="0.249977111117893"/>
      <name val="Plus Jakarta Sans"/>
    </font>
    <font>
      <b/>
      <sz val="7"/>
      <color theme="1" tint="0.249977111117893"/>
      <name val="Plus Jakarta Sans"/>
    </font>
    <font>
      <sz val="9"/>
      <color theme="1" tint="0.249977111117893"/>
      <name val="Plus Jakarta Sans"/>
    </font>
    <font>
      <sz val="12"/>
      <color theme="1" tint="0.249977111117893"/>
      <name val="Plus Jakarta Sans"/>
    </font>
    <font>
      <b/>
      <sz val="10"/>
      <color theme="1" tint="0.249977111117893"/>
      <name val="Plus Jakarta Sans"/>
    </font>
    <font>
      <b/>
      <sz val="12"/>
      <color theme="1" tint="0.249977111117893"/>
      <name val="Plus Jakarta Sans"/>
    </font>
    <font>
      <b/>
      <sz val="8"/>
      <color theme="1" tint="0.249977111117893"/>
      <name val="Plus Jakarta Sans"/>
    </font>
    <font>
      <b/>
      <sz val="18"/>
      <color theme="1" tint="0.249977111117893"/>
      <name val="Plus Jakarta Sans"/>
    </font>
    <font>
      <b/>
      <sz val="9"/>
      <color theme="1" tint="0.249977111117893"/>
      <name val="Plus Jakarta Sans"/>
    </font>
    <font>
      <sz val="10"/>
      <color theme="1" tint="0.249977111117893"/>
      <name val="Plantagenet Cherokee"/>
      <family val="1"/>
    </font>
    <font>
      <b/>
      <sz val="10"/>
      <color theme="1" tint="0.249977111117893"/>
      <name val="Plantagenet Cherokee"/>
      <family val="1"/>
    </font>
    <font>
      <sz val="14"/>
      <color theme="1" tint="0.249977111117893"/>
      <name val="Plus Jakarta Sans"/>
    </font>
    <font>
      <sz val="8.5"/>
      <color theme="1" tint="0.249977111117893"/>
      <name val="Plus Jakarta Sans"/>
    </font>
    <font>
      <b/>
      <sz val="14"/>
      <color theme="1" tint="0.249977111117893"/>
      <name val="Plus Jakarta Sans"/>
    </font>
    <font>
      <sz val="11"/>
      <color theme="1" tint="0.249977111117893"/>
      <name val="Plus Jakarta Sans"/>
    </font>
    <font>
      <b/>
      <sz val="11"/>
      <color theme="1" tint="0.249977111117893"/>
      <name val="Plus Jakarta Sans"/>
    </font>
    <font>
      <sz val="11"/>
      <name val="Arial"/>
      <family val="2"/>
    </font>
    <font>
      <sz val="10"/>
      <color rgb="FF3A87AD"/>
      <name val="Helvetica"/>
      <family val="2"/>
    </font>
  </fonts>
  <fills count="10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6C1C9"/>
        <bgColor indexed="64"/>
      </patternFill>
    </fill>
    <fill>
      <patternFill patternType="solid">
        <fgColor rgb="FF8FC5CF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2"/>
        <bgColor indexed="64"/>
      </patternFill>
    </fill>
  </fills>
  <borders count="4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double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436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0" fontId="1" fillId="3" borderId="0" xfId="1" applyFont="1" applyFill="1"/>
    <xf numFmtId="2" fontId="1" fillId="0" borderId="0" xfId="0" applyNumberFormat="1" applyFont="1" applyAlignment="1">
      <alignment vertic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166" fontId="0" fillId="0" borderId="0" xfId="0" applyNumberFormat="1"/>
    <xf numFmtId="0" fontId="1" fillId="0" borderId="0" xfId="0" applyFont="1" applyAlignment="1">
      <alignment vertical="center"/>
    </xf>
    <xf numFmtId="0" fontId="1" fillId="0" borderId="0" xfId="0" applyFont="1" applyAlignment="1">
      <alignment vertical="center" wrapText="1"/>
    </xf>
    <xf numFmtId="0" fontId="0" fillId="0" borderId="0" xfId="0" applyAlignment="1">
      <alignment wrapText="1"/>
    </xf>
    <xf numFmtId="2" fontId="3" fillId="0" borderId="0" xfId="0" applyNumberFormat="1" applyFont="1" applyAlignment="1">
      <alignment vertical="center"/>
    </xf>
    <xf numFmtId="0" fontId="1" fillId="0" borderId="0" xfId="1" applyFont="1"/>
    <xf numFmtId="2" fontId="4" fillId="0" borderId="0" xfId="0" applyNumberFormat="1" applyFont="1" applyAlignment="1">
      <alignment vertical="center"/>
    </xf>
    <xf numFmtId="2" fontId="5" fillId="0" borderId="0" xfId="0" applyNumberFormat="1" applyFont="1" applyAlignment="1">
      <alignment vertical="center"/>
    </xf>
    <xf numFmtId="0" fontId="6" fillId="0" borderId="0" xfId="0" applyFont="1"/>
    <xf numFmtId="0" fontId="8" fillId="0" borderId="0" xfId="0" applyFont="1"/>
    <xf numFmtId="0" fontId="7" fillId="0" borderId="0" xfId="0" applyFont="1"/>
    <xf numFmtId="0" fontId="6" fillId="0" borderId="0" xfId="0" applyFont="1" applyAlignment="1">
      <alignment vertical="center"/>
    </xf>
    <xf numFmtId="49" fontId="6" fillId="0" borderId="0" xfId="0" applyNumberFormat="1" applyFont="1"/>
    <xf numFmtId="2" fontId="6" fillId="0" borderId="0" xfId="0" applyNumberFormat="1" applyFont="1"/>
    <xf numFmtId="0" fontId="9" fillId="2" borderId="0" xfId="1" applyFont="1" applyFill="1"/>
    <xf numFmtId="0" fontId="9" fillId="3" borderId="1" xfId="1" applyFont="1" applyFill="1" applyBorder="1"/>
    <xf numFmtId="0" fontId="9" fillId="3" borderId="1" xfId="1" applyFont="1" applyFill="1" applyBorder="1" applyAlignment="1">
      <alignment horizontal="left"/>
    </xf>
    <xf numFmtId="0" fontId="9" fillId="2" borderId="4" xfId="1" applyFont="1" applyFill="1" applyBorder="1"/>
    <xf numFmtId="0" fontId="9" fillId="3" borderId="0" xfId="1" applyFont="1" applyFill="1"/>
    <xf numFmtId="0" fontId="10" fillId="3" borderId="0" xfId="1" applyFont="1" applyFill="1" applyAlignment="1">
      <alignment horizontal="center"/>
    </xf>
    <xf numFmtId="0" fontId="11" fillId="0" borderId="0" xfId="0" applyFont="1" applyAlignment="1">
      <alignment horizontal="left" readingOrder="1"/>
    </xf>
    <xf numFmtId="0" fontId="12" fillId="3" borderId="5" xfId="1" applyFont="1" applyFill="1" applyBorder="1" applyAlignment="1">
      <alignment vertical="center"/>
    </xf>
    <xf numFmtId="0" fontId="13" fillId="3" borderId="0" xfId="1" applyFont="1" applyFill="1" applyAlignment="1">
      <alignment horizontal="center"/>
    </xf>
    <xf numFmtId="165" fontId="12" fillId="3" borderId="4" xfId="1" applyNumberFormat="1" applyFont="1" applyFill="1" applyBorder="1" applyAlignment="1">
      <alignment horizontal="left" vertical="center"/>
    </xf>
    <xf numFmtId="14" fontId="12" fillId="3" borderId="4" xfId="1" applyNumberFormat="1" applyFont="1" applyFill="1" applyBorder="1" applyAlignment="1">
      <alignment horizontal="left" vertical="center"/>
    </xf>
    <xf numFmtId="0" fontId="14" fillId="3" borderId="0" xfId="1" applyFont="1" applyFill="1" applyAlignment="1">
      <alignment horizontal="center"/>
    </xf>
    <xf numFmtId="0" fontId="9" fillId="3" borderId="4" xfId="1" applyFont="1" applyFill="1" applyBorder="1"/>
    <xf numFmtId="0" fontId="14" fillId="3" borderId="0" xfId="1" applyFont="1" applyFill="1"/>
    <xf numFmtId="0" fontId="14" fillId="3" borderId="0" xfId="1" applyFont="1" applyFill="1" applyAlignment="1">
      <alignment horizontal="left"/>
    </xf>
    <xf numFmtId="0" fontId="9" fillId="0" borderId="0" xfId="0" applyFont="1"/>
    <xf numFmtId="0" fontId="14" fillId="3" borderId="4" xfId="1" applyFont="1" applyFill="1" applyBorder="1" applyAlignment="1">
      <alignment horizontal="center"/>
    </xf>
    <xf numFmtId="49" fontId="9" fillId="3" borderId="0" xfId="1" applyNumberFormat="1" applyFont="1" applyFill="1" applyAlignment="1">
      <alignment horizontal="center"/>
    </xf>
    <xf numFmtId="49" fontId="14" fillId="3" borderId="0" xfId="1" applyNumberFormat="1" applyFont="1" applyFill="1" applyAlignment="1">
      <alignment horizontal="center"/>
    </xf>
    <xf numFmtId="0" fontId="9" fillId="3" borderId="13" xfId="1" applyFont="1" applyFill="1" applyBorder="1" applyAlignment="1" applyProtection="1">
      <alignment horizontal="center" vertical="center"/>
      <protection locked="0"/>
    </xf>
    <xf numFmtId="0" fontId="14" fillId="2" borderId="0" xfId="1" applyFont="1" applyFill="1" applyAlignment="1">
      <alignment horizontal="center"/>
    </xf>
    <xf numFmtId="0" fontId="14" fillId="3" borderId="2" xfId="1" applyFont="1" applyFill="1" applyBorder="1"/>
    <xf numFmtId="0" fontId="9" fillId="3" borderId="2" xfId="1" applyFont="1" applyFill="1" applyBorder="1" applyAlignment="1" applyProtection="1">
      <alignment vertical="center"/>
      <protection locked="0"/>
    </xf>
    <xf numFmtId="0" fontId="9" fillId="3" borderId="2" xfId="1" applyFont="1" applyFill="1" applyBorder="1" applyAlignment="1" applyProtection="1">
      <alignment horizontal="center" vertical="center"/>
      <protection locked="0"/>
    </xf>
    <xf numFmtId="0" fontId="9" fillId="3" borderId="2" xfId="1" applyFont="1" applyFill="1" applyBorder="1" applyProtection="1">
      <protection locked="0"/>
    </xf>
    <xf numFmtId="0" fontId="9" fillId="2" borderId="0" xfId="1" applyFont="1" applyFill="1" applyAlignment="1">
      <alignment vertical="center"/>
    </xf>
    <xf numFmtId="0" fontId="9" fillId="3" borderId="7" xfId="1" applyFont="1" applyFill="1" applyBorder="1"/>
    <xf numFmtId="0" fontId="9" fillId="3" borderId="0" xfId="1" applyFont="1" applyFill="1" applyAlignment="1" applyProtection="1">
      <alignment horizontal="left"/>
      <protection locked="0"/>
    </xf>
    <xf numFmtId="0" fontId="9" fillId="3" borderId="8" xfId="1" applyFont="1" applyFill="1" applyBorder="1"/>
    <xf numFmtId="0" fontId="9" fillId="3" borderId="10" xfId="1" applyFont="1" applyFill="1" applyBorder="1"/>
    <xf numFmtId="0" fontId="9" fillId="5" borderId="0" xfId="1" applyFont="1" applyFill="1"/>
    <xf numFmtId="0" fontId="14" fillId="5" borderId="0" xfId="1" applyFont="1" applyFill="1" applyAlignment="1">
      <alignment horizontal="center"/>
    </xf>
    <xf numFmtId="0" fontId="9" fillId="5" borderId="0" xfId="0" applyFont="1" applyFill="1"/>
    <xf numFmtId="0" fontId="14" fillId="5" borderId="0" xfId="1" applyFont="1" applyFill="1"/>
    <xf numFmtId="2" fontId="9" fillId="5" borderId="0" xfId="0" applyNumberFormat="1" applyFont="1" applyFill="1"/>
    <xf numFmtId="0" fontId="9" fillId="5" borderId="0" xfId="1" applyFont="1" applyFill="1" applyAlignment="1">
      <alignment horizontal="center" vertical="center"/>
    </xf>
    <xf numFmtId="0" fontId="9" fillId="5" borderId="0" xfId="0" applyFont="1" applyFill="1" applyAlignment="1">
      <alignment horizontal="right" vertical="center"/>
    </xf>
    <xf numFmtId="0" fontId="14" fillId="0" borderId="6" xfId="0" applyFont="1" applyBorder="1" applyAlignment="1">
      <alignment horizontal="right" vertical="center"/>
    </xf>
    <xf numFmtId="0" fontId="14" fillId="0" borderId="9" xfId="0" applyFont="1" applyBorder="1" applyAlignment="1">
      <alignment horizontal="right" vertical="center"/>
    </xf>
    <xf numFmtId="49" fontId="9" fillId="0" borderId="9" xfId="0" applyNumberFormat="1" applyFont="1" applyBorder="1" applyAlignment="1">
      <alignment vertical="center"/>
    </xf>
    <xf numFmtId="49" fontId="9" fillId="0" borderId="5" xfId="0" applyNumberFormat="1" applyFont="1" applyBorder="1" applyAlignment="1">
      <alignment vertical="center"/>
    </xf>
    <xf numFmtId="0" fontId="14" fillId="0" borderId="7" xfId="0" applyFont="1" applyBorder="1" applyAlignment="1">
      <alignment horizontal="right" vertical="center"/>
    </xf>
    <xf numFmtId="0" fontId="9" fillId="3" borderId="0" xfId="1" applyFont="1" applyFill="1" applyAlignment="1">
      <alignment horizontal="left" vertical="center"/>
    </xf>
    <xf numFmtId="0" fontId="9" fillId="0" borderId="0" xfId="0" applyFont="1" applyAlignment="1">
      <alignment vertical="center"/>
    </xf>
    <xf numFmtId="0" fontId="14" fillId="3" borderId="0" xfId="1" applyFont="1" applyFill="1" applyAlignment="1">
      <alignment vertical="center"/>
    </xf>
    <xf numFmtId="0" fontId="14" fillId="3" borderId="4" xfId="1" applyFont="1" applyFill="1" applyBorder="1" applyAlignment="1">
      <alignment vertical="center"/>
    </xf>
    <xf numFmtId="0" fontId="14" fillId="0" borderId="8" xfId="0" applyFont="1" applyBorder="1" applyAlignment="1">
      <alignment horizontal="right" vertical="center"/>
    </xf>
    <xf numFmtId="0" fontId="14" fillId="0" borderId="1" xfId="0" applyFont="1" applyBorder="1" applyAlignment="1">
      <alignment horizontal="center" vertical="center"/>
    </xf>
    <xf numFmtId="0" fontId="14" fillId="0" borderId="1" xfId="0" applyFont="1" applyBorder="1" applyAlignment="1">
      <alignment vertical="center"/>
    </xf>
    <xf numFmtId="0" fontId="14" fillId="0" borderId="10" xfId="0" applyFont="1" applyBorder="1" applyAlignment="1">
      <alignment horizontal="left" vertical="center"/>
    </xf>
    <xf numFmtId="0" fontId="14" fillId="0" borderId="9" xfId="0" applyFont="1" applyBorder="1" applyAlignment="1">
      <alignment vertical="center"/>
    </xf>
    <xf numFmtId="0" fontId="9" fillId="0" borderId="9" xfId="0" applyFont="1" applyBorder="1" applyAlignment="1">
      <alignment vertical="center"/>
    </xf>
    <xf numFmtId="0" fontId="14" fillId="0" borderId="7" xfId="0" applyFont="1" applyBorder="1" applyAlignment="1">
      <alignment vertical="center"/>
    </xf>
    <xf numFmtId="0" fontId="14" fillId="0" borderId="0" xfId="0" applyFont="1" applyAlignment="1">
      <alignment vertical="center"/>
    </xf>
    <xf numFmtId="0" fontId="9" fillId="0" borderId="7" xfId="0" applyFont="1" applyBorder="1" applyAlignment="1">
      <alignment vertical="center"/>
    </xf>
    <xf numFmtId="0" fontId="9" fillId="0" borderId="8" xfId="0" applyFont="1" applyBorder="1" applyAlignment="1">
      <alignment vertical="center"/>
    </xf>
    <xf numFmtId="0" fontId="9" fillId="0" borderId="1" xfId="0" applyFont="1" applyBorder="1" applyAlignment="1">
      <alignment vertical="center"/>
    </xf>
    <xf numFmtId="0" fontId="9" fillId="0" borderId="10" xfId="0" applyFont="1" applyBorder="1" applyAlignment="1">
      <alignment vertical="center"/>
    </xf>
    <xf numFmtId="0" fontId="9" fillId="0" borderId="11" xfId="0" applyFont="1" applyBorder="1" applyAlignment="1">
      <alignment vertical="center"/>
    </xf>
    <xf numFmtId="0" fontId="14" fillId="0" borderId="0" xfId="0" applyFont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14" fillId="0" borderId="0" xfId="0" applyFont="1" applyAlignment="1">
      <alignment horizontal="center" vertical="center" wrapText="1"/>
    </xf>
    <xf numFmtId="0" fontId="14" fillId="0" borderId="10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0" fontId="9" fillId="0" borderId="10" xfId="0" applyFont="1" applyBorder="1" applyAlignment="1">
      <alignment horizontal="center" vertical="center"/>
    </xf>
    <xf numFmtId="166" fontId="9" fillId="0" borderId="2" xfId="0" applyNumberFormat="1" applyFont="1" applyBorder="1" applyAlignment="1">
      <alignment horizontal="center" vertical="center"/>
    </xf>
    <xf numFmtId="166" fontId="9" fillId="0" borderId="11" xfId="0" applyNumberFormat="1" applyFont="1" applyBorder="1" applyAlignment="1">
      <alignment horizontal="center" vertical="center"/>
    </xf>
    <xf numFmtId="2" fontId="9" fillId="0" borderId="0" xfId="0" applyNumberFormat="1" applyFont="1" applyAlignment="1">
      <alignment horizontal="center" vertical="center"/>
    </xf>
    <xf numFmtId="2" fontId="9" fillId="0" borderId="0" xfId="0" applyNumberFormat="1" applyFont="1" applyAlignment="1">
      <alignment vertical="center"/>
    </xf>
    <xf numFmtId="2" fontId="14" fillId="0" borderId="0" xfId="0" applyNumberFormat="1" applyFont="1" applyAlignment="1">
      <alignment vertical="center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horizontal="right" vertical="center"/>
    </xf>
    <xf numFmtId="0" fontId="19" fillId="0" borderId="0" xfId="0" applyFont="1"/>
    <xf numFmtId="0" fontId="9" fillId="0" borderId="9" xfId="0" applyFont="1" applyBorder="1"/>
    <xf numFmtId="0" fontId="9" fillId="0" borderId="1" xfId="0" applyFont="1" applyBorder="1"/>
    <xf numFmtId="0" fontId="14" fillId="0" borderId="6" xfId="0" applyFont="1" applyBorder="1"/>
    <xf numFmtId="0" fontId="14" fillId="0" borderId="9" xfId="0" applyFont="1" applyBorder="1"/>
    <xf numFmtId="0" fontId="9" fillId="0" borderId="5" xfId="0" applyFont="1" applyBorder="1"/>
    <xf numFmtId="0" fontId="14" fillId="0" borderId="7" xfId="0" applyFont="1" applyBorder="1"/>
    <xf numFmtId="0" fontId="14" fillId="0" borderId="0" xfId="0" applyFont="1"/>
    <xf numFmtId="0" fontId="9" fillId="0" borderId="4" xfId="0" applyFont="1" applyBorder="1"/>
    <xf numFmtId="0" fontId="9" fillId="0" borderId="7" xfId="0" applyFont="1" applyBorder="1"/>
    <xf numFmtId="0" fontId="9" fillId="0" borderId="8" xfId="0" applyFont="1" applyBorder="1"/>
    <xf numFmtId="0" fontId="9" fillId="0" borderId="10" xfId="0" applyFont="1" applyBorder="1"/>
    <xf numFmtId="0" fontId="9" fillId="0" borderId="0" xfId="0" applyFont="1" applyAlignment="1">
      <alignment horizontal="left"/>
    </xf>
    <xf numFmtId="0" fontId="14" fillId="0" borderId="0" xfId="0" applyFont="1" applyAlignment="1">
      <alignment horizontal="left"/>
    </xf>
    <xf numFmtId="0" fontId="14" fillId="0" borderId="2" xfId="0" applyFont="1" applyBorder="1" applyAlignment="1">
      <alignment horizontal="center"/>
    </xf>
    <xf numFmtId="0" fontId="14" fillId="0" borderId="2" xfId="0" applyFont="1" applyBorder="1" applyAlignment="1">
      <alignment horizontal="center" vertical="center"/>
    </xf>
    <xf numFmtId="0" fontId="9" fillId="0" borderId="2" xfId="0" applyFont="1" applyBorder="1" applyAlignment="1">
      <alignment horizontal="center"/>
    </xf>
    <xf numFmtId="2" fontId="9" fillId="0" borderId="2" xfId="0" applyNumberFormat="1" applyFont="1" applyBorder="1" applyAlignment="1">
      <alignment horizontal="center"/>
    </xf>
    <xf numFmtId="0" fontId="9" fillId="0" borderId="2" xfId="0" applyFont="1" applyBorder="1" applyAlignment="1">
      <alignment horizontal="center" vertical="center"/>
    </xf>
    <xf numFmtId="167" fontId="9" fillId="0" borderId="2" xfId="0" applyNumberFormat="1" applyFont="1" applyBorder="1" applyAlignment="1">
      <alignment horizontal="center" vertical="center"/>
    </xf>
    <xf numFmtId="0" fontId="14" fillId="0" borderId="0" xfId="0" applyFont="1" applyAlignment="1">
      <alignment horizontal="right" vertical="center"/>
    </xf>
    <xf numFmtId="0" fontId="14" fillId="0" borderId="2" xfId="0" applyFont="1" applyBorder="1" applyAlignment="1">
      <alignment horizontal="right" vertical="center"/>
    </xf>
    <xf numFmtId="2" fontId="9" fillId="0" borderId="2" xfId="0" applyNumberFormat="1" applyFont="1" applyBorder="1" applyAlignment="1">
      <alignment horizontal="center" vertical="center"/>
    </xf>
    <xf numFmtId="0" fontId="18" fillId="0" borderId="2" xfId="0" applyFont="1" applyBorder="1" applyAlignment="1">
      <alignment horizontal="right" vertical="center"/>
    </xf>
    <xf numFmtId="0" fontId="14" fillId="0" borderId="0" xfId="0" applyFont="1" applyAlignment="1">
      <alignment horizontal="center"/>
    </xf>
    <xf numFmtId="0" fontId="9" fillId="0" borderId="6" xfId="0" applyFont="1" applyBorder="1"/>
    <xf numFmtId="0" fontId="18" fillId="0" borderId="7" xfId="0" applyFont="1" applyBorder="1" applyAlignment="1">
      <alignment horizontal="right"/>
    </xf>
    <xf numFmtId="0" fontId="14" fillId="0" borderId="0" xfId="0" applyFont="1" applyAlignment="1">
      <alignment horizontal="right"/>
    </xf>
    <xf numFmtId="0" fontId="14" fillId="0" borderId="7" xfId="0" applyFont="1" applyBorder="1" applyAlignment="1">
      <alignment horizontal="right"/>
    </xf>
    <xf numFmtId="0" fontId="9" fillId="0" borderId="0" xfId="0" applyFont="1" applyAlignment="1" applyProtection="1">
      <alignment horizontal="left" vertical="center"/>
      <protection locked="0"/>
    </xf>
    <xf numFmtId="0" fontId="24" fillId="0" borderId="9" xfId="0" applyFont="1" applyBorder="1"/>
    <xf numFmtId="0" fontId="24" fillId="0" borderId="0" xfId="0" applyFont="1"/>
    <xf numFmtId="0" fontId="24" fillId="0" borderId="1" xfId="0" applyFont="1" applyBorder="1"/>
    <xf numFmtId="0" fontId="14" fillId="0" borderId="12" xfId="0" applyFont="1" applyBorder="1" applyAlignment="1">
      <alignment vertical="center"/>
    </xf>
    <xf numFmtId="0" fontId="9" fillId="0" borderId="13" xfId="1" applyFont="1" applyBorder="1" applyAlignment="1">
      <alignment vertical="center"/>
    </xf>
    <xf numFmtId="0" fontId="9" fillId="0" borderId="13" xfId="0" applyFont="1" applyBorder="1" applyAlignment="1">
      <alignment vertical="center"/>
    </xf>
    <xf numFmtId="0" fontId="14" fillId="0" borderId="13" xfId="0" applyFont="1" applyBorder="1" applyAlignment="1">
      <alignment vertical="center"/>
    </xf>
    <xf numFmtId="0" fontId="13" fillId="0" borderId="13" xfId="1" applyFont="1" applyBorder="1" applyAlignment="1">
      <alignment vertical="center"/>
    </xf>
    <xf numFmtId="0" fontId="9" fillId="0" borderId="14" xfId="0" applyFont="1" applyBorder="1" applyAlignment="1">
      <alignment vertical="center"/>
    </xf>
    <xf numFmtId="9" fontId="9" fillId="0" borderId="0" xfId="0" applyNumberFormat="1" applyFont="1" applyAlignment="1">
      <alignment horizontal="left"/>
    </xf>
    <xf numFmtId="0" fontId="25" fillId="0" borderId="0" xfId="0" applyFont="1"/>
    <xf numFmtId="0" fontId="25" fillId="0" borderId="0" xfId="0" applyFont="1" applyAlignment="1">
      <alignment vertical="center"/>
    </xf>
    <xf numFmtId="0" fontId="9" fillId="0" borderId="1" xfId="0" applyFont="1" applyBorder="1" applyAlignment="1">
      <alignment horizontal="center" vertical="center"/>
    </xf>
    <xf numFmtId="0" fontId="9" fillId="0" borderId="0" xfId="0" applyFont="1" applyProtection="1">
      <protection locked="0"/>
    </xf>
    <xf numFmtId="0" fontId="20" fillId="3" borderId="0" xfId="1" applyFont="1" applyFill="1"/>
    <xf numFmtId="2" fontId="14" fillId="0" borderId="7" xfId="0" applyNumberFormat="1" applyFont="1" applyBorder="1" applyAlignment="1">
      <alignment vertical="center"/>
    </xf>
    <xf numFmtId="2" fontId="9" fillId="0" borderId="7" xfId="0" applyNumberFormat="1" applyFont="1" applyBorder="1" applyAlignment="1">
      <alignment vertical="center"/>
    </xf>
    <xf numFmtId="2" fontId="14" fillId="0" borderId="0" xfId="0" applyNumberFormat="1" applyFont="1" applyAlignment="1">
      <alignment horizontal="center" vertical="center"/>
    </xf>
    <xf numFmtId="0" fontId="9" fillId="0" borderId="16" xfId="0" applyFont="1" applyBorder="1" applyAlignment="1">
      <alignment horizontal="center" vertical="center"/>
    </xf>
    <xf numFmtId="0" fontId="9" fillId="0" borderId="17" xfId="0" applyFont="1" applyBorder="1" applyAlignment="1">
      <alignment horizontal="center" vertical="center"/>
    </xf>
    <xf numFmtId="0" fontId="14" fillId="0" borderId="18" xfId="0" applyFont="1" applyBorder="1" applyAlignment="1">
      <alignment horizontal="center" vertical="center"/>
    </xf>
    <xf numFmtId="0" fontId="9" fillId="0" borderId="19" xfId="0" applyFont="1" applyBorder="1" applyAlignment="1">
      <alignment horizontal="center" vertical="center"/>
    </xf>
    <xf numFmtId="0" fontId="9" fillId="0" borderId="20" xfId="0" applyFont="1" applyBorder="1" applyAlignment="1">
      <alignment horizontal="center" vertical="center"/>
    </xf>
    <xf numFmtId="0" fontId="14" fillId="0" borderId="21" xfId="0" applyFont="1" applyBorder="1" applyAlignment="1">
      <alignment horizontal="center" vertical="center"/>
    </xf>
    <xf numFmtId="0" fontId="14" fillId="0" borderId="22" xfId="0" applyFont="1" applyBorder="1" applyAlignment="1">
      <alignment horizontal="center" vertical="center"/>
    </xf>
    <xf numFmtId="0" fontId="14" fillId="0" borderId="23" xfId="0" applyFont="1" applyBorder="1" applyAlignment="1">
      <alignment horizontal="center" vertical="center"/>
    </xf>
    <xf numFmtId="0" fontId="9" fillId="0" borderId="0" xfId="0" applyFont="1" applyAlignment="1">
      <alignment horizontal="center"/>
    </xf>
    <xf numFmtId="0" fontId="9" fillId="4" borderId="2" xfId="0" applyFont="1" applyFill="1" applyBorder="1" applyAlignment="1">
      <alignment horizontal="center"/>
    </xf>
    <xf numFmtId="0" fontId="9" fillId="4" borderId="2" xfId="0" applyFont="1" applyFill="1" applyBorder="1"/>
    <xf numFmtId="0" fontId="9" fillId="0" borderId="2" xfId="0" applyFont="1" applyBorder="1"/>
    <xf numFmtId="0" fontId="9" fillId="0" borderId="3" xfId="0" applyFont="1" applyBorder="1"/>
    <xf numFmtId="0" fontId="9" fillId="0" borderId="0" xfId="0" applyFont="1" applyAlignment="1">
      <alignment horizontal="left" vertical="center"/>
    </xf>
    <xf numFmtId="0" fontId="3" fillId="0" borderId="9" xfId="0" applyFont="1" applyBorder="1" applyAlignment="1">
      <alignment vertical="center"/>
    </xf>
    <xf numFmtId="0" fontId="1" fillId="0" borderId="9" xfId="0" applyFont="1" applyBorder="1" applyAlignment="1">
      <alignment vertical="center"/>
    </xf>
    <xf numFmtId="0" fontId="3" fillId="0" borderId="5" xfId="0" applyFont="1" applyBorder="1" applyAlignment="1">
      <alignment vertical="center"/>
    </xf>
    <xf numFmtId="0" fontId="3" fillId="0" borderId="4" xfId="0" applyFont="1" applyBorder="1" applyAlignment="1">
      <alignment vertical="center"/>
    </xf>
    <xf numFmtId="0" fontId="1" fillId="0" borderId="0" xfId="0" applyFont="1" applyAlignment="1">
      <alignment horizontal="right"/>
    </xf>
    <xf numFmtId="0" fontId="0" fillId="0" borderId="9" xfId="0" applyBorder="1"/>
    <xf numFmtId="0" fontId="26" fillId="0" borderId="9" xfId="0" applyFont="1" applyBorder="1"/>
    <xf numFmtId="0" fontId="0" fillId="0" borderId="5" xfId="0" applyBorder="1"/>
    <xf numFmtId="0" fontId="26" fillId="0" borderId="0" xfId="0" applyFont="1"/>
    <xf numFmtId="0" fontId="0" fillId="0" borderId="4" xfId="0" applyBorder="1"/>
    <xf numFmtId="0" fontId="0" fillId="0" borderId="1" xfId="0" applyBorder="1"/>
    <xf numFmtId="0" fontId="1" fillId="0" borderId="1" xfId="0" applyFont="1" applyBorder="1" applyAlignment="1">
      <alignment horizontal="right" vertical="center"/>
    </xf>
    <xf numFmtId="0" fontId="1" fillId="0" borderId="15" xfId="0" applyFont="1" applyBorder="1" applyAlignment="1">
      <alignment vertical="center"/>
    </xf>
    <xf numFmtId="0" fontId="3" fillId="0" borderId="15" xfId="0" applyFont="1" applyBorder="1" applyAlignment="1">
      <alignment vertical="center"/>
    </xf>
    <xf numFmtId="0" fontId="3" fillId="0" borderId="6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3" fillId="0" borderId="7" xfId="0" applyFont="1" applyBorder="1" applyAlignment="1">
      <alignment vertical="center"/>
    </xf>
    <xf numFmtId="0" fontId="3" fillId="0" borderId="3" xfId="0" applyFont="1" applyBorder="1" applyAlignment="1">
      <alignment vertical="center"/>
    </xf>
    <xf numFmtId="49" fontId="14" fillId="0" borderId="9" xfId="0" applyNumberFormat="1" applyFont="1" applyBorder="1" applyAlignment="1">
      <alignment vertical="center"/>
    </xf>
    <xf numFmtId="0" fontId="14" fillId="0" borderId="0" xfId="0" applyFont="1" applyAlignment="1">
      <alignment vertical="center" wrapText="1"/>
    </xf>
    <xf numFmtId="0" fontId="18" fillId="0" borderId="1" xfId="0" applyFont="1" applyBorder="1" applyAlignment="1">
      <alignment horizontal="center" vertical="center" wrapText="1"/>
    </xf>
    <xf numFmtId="168" fontId="14" fillId="3" borderId="0" xfId="1" applyNumberFormat="1" applyFont="1" applyFill="1" applyAlignment="1">
      <alignment vertical="center"/>
    </xf>
    <xf numFmtId="168" fontId="9" fillId="0" borderId="0" xfId="0" applyNumberFormat="1" applyFont="1" applyAlignment="1" applyProtection="1">
      <alignment horizontal="left" vertical="center"/>
      <protection locked="0"/>
    </xf>
    <xf numFmtId="168" fontId="9" fillId="0" borderId="9" xfId="0" applyNumberFormat="1" applyFont="1" applyBorder="1" applyAlignment="1">
      <alignment vertical="center"/>
    </xf>
    <xf numFmtId="168" fontId="9" fillId="0" borderId="9" xfId="0" applyNumberFormat="1" applyFont="1" applyBorder="1" applyAlignment="1">
      <alignment horizontal="center" vertical="center"/>
    </xf>
    <xf numFmtId="2" fontId="14" fillId="0" borderId="2" xfId="0" applyNumberFormat="1" applyFont="1" applyBorder="1" applyAlignment="1">
      <alignment vertical="center"/>
    </xf>
    <xf numFmtId="168" fontId="9" fillId="0" borderId="9" xfId="0" applyNumberFormat="1" applyFont="1" applyBorder="1" applyAlignment="1">
      <alignment horizontal="center"/>
    </xf>
    <xf numFmtId="0" fontId="27" fillId="9" borderId="0" xfId="0" applyFont="1" applyFill="1" applyAlignment="1">
      <alignment horizontal="center" vertical="center" wrapText="1"/>
    </xf>
    <xf numFmtId="168" fontId="14" fillId="5" borderId="12" xfId="1" applyNumberFormat="1" applyFont="1" applyFill="1" applyBorder="1" applyAlignment="1" applyProtection="1">
      <alignment horizontal="center" vertical="center"/>
      <protection locked="0"/>
    </xf>
    <xf numFmtId="168" fontId="14" fillId="5" borderId="13" xfId="1" applyNumberFormat="1" applyFont="1" applyFill="1" applyBorder="1" applyAlignment="1" applyProtection="1">
      <alignment horizontal="center" vertical="center"/>
      <protection locked="0"/>
    </xf>
    <xf numFmtId="168" fontId="14" fillId="5" borderId="14" xfId="1" applyNumberFormat="1" applyFont="1" applyFill="1" applyBorder="1" applyAlignment="1" applyProtection="1">
      <alignment horizontal="center" vertical="center"/>
      <protection locked="0"/>
    </xf>
    <xf numFmtId="0" fontId="14" fillId="5" borderId="0" xfId="1" applyFont="1" applyFill="1" applyAlignment="1">
      <alignment horizontal="center" vertical="center"/>
    </xf>
    <xf numFmtId="0" fontId="14" fillId="5" borderId="9" xfId="1" applyFont="1" applyFill="1" applyBorder="1" applyAlignment="1">
      <alignment horizontal="center"/>
    </xf>
    <xf numFmtId="0" fontId="9" fillId="3" borderId="12" xfId="1" applyFont="1" applyFill="1" applyBorder="1" applyAlignment="1" applyProtection="1">
      <alignment horizontal="center"/>
      <protection locked="0"/>
    </xf>
    <xf numFmtId="0" fontId="9" fillId="3" borderId="13" xfId="1" applyFont="1" applyFill="1" applyBorder="1" applyAlignment="1" applyProtection="1">
      <alignment horizontal="center"/>
      <protection locked="0"/>
    </xf>
    <xf numFmtId="0" fontId="9" fillId="3" borderId="14" xfId="1" applyFont="1" applyFill="1" applyBorder="1" applyAlignment="1" applyProtection="1">
      <alignment horizontal="center"/>
      <protection locked="0"/>
    </xf>
    <xf numFmtId="0" fontId="9" fillId="5" borderId="1" xfId="1" applyFont="1" applyFill="1" applyBorder="1" applyAlignment="1">
      <alignment horizontal="center"/>
    </xf>
    <xf numFmtId="0" fontId="9" fillId="5" borderId="0" xfId="1" applyFont="1" applyFill="1" applyAlignment="1">
      <alignment horizontal="center" vertical="center"/>
    </xf>
    <xf numFmtId="0" fontId="9" fillId="3" borderId="12" xfId="1" applyFont="1" applyFill="1" applyBorder="1" applyAlignment="1" applyProtection="1">
      <alignment horizontal="left"/>
      <protection locked="0"/>
    </xf>
    <xf numFmtId="0" fontId="9" fillId="3" borderId="13" xfId="1" applyFont="1" applyFill="1" applyBorder="1" applyAlignment="1" applyProtection="1">
      <alignment horizontal="left"/>
      <protection locked="0"/>
    </xf>
    <xf numFmtId="0" fontId="9" fillId="3" borderId="14" xfId="1" applyFont="1" applyFill="1" applyBorder="1" applyAlignment="1" applyProtection="1">
      <alignment horizontal="left"/>
      <protection locked="0"/>
    </xf>
    <xf numFmtId="0" fontId="9" fillId="5" borderId="0" xfId="1" applyFont="1" applyFill="1" applyAlignment="1">
      <alignment horizontal="left" vertical="center"/>
    </xf>
    <xf numFmtId="0" fontId="14" fillId="3" borderId="6" xfId="1" applyFont="1" applyFill="1" applyBorder="1" applyAlignment="1">
      <alignment horizontal="center"/>
    </xf>
    <xf numFmtId="0" fontId="14" fillId="3" borderId="9" xfId="1" applyFont="1" applyFill="1" applyBorder="1" applyAlignment="1">
      <alignment horizontal="center"/>
    </xf>
    <xf numFmtId="0" fontId="14" fillId="3" borderId="5" xfId="1" applyFont="1" applyFill="1" applyBorder="1" applyAlignment="1">
      <alignment horizontal="center"/>
    </xf>
    <xf numFmtId="0" fontId="9" fillId="3" borderId="0" xfId="1" applyFont="1" applyFill="1" applyAlignment="1" applyProtection="1">
      <alignment horizontal="left"/>
      <protection locked="0"/>
    </xf>
    <xf numFmtId="0" fontId="14" fillId="6" borderId="12" xfId="1" applyFont="1" applyFill="1" applyBorder="1" applyAlignment="1">
      <alignment horizontal="center"/>
    </xf>
    <xf numFmtId="0" fontId="14" fillId="6" borderId="13" xfId="1" applyFont="1" applyFill="1" applyBorder="1" applyAlignment="1">
      <alignment horizontal="center"/>
    </xf>
    <xf numFmtId="0" fontId="14" fillId="6" borderId="14" xfId="1" applyFont="1" applyFill="1" applyBorder="1" applyAlignment="1">
      <alignment horizontal="center"/>
    </xf>
    <xf numFmtId="0" fontId="14" fillId="3" borderId="2" xfId="1" applyFont="1" applyFill="1" applyBorder="1" applyAlignment="1">
      <alignment horizontal="center"/>
    </xf>
    <xf numFmtId="0" fontId="16" fillId="6" borderId="12" xfId="1" applyFont="1" applyFill="1" applyBorder="1" applyAlignment="1">
      <alignment horizontal="center" vertical="center" wrapText="1"/>
    </xf>
    <xf numFmtId="0" fontId="16" fillId="6" borderId="13" xfId="1" applyFont="1" applyFill="1" applyBorder="1" applyAlignment="1">
      <alignment horizontal="center" vertical="center" wrapText="1"/>
    </xf>
    <xf numFmtId="0" fontId="16" fillId="6" borderId="14" xfId="1" applyFont="1" applyFill="1" applyBorder="1" applyAlignment="1">
      <alignment horizontal="center" vertical="center" wrapText="1"/>
    </xf>
    <xf numFmtId="0" fontId="9" fillId="3" borderId="2" xfId="1" applyFont="1" applyFill="1" applyBorder="1" applyAlignment="1" applyProtection="1">
      <alignment horizontal="center"/>
      <protection locked="0"/>
    </xf>
    <xf numFmtId="0" fontId="14" fillId="3" borderId="2" xfId="1" applyFont="1" applyFill="1" applyBorder="1" applyAlignment="1" applyProtection="1">
      <alignment horizontal="center"/>
      <protection locked="0"/>
    </xf>
    <xf numFmtId="0" fontId="9" fillId="3" borderId="12" xfId="1" applyFont="1" applyFill="1" applyBorder="1" applyAlignment="1" applyProtection="1">
      <alignment horizontal="center" vertical="center"/>
      <protection locked="0"/>
    </xf>
    <xf numFmtId="0" fontId="9" fillId="3" borderId="13" xfId="1" applyFont="1" applyFill="1" applyBorder="1" applyAlignment="1" applyProtection="1">
      <alignment horizontal="center" vertical="center"/>
      <protection locked="0"/>
    </xf>
    <xf numFmtId="0" fontId="9" fillId="3" borderId="14" xfId="1" applyFont="1" applyFill="1" applyBorder="1" applyAlignment="1" applyProtection="1">
      <alignment horizontal="center" vertical="center"/>
      <protection locked="0"/>
    </xf>
    <xf numFmtId="2" fontId="9" fillId="3" borderId="12" xfId="1" applyNumberFormat="1" applyFont="1" applyFill="1" applyBorder="1" applyAlignment="1" applyProtection="1">
      <alignment horizontal="center" vertical="center"/>
      <protection locked="0"/>
    </xf>
    <xf numFmtId="2" fontId="9" fillId="3" borderId="13" xfId="1" applyNumberFormat="1" applyFont="1" applyFill="1" applyBorder="1" applyAlignment="1" applyProtection="1">
      <alignment horizontal="center" vertical="center"/>
      <protection locked="0"/>
    </xf>
    <xf numFmtId="2" fontId="9" fillId="3" borderId="14" xfId="1" applyNumberFormat="1" applyFont="1" applyFill="1" applyBorder="1" applyAlignment="1" applyProtection="1">
      <alignment horizontal="center" vertical="center"/>
      <protection locked="0"/>
    </xf>
    <xf numFmtId="0" fontId="16" fillId="6" borderId="12" xfId="1" applyFont="1" applyFill="1" applyBorder="1" applyAlignment="1">
      <alignment horizontal="center" vertical="center"/>
    </xf>
    <xf numFmtId="0" fontId="16" fillId="6" borderId="13" xfId="1" applyFont="1" applyFill="1" applyBorder="1" applyAlignment="1">
      <alignment horizontal="center" vertical="center"/>
    </xf>
    <xf numFmtId="0" fontId="16" fillId="6" borderId="14" xfId="1" applyFont="1" applyFill="1" applyBorder="1" applyAlignment="1">
      <alignment horizontal="center" vertical="center"/>
    </xf>
    <xf numFmtId="0" fontId="16" fillId="6" borderId="2" xfId="1" applyFont="1" applyFill="1" applyBorder="1" applyAlignment="1">
      <alignment horizontal="center" vertical="center" wrapText="1"/>
    </xf>
    <xf numFmtId="0" fontId="14" fillId="7" borderId="12" xfId="1" applyFont="1" applyFill="1" applyBorder="1" applyAlignment="1">
      <alignment horizontal="center"/>
    </xf>
    <xf numFmtId="0" fontId="14" fillId="7" borderId="13" xfId="1" applyFont="1" applyFill="1" applyBorder="1" applyAlignment="1">
      <alignment horizontal="center"/>
    </xf>
    <xf numFmtId="0" fontId="14" fillId="7" borderId="14" xfId="1" applyFont="1" applyFill="1" applyBorder="1" applyAlignment="1">
      <alignment horizontal="center"/>
    </xf>
    <xf numFmtId="0" fontId="9" fillId="3" borderId="14" xfId="1" applyFont="1" applyFill="1" applyBorder="1" applyProtection="1">
      <protection locked="0"/>
    </xf>
    <xf numFmtId="0" fontId="9" fillId="3" borderId="12" xfId="1" applyFont="1" applyFill="1" applyBorder="1" applyAlignment="1">
      <alignment horizontal="center" vertical="center"/>
    </xf>
    <xf numFmtId="0" fontId="9" fillId="3" borderId="13" xfId="1" applyFont="1" applyFill="1" applyBorder="1" applyAlignment="1">
      <alignment horizontal="center" vertical="center"/>
    </xf>
    <xf numFmtId="0" fontId="9" fillId="3" borderId="14" xfId="1" applyFont="1" applyFill="1" applyBorder="1" applyAlignment="1">
      <alignment horizontal="center" vertical="center"/>
    </xf>
    <xf numFmtId="0" fontId="3" fillId="3" borderId="1" xfId="1" applyFill="1" applyBorder="1" applyAlignment="1">
      <alignment horizontal="center"/>
    </xf>
    <xf numFmtId="0" fontId="3" fillId="3" borderId="10" xfId="1" applyFill="1" applyBorder="1" applyAlignment="1">
      <alignment horizontal="center"/>
    </xf>
    <xf numFmtId="0" fontId="14" fillId="3" borderId="2" xfId="1" applyFont="1" applyFill="1" applyBorder="1" applyAlignment="1">
      <alignment horizontal="center" vertical="center" wrapText="1"/>
    </xf>
    <xf numFmtId="0" fontId="9" fillId="3" borderId="12" xfId="1" applyFont="1" applyFill="1" applyBorder="1" applyAlignment="1">
      <alignment horizontal="center"/>
    </xf>
    <xf numFmtId="0" fontId="9" fillId="3" borderId="13" xfId="1" applyFont="1" applyFill="1" applyBorder="1" applyAlignment="1">
      <alignment horizontal="center"/>
    </xf>
    <xf numFmtId="0" fontId="9" fillId="3" borderId="14" xfId="1" applyFont="1" applyFill="1" applyBorder="1" applyAlignment="1">
      <alignment horizontal="center"/>
    </xf>
    <xf numFmtId="49" fontId="9" fillId="3" borderId="24" xfId="1" applyNumberFormat="1" applyFont="1" applyFill="1" applyBorder="1" applyAlignment="1">
      <alignment horizontal="center" vertical="center" wrapText="1"/>
    </xf>
    <xf numFmtId="0" fontId="9" fillId="3" borderId="0" xfId="1" applyFont="1" applyFill="1" applyAlignment="1">
      <alignment horizontal="right" vertical="center"/>
    </xf>
    <xf numFmtId="0" fontId="14" fillId="8" borderId="12" xfId="1" applyFont="1" applyFill="1" applyBorder="1" applyAlignment="1">
      <alignment horizontal="center"/>
    </xf>
    <xf numFmtId="0" fontId="14" fillId="8" borderId="13" xfId="1" applyFont="1" applyFill="1" applyBorder="1" applyAlignment="1">
      <alignment horizontal="center"/>
    </xf>
    <xf numFmtId="0" fontId="14" fillId="8" borderId="14" xfId="1" applyFont="1" applyFill="1" applyBorder="1" applyAlignment="1">
      <alignment horizontal="center"/>
    </xf>
    <xf numFmtId="0" fontId="12" fillId="3" borderId="0" xfId="1" applyFont="1" applyFill="1" applyAlignment="1">
      <alignment horizontal="left" vertical="center"/>
    </xf>
    <xf numFmtId="0" fontId="9" fillId="2" borderId="0" xfId="1" applyFont="1" applyFill="1" applyAlignment="1">
      <alignment horizontal="right" vertical="center"/>
    </xf>
    <xf numFmtId="0" fontId="15" fillId="3" borderId="0" xfId="1" applyFont="1" applyFill="1" applyAlignment="1">
      <alignment horizontal="center"/>
    </xf>
    <xf numFmtId="0" fontId="15" fillId="3" borderId="4" xfId="1" applyFont="1" applyFill="1" applyBorder="1" applyAlignment="1">
      <alignment horizontal="center"/>
    </xf>
    <xf numFmtId="49" fontId="9" fillId="0" borderId="0" xfId="0" applyNumberFormat="1" applyFont="1" applyAlignment="1">
      <alignment horizontal="center"/>
    </xf>
    <xf numFmtId="0" fontId="9" fillId="0" borderId="0" xfId="0" applyFont="1" applyAlignment="1">
      <alignment horizontal="center"/>
    </xf>
    <xf numFmtId="0" fontId="14" fillId="3" borderId="0" xfId="1" applyFont="1" applyFill="1" applyAlignment="1">
      <alignment horizontal="center"/>
    </xf>
    <xf numFmtId="0" fontId="9" fillId="3" borderId="7" xfId="1" applyFont="1" applyFill="1" applyBorder="1" applyAlignment="1">
      <alignment horizontal="right" vertical="center"/>
    </xf>
    <xf numFmtId="0" fontId="3" fillId="3" borderId="13" xfId="1" applyFill="1" applyBorder="1" applyAlignment="1">
      <alignment horizontal="center" vertical="center"/>
    </xf>
    <xf numFmtId="49" fontId="9" fillId="5" borderId="1" xfId="1" applyNumberFormat="1" applyFont="1" applyFill="1" applyBorder="1" applyAlignment="1" applyProtection="1">
      <alignment horizontal="center" vertical="center"/>
      <protection locked="0"/>
    </xf>
    <xf numFmtId="0" fontId="3" fillId="3" borderId="13" xfId="1" applyFill="1" applyBorder="1" applyAlignment="1">
      <alignment horizontal="center"/>
    </xf>
    <xf numFmtId="0" fontId="3" fillId="3" borderId="14" xfId="1" applyFill="1" applyBorder="1" applyAlignment="1">
      <alignment horizontal="center"/>
    </xf>
    <xf numFmtId="0" fontId="3" fillId="3" borderId="1" xfId="1" applyFill="1" applyBorder="1" applyAlignment="1">
      <alignment horizontal="center" vertical="center"/>
    </xf>
    <xf numFmtId="0" fontId="14" fillId="3" borderId="12" xfId="1" applyFont="1" applyFill="1" applyBorder="1" applyAlignment="1">
      <alignment horizontal="center" vertical="center"/>
    </xf>
    <xf numFmtId="0" fontId="14" fillId="3" borderId="13" xfId="1" applyFont="1" applyFill="1" applyBorder="1" applyAlignment="1">
      <alignment horizontal="center" vertical="center"/>
    </xf>
    <xf numFmtId="0" fontId="14" fillId="3" borderId="14" xfId="1" applyFont="1" applyFill="1" applyBorder="1" applyAlignment="1">
      <alignment horizontal="center" vertical="center"/>
    </xf>
    <xf numFmtId="0" fontId="14" fillId="3" borderId="12" xfId="1" applyFont="1" applyFill="1" applyBorder="1" applyAlignment="1">
      <alignment horizontal="center" vertical="center" wrapText="1"/>
    </xf>
    <xf numFmtId="0" fontId="14" fillId="3" borderId="13" xfId="1" applyFont="1" applyFill="1" applyBorder="1" applyAlignment="1">
      <alignment horizontal="center" vertical="center" wrapText="1"/>
    </xf>
    <xf numFmtId="0" fontId="14" fillId="3" borderId="14" xfId="1" applyFont="1" applyFill="1" applyBorder="1" applyAlignment="1">
      <alignment horizontal="center" vertical="center" wrapText="1"/>
    </xf>
    <xf numFmtId="0" fontId="14" fillId="3" borderId="25" xfId="1" applyFont="1" applyFill="1" applyBorder="1" applyAlignment="1" applyProtection="1">
      <alignment horizontal="center"/>
      <protection locked="0"/>
    </xf>
    <xf numFmtId="0" fontId="14" fillId="3" borderId="24" xfId="1" applyFont="1" applyFill="1" applyBorder="1" applyAlignment="1" applyProtection="1">
      <alignment horizontal="center"/>
      <protection locked="0"/>
    </xf>
    <xf numFmtId="0" fontId="14" fillId="3" borderId="26" xfId="1" applyFont="1" applyFill="1" applyBorder="1" applyAlignment="1" applyProtection="1">
      <alignment horizontal="center"/>
      <protection locked="0"/>
    </xf>
    <xf numFmtId="0" fontId="14" fillId="3" borderId="27" xfId="1" applyFont="1" applyFill="1" applyBorder="1" applyAlignment="1" applyProtection="1">
      <alignment horizontal="center"/>
      <protection locked="0"/>
    </xf>
    <xf numFmtId="0" fontId="14" fillId="3" borderId="0" xfId="1" applyFont="1" applyFill="1" applyAlignment="1" applyProtection="1">
      <alignment horizontal="center"/>
      <protection locked="0"/>
    </xf>
    <xf numFmtId="0" fontId="14" fillId="3" borderId="28" xfId="1" applyFont="1" applyFill="1" applyBorder="1" applyAlignment="1" applyProtection="1">
      <alignment horizontal="center"/>
      <protection locked="0"/>
    </xf>
    <xf numFmtId="0" fontId="14" fillId="3" borderId="29" xfId="1" applyFont="1" applyFill="1" applyBorder="1" applyAlignment="1" applyProtection="1">
      <alignment horizontal="center"/>
      <protection locked="0"/>
    </xf>
    <xf numFmtId="0" fontId="14" fillId="3" borderId="30" xfId="1" applyFont="1" applyFill="1" applyBorder="1" applyAlignment="1" applyProtection="1">
      <alignment horizontal="center"/>
      <protection locked="0"/>
    </xf>
    <xf numFmtId="0" fontId="14" fillId="3" borderId="31" xfId="1" applyFont="1" applyFill="1" applyBorder="1" applyAlignment="1" applyProtection="1">
      <alignment horizontal="center"/>
      <protection locked="0"/>
    </xf>
    <xf numFmtId="49" fontId="9" fillId="3" borderId="24" xfId="1" applyNumberFormat="1" applyFont="1" applyFill="1" applyBorder="1" applyAlignment="1">
      <alignment horizontal="center" wrapText="1"/>
    </xf>
    <xf numFmtId="0" fontId="9" fillId="3" borderId="0" xfId="1" applyFont="1" applyFill="1" applyAlignment="1">
      <alignment horizontal="center"/>
    </xf>
    <xf numFmtId="0" fontId="9" fillId="3" borderId="2" xfId="1" applyFont="1" applyFill="1" applyBorder="1" applyAlignment="1" applyProtection="1">
      <alignment horizontal="center" vertical="center"/>
      <protection locked="0"/>
    </xf>
    <xf numFmtId="0" fontId="14" fillId="3" borderId="12" xfId="1" applyFont="1" applyFill="1" applyBorder="1" applyAlignment="1" applyProtection="1">
      <alignment horizontal="center" vertical="center"/>
      <protection locked="0"/>
    </xf>
    <xf numFmtId="0" fontId="14" fillId="3" borderId="13" xfId="1" applyFont="1" applyFill="1" applyBorder="1" applyAlignment="1" applyProtection="1">
      <alignment horizontal="center" vertical="center"/>
      <protection locked="0"/>
    </xf>
    <xf numFmtId="0" fontId="14" fillId="3" borderId="14" xfId="1" applyFont="1" applyFill="1" applyBorder="1" applyAlignment="1" applyProtection="1">
      <alignment horizontal="center" vertical="center"/>
      <protection locked="0"/>
    </xf>
    <xf numFmtId="0" fontId="14" fillId="3" borderId="12" xfId="1" applyFont="1" applyFill="1" applyBorder="1" applyAlignment="1">
      <alignment horizontal="center"/>
    </xf>
    <xf numFmtId="0" fontId="14" fillId="3" borderId="13" xfId="1" applyFont="1" applyFill="1" applyBorder="1" applyAlignment="1">
      <alignment horizontal="center"/>
    </xf>
    <xf numFmtId="0" fontId="14" fillId="3" borderId="14" xfId="1" applyFont="1" applyFill="1" applyBorder="1" applyAlignment="1">
      <alignment horizontal="center"/>
    </xf>
    <xf numFmtId="2" fontId="1" fillId="6" borderId="0" xfId="0" applyNumberFormat="1" applyFont="1" applyFill="1" applyAlignment="1">
      <alignment horizontal="center" vertical="center"/>
    </xf>
    <xf numFmtId="2" fontId="1" fillId="0" borderId="0" xfId="0" applyNumberFormat="1" applyFont="1" applyAlignment="1">
      <alignment horizontal="center" vertical="center"/>
    </xf>
    <xf numFmtId="2" fontId="14" fillId="0" borderId="9" xfId="0" applyNumberFormat="1" applyFont="1" applyBorder="1" applyAlignment="1">
      <alignment horizontal="center" vertical="center"/>
    </xf>
    <xf numFmtId="2" fontId="4" fillId="0" borderId="0" xfId="0" applyNumberFormat="1" applyFont="1" applyAlignment="1">
      <alignment horizontal="center" vertical="center"/>
    </xf>
    <xf numFmtId="2" fontId="5" fillId="0" borderId="0" xfId="0" applyNumberFormat="1" applyFont="1" applyAlignment="1">
      <alignment horizontal="center" vertical="center"/>
    </xf>
    <xf numFmtId="2" fontId="14" fillId="6" borderId="12" xfId="0" applyNumberFormat="1" applyFont="1" applyFill="1" applyBorder="1" applyAlignment="1">
      <alignment horizontal="center" vertical="center"/>
    </xf>
    <xf numFmtId="2" fontId="14" fillId="6" borderId="13" xfId="0" applyNumberFormat="1" applyFont="1" applyFill="1" applyBorder="1" applyAlignment="1">
      <alignment horizontal="center" vertical="center"/>
    </xf>
    <xf numFmtId="2" fontId="14" fillId="6" borderId="14" xfId="0" applyNumberFormat="1" applyFont="1" applyFill="1" applyBorder="1" applyAlignment="1">
      <alignment horizontal="center" vertical="center"/>
    </xf>
    <xf numFmtId="2" fontId="9" fillId="0" borderId="6" xfId="0" applyNumberFormat="1" applyFont="1" applyBorder="1" applyAlignment="1">
      <alignment horizontal="center" vertical="center"/>
    </xf>
    <xf numFmtId="2" fontId="9" fillId="0" borderId="9" xfId="0" applyNumberFormat="1" applyFont="1" applyBorder="1" applyAlignment="1">
      <alignment horizontal="center" vertical="center"/>
    </xf>
    <xf numFmtId="2" fontId="9" fillId="0" borderId="5" xfId="0" applyNumberFormat="1" applyFont="1" applyBorder="1" applyAlignment="1">
      <alignment horizontal="center" vertical="center"/>
    </xf>
    <xf numFmtId="2" fontId="9" fillId="0" borderId="7" xfId="0" applyNumberFormat="1" applyFont="1" applyBorder="1" applyAlignment="1">
      <alignment horizontal="center" vertical="center"/>
    </xf>
    <xf numFmtId="2" fontId="9" fillId="0" borderId="0" xfId="0" applyNumberFormat="1" applyFont="1" applyAlignment="1">
      <alignment horizontal="center" vertical="center"/>
    </xf>
    <xf numFmtId="2" fontId="9" fillId="0" borderId="4" xfId="0" applyNumberFormat="1" applyFont="1" applyBorder="1" applyAlignment="1">
      <alignment horizontal="center" vertical="center"/>
    </xf>
    <xf numFmtId="2" fontId="9" fillId="0" borderId="8" xfId="0" applyNumberFormat="1" applyFont="1" applyBorder="1" applyAlignment="1">
      <alignment horizontal="center" vertical="center"/>
    </xf>
    <xf numFmtId="2" fontId="9" fillId="0" borderId="1" xfId="0" applyNumberFormat="1" applyFont="1" applyBorder="1" applyAlignment="1">
      <alignment horizontal="center" vertical="center"/>
    </xf>
    <xf numFmtId="2" fontId="9" fillId="0" borderId="10" xfId="0" applyNumberFormat="1" applyFont="1" applyBorder="1" applyAlignment="1">
      <alignment horizontal="center" vertical="center"/>
    </xf>
    <xf numFmtId="0" fontId="14" fillId="6" borderId="12" xfId="0" applyFont="1" applyFill="1" applyBorder="1" applyAlignment="1">
      <alignment horizontal="center" vertical="center"/>
    </xf>
    <xf numFmtId="0" fontId="14" fillId="6" borderId="13" xfId="0" applyFont="1" applyFill="1" applyBorder="1" applyAlignment="1">
      <alignment horizontal="center" vertical="center"/>
    </xf>
    <xf numFmtId="0" fontId="9" fillId="0" borderId="12" xfId="0" applyFont="1" applyBorder="1" applyAlignment="1">
      <alignment horizontal="center" vertical="center" wrapText="1"/>
    </xf>
    <xf numFmtId="0" fontId="9" fillId="0" borderId="13" xfId="0" applyFont="1" applyBorder="1" applyAlignment="1">
      <alignment horizontal="center" vertical="center" wrapText="1"/>
    </xf>
    <xf numFmtId="0" fontId="9" fillId="0" borderId="14" xfId="0" applyFont="1" applyBorder="1" applyAlignment="1">
      <alignment horizontal="center" vertical="center" wrapText="1"/>
    </xf>
    <xf numFmtId="2" fontId="3" fillId="0" borderId="0" xfId="0" applyNumberFormat="1" applyFont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9" fillId="0" borderId="0" xfId="0" applyFont="1" applyAlignment="1">
      <alignment horizontal="right" vertical="center"/>
    </xf>
    <xf numFmtId="0" fontId="9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2" fontId="14" fillId="0" borderId="12" xfId="0" applyNumberFormat="1" applyFont="1" applyBorder="1" applyAlignment="1">
      <alignment horizontal="center" vertical="center"/>
    </xf>
    <xf numFmtId="2" fontId="14" fillId="0" borderId="13" xfId="0" applyNumberFormat="1" applyFont="1" applyBorder="1" applyAlignment="1">
      <alignment horizontal="center" vertical="center"/>
    </xf>
    <xf numFmtId="2" fontId="14" fillId="0" borderId="14" xfId="0" applyNumberFormat="1" applyFont="1" applyBorder="1" applyAlignment="1">
      <alignment horizontal="center" vertical="center"/>
    </xf>
    <xf numFmtId="2" fontId="9" fillId="0" borderId="12" xfId="0" applyNumberFormat="1" applyFont="1" applyBorder="1" applyAlignment="1">
      <alignment horizontal="center" vertical="center"/>
    </xf>
    <xf numFmtId="2" fontId="9" fillId="0" borderId="13" xfId="0" applyNumberFormat="1" applyFont="1" applyBorder="1" applyAlignment="1">
      <alignment horizontal="center" vertical="center"/>
    </xf>
    <xf numFmtId="2" fontId="9" fillId="0" borderId="14" xfId="0" applyNumberFormat="1" applyFont="1" applyBorder="1" applyAlignment="1">
      <alignment horizontal="center" vertical="center"/>
    </xf>
    <xf numFmtId="166" fontId="9" fillId="5" borderId="12" xfId="0" applyNumberFormat="1" applyFont="1" applyFill="1" applyBorder="1" applyAlignment="1">
      <alignment horizontal="center" vertical="center"/>
    </xf>
    <xf numFmtId="166" fontId="9" fillId="5" borderId="13" xfId="0" applyNumberFormat="1" applyFont="1" applyFill="1" applyBorder="1" applyAlignment="1">
      <alignment horizontal="center" vertical="center"/>
    </xf>
    <xf numFmtId="166" fontId="9" fillId="5" borderId="14" xfId="0" applyNumberFormat="1" applyFont="1" applyFill="1" applyBorder="1" applyAlignment="1">
      <alignment horizontal="center" vertical="center"/>
    </xf>
    <xf numFmtId="2" fontId="9" fillId="0" borderId="12" xfId="0" applyNumberFormat="1" applyFont="1" applyBorder="1" applyAlignment="1" applyProtection="1">
      <alignment horizontal="center" vertical="center"/>
      <protection locked="0"/>
    </xf>
    <xf numFmtId="2" fontId="9" fillId="0" borderId="13" xfId="0" applyNumberFormat="1" applyFont="1" applyBorder="1" applyAlignment="1" applyProtection="1">
      <alignment horizontal="center" vertical="center"/>
      <protection locked="0"/>
    </xf>
    <xf numFmtId="2" fontId="9" fillId="0" borderId="14" xfId="0" applyNumberFormat="1" applyFont="1" applyBorder="1" applyAlignment="1" applyProtection="1">
      <alignment horizontal="center" vertical="center"/>
      <protection locked="0"/>
    </xf>
    <xf numFmtId="2" fontId="9" fillId="0" borderId="2" xfId="0" applyNumberFormat="1" applyFont="1" applyBorder="1" applyAlignment="1" applyProtection="1">
      <alignment horizontal="center" vertical="center"/>
      <protection locked="0"/>
    </xf>
    <xf numFmtId="0" fontId="14" fillId="6" borderId="14" xfId="0" applyFont="1" applyFill="1" applyBorder="1" applyAlignment="1">
      <alignment horizontal="center" vertical="center"/>
    </xf>
    <xf numFmtId="0" fontId="13" fillId="0" borderId="6" xfId="0" applyFont="1" applyBorder="1" applyAlignment="1">
      <alignment horizontal="center" vertical="center" wrapText="1"/>
    </xf>
    <xf numFmtId="0" fontId="13" fillId="0" borderId="9" xfId="0" applyFont="1" applyBorder="1" applyAlignment="1">
      <alignment horizontal="center" vertical="center" wrapText="1"/>
    </xf>
    <xf numFmtId="0" fontId="13" fillId="0" borderId="5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14" fillId="0" borderId="6" xfId="0" applyFont="1" applyBorder="1" applyAlignment="1">
      <alignment horizontal="center" vertical="center"/>
    </xf>
    <xf numFmtId="0" fontId="14" fillId="0" borderId="9" xfId="0" applyFont="1" applyBorder="1" applyAlignment="1">
      <alignment horizontal="center" vertical="center"/>
    </xf>
    <xf numFmtId="0" fontId="14" fillId="0" borderId="5" xfId="0" applyFont="1" applyBorder="1" applyAlignment="1">
      <alignment horizontal="center" vertical="center"/>
    </xf>
    <xf numFmtId="0" fontId="14" fillId="0" borderId="7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14" fillId="0" borderId="8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14" fillId="0" borderId="10" xfId="0" applyFont="1" applyBorder="1" applyAlignment="1">
      <alignment horizontal="center" vertical="center"/>
    </xf>
    <xf numFmtId="0" fontId="9" fillId="0" borderId="15" xfId="0" applyFont="1" applyBorder="1" applyAlignment="1">
      <alignment horizontal="center"/>
    </xf>
    <xf numFmtId="0" fontId="9" fillId="0" borderId="11" xfId="0" applyFont="1" applyBorder="1" applyAlignment="1">
      <alignment horizontal="center"/>
    </xf>
    <xf numFmtId="49" fontId="9" fillId="0" borderId="9" xfId="0" applyNumberFormat="1" applyFont="1" applyBorder="1" applyAlignment="1">
      <alignment horizontal="left" vertical="center"/>
    </xf>
    <xf numFmtId="0" fontId="9" fillId="0" borderId="9" xfId="0" applyFont="1" applyBorder="1" applyAlignment="1">
      <alignment horizontal="left" vertical="center"/>
    </xf>
    <xf numFmtId="0" fontId="9" fillId="0" borderId="1" xfId="0" applyFont="1" applyBorder="1" applyAlignment="1">
      <alignment horizontal="left" vertical="center"/>
    </xf>
    <xf numFmtId="0" fontId="14" fillId="0" borderId="6" xfId="0" applyFont="1" applyBorder="1" applyAlignment="1">
      <alignment horizontal="left" vertical="center"/>
    </xf>
    <xf numFmtId="0" fontId="14" fillId="0" borderId="9" xfId="0" applyFont="1" applyBorder="1" applyAlignment="1">
      <alignment horizontal="left" vertical="center"/>
    </xf>
    <xf numFmtId="0" fontId="17" fillId="0" borderId="6" xfId="0" applyFont="1" applyBorder="1" applyAlignment="1">
      <alignment horizontal="center" vertical="center" wrapText="1"/>
    </xf>
    <xf numFmtId="0" fontId="17" fillId="0" borderId="9" xfId="0" applyFont="1" applyBorder="1" applyAlignment="1">
      <alignment horizontal="center" vertical="center" wrapText="1"/>
    </xf>
    <xf numFmtId="0" fontId="17" fillId="0" borderId="5" xfId="0" applyFont="1" applyBorder="1" applyAlignment="1">
      <alignment horizontal="center" vertical="center" wrapText="1"/>
    </xf>
    <xf numFmtId="0" fontId="17" fillId="0" borderId="8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7" fillId="0" borderId="10" xfId="0" applyFont="1" applyBorder="1" applyAlignment="1">
      <alignment horizontal="center" vertical="center" wrapText="1"/>
    </xf>
    <xf numFmtId="0" fontId="14" fillId="2" borderId="15" xfId="0" applyFont="1" applyFill="1" applyBorder="1" applyAlignment="1">
      <alignment horizontal="center" vertical="center" wrapText="1"/>
    </xf>
    <xf numFmtId="0" fontId="14" fillId="2" borderId="3" xfId="0" applyFont="1" applyFill="1" applyBorder="1" applyAlignment="1">
      <alignment horizontal="center" vertical="center" wrapText="1"/>
    </xf>
    <xf numFmtId="0" fontId="14" fillId="2" borderId="11" xfId="0" applyFont="1" applyFill="1" applyBorder="1" applyAlignment="1">
      <alignment horizontal="center" vertical="center" wrapText="1"/>
    </xf>
    <xf numFmtId="0" fontId="14" fillId="0" borderId="6" xfId="0" applyFont="1" applyBorder="1" applyAlignment="1">
      <alignment horizontal="center" vertical="center" wrapText="1"/>
    </xf>
    <xf numFmtId="0" fontId="14" fillId="0" borderId="9" xfId="0" applyFont="1" applyBorder="1" applyAlignment="1">
      <alignment horizontal="center" vertical="center" wrapText="1"/>
    </xf>
    <xf numFmtId="0" fontId="14" fillId="0" borderId="5" xfId="0" applyFont="1" applyBorder="1" applyAlignment="1">
      <alignment horizontal="center" vertical="center" wrapText="1"/>
    </xf>
    <xf numFmtId="0" fontId="14" fillId="0" borderId="7" xfId="0" applyFont="1" applyBorder="1" applyAlignment="1">
      <alignment horizontal="center" vertical="center" wrapText="1"/>
    </xf>
    <xf numFmtId="0" fontId="14" fillId="0" borderId="0" xfId="0" applyFont="1" applyAlignment="1">
      <alignment horizontal="center" vertical="center" wrapText="1"/>
    </xf>
    <xf numFmtId="0" fontId="14" fillId="0" borderId="4" xfId="0" applyFont="1" applyBorder="1" applyAlignment="1">
      <alignment horizontal="center" vertical="center" wrapText="1"/>
    </xf>
    <xf numFmtId="0" fontId="14" fillId="0" borderId="8" xfId="0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14" fillId="0" borderId="10" xfId="0" applyFont="1" applyBorder="1" applyAlignment="1">
      <alignment horizontal="center" vertical="center" wrapText="1"/>
    </xf>
    <xf numFmtId="0" fontId="21" fillId="0" borderId="6" xfId="0" applyFont="1" applyBorder="1" applyAlignment="1">
      <alignment horizontal="center" vertical="center"/>
    </xf>
    <xf numFmtId="0" fontId="21" fillId="0" borderId="5" xfId="0" applyFont="1" applyBorder="1" applyAlignment="1">
      <alignment horizontal="center" vertical="center"/>
    </xf>
    <xf numFmtId="0" fontId="21" fillId="0" borderId="7" xfId="0" applyFont="1" applyBorder="1" applyAlignment="1">
      <alignment horizontal="center" vertical="center"/>
    </xf>
    <xf numFmtId="0" fontId="21" fillId="0" borderId="4" xfId="0" applyFont="1" applyBorder="1" applyAlignment="1">
      <alignment horizontal="center" vertical="center"/>
    </xf>
    <xf numFmtId="0" fontId="21" fillId="0" borderId="8" xfId="0" applyFont="1" applyBorder="1" applyAlignment="1">
      <alignment horizontal="center" vertical="center"/>
    </xf>
    <xf numFmtId="0" fontId="21" fillId="0" borderId="10" xfId="0" applyFont="1" applyBorder="1" applyAlignment="1">
      <alignment horizontal="center" vertical="center"/>
    </xf>
    <xf numFmtId="0" fontId="14" fillId="0" borderId="8" xfId="0" applyFont="1" applyBorder="1" applyAlignment="1">
      <alignment horizontal="right" vertical="center"/>
    </xf>
    <xf numFmtId="0" fontId="14" fillId="0" borderId="1" xfId="0" applyFont="1" applyBorder="1" applyAlignment="1">
      <alignment horizontal="right" vertical="center"/>
    </xf>
    <xf numFmtId="0" fontId="14" fillId="0" borderId="0" xfId="0" applyFont="1" applyAlignment="1">
      <alignment horizontal="center"/>
    </xf>
    <xf numFmtId="0" fontId="14" fillId="0" borderId="2" xfId="0" applyFont="1" applyBorder="1" applyAlignment="1">
      <alignment horizontal="center"/>
    </xf>
    <xf numFmtId="0" fontId="17" fillId="0" borderId="0" xfId="0" applyFont="1" applyAlignment="1">
      <alignment horizontal="center" vertical="center" wrapText="1"/>
    </xf>
    <xf numFmtId="0" fontId="17" fillId="0" borderId="4" xfId="0" applyFont="1" applyBorder="1" applyAlignment="1">
      <alignment horizontal="center" vertical="center" wrapText="1"/>
    </xf>
    <xf numFmtId="0" fontId="9" fillId="0" borderId="6" xfId="0" applyFont="1" applyBorder="1" applyAlignment="1">
      <alignment horizontal="center"/>
    </xf>
    <xf numFmtId="0" fontId="9" fillId="0" borderId="5" xfId="0" applyFont="1" applyBorder="1" applyAlignment="1">
      <alignment horizontal="center"/>
    </xf>
    <xf numFmtId="0" fontId="9" fillId="0" borderId="7" xfId="0" applyFont="1" applyBorder="1" applyAlignment="1">
      <alignment horizontal="center"/>
    </xf>
    <xf numFmtId="0" fontId="9" fillId="0" borderId="4" xfId="0" applyFont="1" applyBorder="1" applyAlignment="1">
      <alignment horizontal="center"/>
    </xf>
    <xf numFmtId="0" fontId="9" fillId="0" borderId="8" xfId="0" applyFont="1" applyBorder="1" applyAlignment="1">
      <alignment horizontal="center"/>
    </xf>
    <xf numFmtId="0" fontId="9" fillId="0" borderId="10" xfId="0" applyFont="1" applyBorder="1" applyAlignment="1">
      <alignment horizontal="center"/>
    </xf>
    <xf numFmtId="0" fontId="14" fillId="0" borderId="6" xfId="0" applyFont="1" applyBorder="1" applyAlignment="1">
      <alignment horizontal="right" vertical="center"/>
    </xf>
    <xf numFmtId="0" fontId="14" fillId="0" borderId="9" xfId="0" applyFont="1" applyBorder="1" applyAlignment="1">
      <alignment horizontal="right" vertical="center"/>
    </xf>
    <xf numFmtId="168" fontId="9" fillId="0" borderId="9" xfId="0" applyNumberFormat="1" applyFont="1" applyBorder="1" applyAlignment="1">
      <alignment horizontal="center"/>
    </xf>
    <xf numFmtId="168" fontId="9" fillId="0" borderId="5" xfId="0" applyNumberFormat="1" applyFont="1" applyBorder="1" applyAlignment="1">
      <alignment horizontal="center"/>
    </xf>
    <xf numFmtId="0" fontId="3" fillId="0" borderId="1" xfId="0" applyFont="1" applyBorder="1" applyAlignment="1">
      <alignment horizontal="left"/>
    </xf>
    <xf numFmtId="0" fontId="0" fillId="0" borderId="10" xfId="0" applyBorder="1" applyAlignment="1">
      <alignment horizontal="left"/>
    </xf>
    <xf numFmtId="0" fontId="9" fillId="0" borderId="9" xfId="0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14" fillId="7" borderId="2" xfId="0" applyFont="1" applyFill="1" applyBorder="1" applyAlignment="1">
      <alignment horizontal="center"/>
    </xf>
    <xf numFmtId="0" fontId="22" fillId="0" borderId="2" xfId="0" applyFont="1" applyBorder="1" applyAlignment="1">
      <alignment horizontal="center"/>
    </xf>
    <xf numFmtId="0" fontId="9" fillId="0" borderId="0" xfId="0" applyFont="1" applyAlignment="1">
      <alignment horizontal="left" vertical="center" wrapText="1"/>
    </xf>
    <xf numFmtId="0" fontId="9" fillId="0" borderId="1" xfId="0" applyFont="1" applyBorder="1" applyAlignment="1" applyProtection="1">
      <alignment horizontal="center"/>
      <protection locked="0"/>
    </xf>
    <xf numFmtId="0" fontId="22" fillId="0" borderId="12" xfId="0" applyFont="1" applyBorder="1" applyAlignment="1">
      <alignment horizontal="center"/>
    </xf>
    <xf numFmtId="0" fontId="22" fillId="0" borderId="14" xfId="0" applyFont="1" applyBorder="1" applyAlignment="1">
      <alignment horizontal="center"/>
    </xf>
    <xf numFmtId="0" fontId="9" fillId="0" borderId="7" xfId="0" applyFont="1" applyBorder="1" applyAlignment="1">
      <alignment horizontal="left"/>
    </xf>
    <xf numFmtId="0" fontId="9" fillId="0" borderId="0" xfId="0" applyFont="1" applyAlignment="1">
      <alignment horizontal="left"/>
    </xf>
    <xf numFmtId="0" fontId="14" fillId="6" borderId="6" xfId="0" applyFont="1" applyFill="1" applyBorder="1" applyAlignment="1">
      <alignment horizontal="center" vertical="center" wrapText="1"/>
    </xf>
    <xf numFmtId="0" fontId="14" fillId="6" borderId="9" xfId="0" applyFont="1" applyFill="1" applyBorder="1" applyAlignment="1">
      <alignment horizontal="center" vertical="center" wrapText="1"/>
    </xf>
    <xf numFmtId="0" fontId="14" fillId="6" borderId="5" xfId="0" applyFont="1" applyFill="1" applyBorder="1" applyAlignment="1">
      <alignment horizontal="center" vertical="center" wrapText="1"/>
    </xf>
    <xf numFmtId="0" fontId="14" fillId="6" borderId="12" xfId="0" applyFont="1" applyFill="1" applyBorder="1" applyAlignment="1">
      <alignment horizontal="center" vertical="center" wrapText="1"/>
    </xf>
    <xf numFmtId="0" fontId="14" fillId="6" borderId="13" xfId="0" applyFont="1" applyFill="1" applyBorder="1" applyAlignment="1">
      <alignment horizontal="center" vertical="center" wrapText="1"/>
    </xf>
    <xf numFmtId="0" fontId="14" fillId="6" borderId="14" xfId="0" applyFont="1" applyFill="1" applyBorder="1" applyAlignment="1">
      <alignment horizontal="center" vertical="center" wrapText="1"/>
    </xf>
    <xf numFmtId="0" fontId="14" fillId="0" borderId="9" xfId="0" applyFont="1" applyBorder="1" applyAlignment="1">
      <alignment horizontal="center"/>
    </xf>
    <xf numFmtId="0" fontId="14" fillId="0" borderId="6" xfId="0" applyFont="1" applyBorder="1" applyAlignment="1">
      <alignment horizontal="center"/>
    </xf>
    <xf numFmtId="0" fontId="14" fillId="0" borderId="5" xfId="0" applyFont="1" applyBorder="1" applyAlignment="1">
      <alignment horizontal="center"/>
    </xf>
    <xf numFmtId="0" fontId="14" fillId="0" borderId="7" xfId="0" applyFont="1" applyBorder="1" applyAlignment="1">
      <alignment horizontal="center"/>
    </xf>
    <xf numFmtId="0" fontId="14" fillId="0" borderId="4" xfId="0" applyFont="1" applyBorder="1" applyAlignment="1">
      <alignment horizontal="center"/>
    </xf>
    <xf numFmtId="0" fontId="14" fillId="0" borderId="8" xfId="0" applyFont="1" applyBorder="1" applyAlignment="1">
      <alignment horizontal="center"/>
    </xf>
    <xf numFmtId="0" fontId="14" fillId="0" borderId="1" xfId="0" applyFont="1" applyBorder="1" applyAlignment="1">
      <alignment horizontal="center"/>
    </xf>
    <xf numFmtId="0" fontId="14" fillId="0" borderId="10" xfId="0" applyFont="1" applyBorder="1" applyAlignment="1">
      <alignment horizontal="center"/>
    </xf>
    <xf numFmtId="0" fontId="23" fillId="0" borderId="6" xfId="0" applyFont="1" applyBorder="1" applyAlignment="1">
      <alignment horizontal="center" vertical="center"/>
    </xf>
    <xf numFmtId="0" fontId="17" fillId="0" borderId="9" xfId="0" applyFont="1" applyBorder="1" applyAlignment="1">
      <alignment horizontal="center" vertical="center"/>
    </xf>
    <xf numFmtId="0" fontId="17" fillId="0" borderId="5" xfId="0" applyFont="1" applyBorder="1" applyAlignment="1">
      <alignment horizontal="center" vertical="center"/>
    </xf>
    <xf numFmtId="0" fontId="17" fillId="0" borderId="7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7" fillId="0" borderId="4" xfId="0" applyFont="1" applyBorder="1" applyAlignment="1">
      <alignment horizontal="center" vertical="center"/>
    </xf>
    <xf numFmtId="0" fontId="17" fillId="0" borderId="8" xfId="0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17" fillId="0" borderId="10" xfId="0" applyFont="1" applyBorder="1" applyAlignment="1">
      <alignment horizontal="center" vertical="center"/>
    </xf>
    <xf numFmtId="0" fontId="13" fillId="0" borderId="0" xfId="0" applyFont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0" fontId="3" fillId="0" borderId="10" xfId="0" applyFont="1" applyBorder="1" applyAlignment="1">
      <alignment horizontal="left" vertical="center"/>
    </xf>
    <xf numFmtId="2" fontId="9" fillId="0" borderId="2" xfId="0" applyNumberFormat="1" applyFont="1" applyBorder="1" applyAlignment="1">
      <alignment horizontal="center" vertical="center"/>
    </xf>
    <xf numFmtId="0" fontId="14" fillId="6" borderId="2" xfId="0" applyFont="1" applyFill="1" applyBorder="1" applyAlignment="1">
      <alignment horizontal="center" vertical="center" wrapText="1"/>
    </xf>
    <xf numFmtId="2" fontId="14" fillId="0" borderId="0" xfId="0" applyNumberFormat="1" applyFont="1" applyAlignment="1">
      <alignment horizontal="center" vertical="center"/>
    </xf>
    <xf numFmtId="0" fontId="14" fillId="6" borderId="2" xfId="0" applyFont="1" applyFill="1" applyBorder="1" applyAlignment="1">
      <alignment horizontal="center" vertical="center"/>
    </xf>
    <xf numFmtId="0" fontId="14" fillId="0" borderId="2" xfId="0" applyFont="1" applyBorder="1" applyAlignment="1">
      <alignment horizontal="center" vertical="center"/>
    </xf>
    <xf numFmtId="0" fontId="14" fillId="0" borderId="38" xfId="0" applyFont="1" applyBorder="1" applyAlignment="1">
      <alignment horizontal="center" vertical="center"/>
    </xf>
    <xf numFmtId="0" fontId="14" fillId="0" borderId="39" xfId="0" applyFont="1" applyBorder="1" applyAlignment="1">
      <alignment horizontal="center" vertical="center"/>
    </xf>
    <xf numFmtId="0" fontId="14" fillId="0" borderId="32" xfId="0" applyFont="1" applyBorder="1" applyAlignment="1">
      <alignment horizontal="center" vertical="center"/>
    </xf>
    <xf numFmtId="0" fontId="14" fillId="0" borderId="33" xfId="0" applyFont="1" applyBorder="1" applyAlignment="1">
      <alignment horizontal="center" vertical="center"/>
    </xf>
    <xf numFmtId="0" fontId="14" fillId="0" borderId="36" xfId="0" applyFont="1" applyBorder="1" applyAlignment="1">
      <alignment horizontal="center" vertical="center"/>
    </xf>
    <xf numFmtId="0" fontId="14" fillId="0" borderId="37" xfId="0" applyFont="1" applyBorder="1" applyAlignment="1">
      <alignment horizontal="center" vertical="center"/>
    </xf>
    <xf numFmtId="0" fontId="9" fillId="0" borderId="34" xfId="0" applyFont="1" applyBorder="1" applyAlignment="1">
      <alignment horizontal="center" vertical="center"/>
    </xf>
    <xf numFmtId="0" fontId="9" fillId="0" borderId="35" xfId="0" applyFont="1" applyBorder="1" applyAlignment="1">
      <alignment horizontal="center" vertical="center"/>
    </xf>
    <xf numFmtId="0" fontId="9" fillId="0" borderId="36" xfId="0" applyFont="1" applyBorder="1" applyAlignment="1">
      <alignment horizontal="center" vertical="center"/>
    </xf>
    <xf numFmtId="0" fontId="9" fillId="0" borderId="37" xfId="0" applyFont="1" applyBorder="1" applyAlignment="1">
      <alignment horizontal="center" vertical="center"/>
    </xf>
    <xf numFmtId="0" fontId="9" fillId="0" borderId="32" xfId="0" applyFont="1" applyBorder="1" applyAlignment="1">
      <alignment horizontal="center" vertical="center"/>
    </xf>
    <xf numFmtId="0" fontId="9" fillId="0" borderId="33" xfId="0" applyFont="1" applyBorder="1" applyAlignment="1">
      <alignment horizontal="center" vertic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Light16"/>
  <colors>
    <mruColors>
      <color rgb="FF8FC5C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.xml"/><Relationship Id="rId20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1.xml"/></Relationships>
</file>

<file path=xl/ctrlProps/ctrlProp1.xml><?xml version="1.0" encoding="utf-8"?>
<formControlPr xmlns="http://schemas.microsoft.com/office/spreadsheetml/2009/9/main" objectType="CheckBox" checked="Checked" lockText="1"/>
</file>

<file path=xl/ctrlProps/ctrlProp2.xml><?xml version="1.0" encoding="utf-8"?>
<formControlPr xmlns="http://schemas.microsoft.com/office/spreadsheetml/2009/9/main" objectType="CheckBox" lockText="1"/>
</file>

<file path=xl/ctrlProps/ctrlProp3.xml><?xml version="1.0" encoding="utf-8"?>
<formControlPr xmlns="http://schemas.microsoft.com/office/spreadsheetml/2009/9/main" objectType="CheckBox" lockText="1"/>
</file>

<file path=xl/ctrlProps/ctrlProp4.xml><?xml version="1.0" encoding="utf-8"?>
<formControlPr xmlns="http://schemas.microsoft.com/office/spreadsheetml/2009/9/main" objectType="CheckBox" lockText="1"/>
</file>

<file path=xl/ctrlProps/ctrlProp5.xml><?xml version="1.0" encoding="utf-8"?>
<formControlPr xmlns="http://schemas.microsoft.com/office/spreadsheetml/2009/9/main" objectType="CheckBox" lockText="1"/>
</file>

<file path=xl/ctrlProps/ctrlProp6.xml><?xml version="1.0" encoding="utf-8"?>
<formControlPr xmlns="http://schemas.microsoft.com/office/spreadsheetml/2009/9/main" objectType="CheckBox" lockText="1"/>
</file>

<file path=xl/ctrlProps/ctrlProp7.xml><?xml version="1.0" encoding="utf-8"?>
<formControlPr xmlns="http://schemas.microsoft.com/office/spreadsheetml/2009/9/main" objectType="CheckBox" lockText="1"/>
</file>

<file path=xl/ctrlProps/ctrlProp8.xml><?xml version="1.0" encoding="utf-8"?>
<formControlPr xmlns="http://schemas.microsoft.com/office/spreadsheetml/2009/9/main" objectType="CheckBox" checked="Checked" lockText="1"/>
</file>

<file path=xl/ctrlProps/ctrlProp9.xml><?xml version="1.0" encoding="utf-8"?>
<formControlPr xmlns="http://schemas.microsoft.com/office/spreadsheetml/2009/9/main" objectType="CheckBox" lockText="1"/>
</file>

<file path=xl/ctrlProps/ctrlProp10.xml><?xml version="1.0" encoding="utf-8"?>
<formControlPr xmlns="http://schemas.microsoft.com/office/spreadsheetml/2009/9/main" objectType="CheckBox" lockText="1"/>
</file>

<file path=xl/ctrlProps/ctrlProp11.xml><?xml version="1.0" encoding="utf-8"?>
<formControlPr xmlns="http://schemas.microsoft.com/office/spreadsheetml/2009/9/main" objectType="CheckBox" lockText="1"/>
</file>

<file path=xl/ctrlProps/ctrlProp12.xml><?xml version="1.0" encoding="utf-8"?>
<formControlPr xmlns="http://schemas.microsoft.com/office/spreadsheetml/2009/9/main" objectType="CheckBox" lockText="1"/>
</file>

<file path=xl/ctrlProps/ctrlProp13.xml><?xml version="1.0" encoding="utf-8"?>
<formControlPr xmlns="http://schemas.microsoft.com/office/spreadsheetml/2009/9/main" objectType="CheckBox" lockText="1"/>
</file>

<file path=xl/ctrlProps/ctrlProp14.xml><?xml version="1.0" encoding="utf-8"?>
<formControlPr xmlns="http://schemas.microsoft.com/office/spreadsheetml/2009/9/main" objectType="CheckBox" lockText="1"/>
</file>

<file path=xl/ctrlProps/ctrlProp15.xml><?xml version="1.0" encoding="utf-8"?>
<formControlPr xmlns="http://schemas.microsoft.com/office/spreadsheetml/2009/9/main" objectType="CheckBox" checked="Checked" lockText="1"/>
</file>

<file path=xl/ctrlProps/ctrlProp16.xml><?xml version="1.0" encoding="utf-8"?>
<formControlPr xmlns="http://schemas.microsoft.com/office/spreadsheetml/2009/9/main" objectType="CheckBox" lockText="1"/>
</file>

<file path=xl/ctrlProps/ctrlProp17.xml><?xml version="1.0" encoding="utf-8"?>
<formControlPr xmlns="http://schemas.microsoft.com/office/spreadsheetml/2009/9/main" objectType="CheckBox" lockText="1"/>
</file>

<file path=xl/ctrlProps/ctrlProp18.xml><?xml version="1.0" encoding="utf-8"?>
<formControlPr xmlns="http://schemas.microsoft.com/office/spreadsheetml/2009/9/main" objectType="CheckBox" lockText="1"/>
</file>

<file path=xl/ctrlProps/ctrlProp19.xml><?xml version="1.0" encoding="utf-8"?>
<formControlPr xmlns="http://schemas.microsoft.com/office/spreadsheetml/2009/9/main" objectType="CheckBox" lockText="1"/>
</file>

<file path=xl/ctrlProps/ctrlProp20.xml><?xml version="1.0" encoding="utf-8"?>
<formControlPr xmlns="http://schemas.microsoft.com/office/spreadsheetml/2009/9/main" objectType="CheckBox" lockText="1"/>
</file>

<file path=xl/ctrlProps/ctrlProp21.xml><?xml version="1.0" encoding="utf-8"?>
<formControlPr xmlns="http://schemas.microsoft.com/office/spreadsheetml/2009/9/main" objectType="CheckBox" checked="Checked" lockText="1"/>
</file>

<file path=xl/ctrlProps/ctrlProp22.xml><?xml version="1.0" encoding="utf-8"?>
<formControlPr xmlns="http://schemas.microsoft.com/office/spreadsheetml/2009/9/main" objectType="CheckBox" lockText="1"/>
</file>

<file path=xl/ctrlProps/ctrlProp23.xml><?xml version="1.0" encoding="utf-8"?>
<formControlPr xmlns="http://schemas.microsoft.com/office/spreadsheetml/2009/9/main" objectType="CheckBox" lockText="1"/>
</file>

<file path=xl/ctrlProps/ctrlProp24.xml><?xml version="1.0" encoding="utf-8"?>
<formControlPr xmlns="http://schemas.microsoft.com/office/spreadsheetml/2009/9/main" objectType="CheckBox" lockText="1"/>
</file>

<file path=xl/ctrlProps/ctrlProp25.xml><?xml version="1.0" encoding="utf-8"?>
<formControlPr xmlns="http://schemas.microsoft.com/office/spreadsheetml/2009/9/main" objectType="CheckBox" lockText="1"/>
</file>

<file path=xl/ctrlProps/ctrlProp26.xml><?xml version="1.0" encoding="utf-8"?>
<formControlPr xmlns="http://schemas.microsoft.com/office/spreadsheetml/2009/9/main" objectType="CheckBox" lockText="1"/>
</file>

<file path=xl/ctrlProps/ctrlProp27.xml><?xml version="1.0" encoding="utf-8"?>
<formControlPr xmlns="http://schemas.microsoft.com/office/spreadsheetml/2009/9/main" objectType="CheckBox" lockText="1"/>
</file>

<file path=xl/ctrlProps/ctrlProp28.xml><?xml version="1.0" encoding="utf-8"?>
<formControlPr xmlns="http://schemas.microsoft.com/office/spreadsheetml/2009/9/main" objectType="CheckBox" lockText="1"/>
</file>

<file path=xl/ctrlProps/ctrlProp29.xml><?xml version="1.0" encoding="utf-8"?>
<formControlPr xmlns="http://schemas.microsoft.com/office/spreadsheetml/2009/9/main" objectType="CheckBox" checked="Checked" lockText="1"/>
</file>

<file path=xl/ctrlProps/ctrlProp30.xml><?xml version="1.0" encoding="utf-8"?>
<formControlPr xmlns="http://schemas.microsoft.com/office/spreadsheetml/2009/9/main" objectType="CheckBox" lockText="1"/>
</file>

<file path=xl/ctrlProps/ctrlProp31.xml><?xml version="1.0" encoding="utf-8"?>
<formControlPr xmlns="http://schemas.microsoft.com/office/spreadsheetml/2009/9/main" objectType="CheckBox" lockText="1"/>
</file>

<file path=xl/ctrlProps/ctrlProp32.xml><?xml version="1.0" encoding="utf-8"?>
<formControlPr xmlns="http://schemas.microsoft.com/office/spreadsheetml/2009/9/main" objectType="CheckBox" lockText="1"/>
</file>

<file path=xl/ctrlProps/ctrlProp33.xml><?xml version="1.0" encoding="utf-8"?>
<formControlPr xmlns="http://schemas.microsoft.com/office/spreadsheetml/2009/9/main" objectType="CheckBox" lockText="1"/>
</file>

<file path=xl/ctrlProps/ctrlProp34.xml><?xml version="1.0" encoding="utf-8"?>
<formControlPr xmlns="http://schemas.microsoft.com/office/spreadsheetml/2009/9/main" objectType="CheckBox" lockText="1"/>
</file>

<file path=xl/ctrlProps/ctrlProp35.xml><?xml version="1.0" encoding="utf-8"?>
<formControlPr xmlns="http://schemas.microsoft.com/office/spreadsheetml/2009/9/main" objectType="CheckBox" lockText="1"/>
</file>

<file path=xl/ctrlProps/ctrlProp36.xml><?xml version="1.0" encoding="utf-8"?>
<formControlPr xmlns="http://schemas.microsoft.com/office/spreadsheetml/2009/9/main" objectType="CheckBox" lockText="1"/>
</file>

<file path=xl/ctrlProps/ctrlProp37.xml><?xml version="1.0" encoding="utf-8"?>
<formControlPr xmlns="http://schemas.microsoft.com/office/spreadsheetml/2009/9/main" objectType="CheckBox" lockText="1"/>
</file>

<file path=xl/ctrlProps/ctrlProp38.xml><?xml version="1.0" encoding="utf-8"?>
<formControlPr xmlns="http://schemas.microsoft.com/office/spreadsheetml/2009/9/main" objectType="CheckBox" lockText="1"/>
</file>

<file path=xl/ctrlProps/ctrlProp39.xml><?xml version="1.0" encoding="utf-8"?>
<formControlPr xmlns="http://schemas.microsoft.com/office/spreadsheetml/2009/9/main" objectType="CheckBox" checked="Checked" lockText="1"/>
</file>

<file path=xl/ctrlProps/ctrlProp40.xml><?xml version="1.0" encoding="utf-8"?>
<formControlPr xmlns="http://schemas.microsoft.com/office/spreadsheetml/2009/9/main" objectType="CheckBox" lockText="1"/>
</file>

<file path=xl/ctrlProps/ctrlProp41.xml><?xml version="1.0" encoding="utf-8"?>
<formControlPr xmlns="http://schemas.microsoft.com/office/spreadsheetml/2009/9/main" objectType="CheckBox" lockText="1"/>
</file>

<file path=xl/ctrlProps/ctrlProp42.xml><?xml version="1.0" encoding="utf-8"?>
<formControlPr xmlns="http://schemas.microsoft.com/office/spreadsheetml/2009/9/main" objectType="CheckBox" lockText="1"/>
</file>

<file path=xl/ctrlProps/ctrlProp43.xml><?xml version="1.0" encoding="utf-8"?>
<formControlPr xmlns="http://schemas.microsoft.com/office/spreadsheetml/2009/9/main" objectType="CheckBox" lockText="1"/>
</file>

<file path=xl/ctrlProps/ctrlProp44.xml><?xml version="1.0" encoding="utf-8"?>
<formControlPr xmlns="http://schemas.microsoft.com/office/spreadsheetml/2009/9/main" objectType="CheckBox" lockText="1"/>
</file>

<file path=xl/ctrlProps/ctrlProp45.xml><?xml version="1.0" encoding="utf-8"?>
<formControlPr xmlns="http://schemas.microsoft.com/office/spreadsheetml/2009/9/main" objectType="CheckBox" lockText="1"/>
</file>

<file path=xl/ctrlProps/ctrlProp46.xml><?xml version="1.0" encoding="utf-8"?>
<formControlPr xmlns="http://schemas.microsoft.com/office/spreadsheetml/2009/9/main" objectType="CheckBox" checked="Checked" lockText="1"/>
</file>

<file path=xl/ctrlProps/ctrlProp47.xml><?xml version="1.0" encoding="utf-8"?>
<formControlPr xmlns="http://schemas.microsoft.com/office/spreadsheetml/2009/9/main" objectType="CheckBox" lockText="1"/>
</file>

<file path=xl/ctrlProps/ctrlProp48.xml><?xml version="1.0" encoding="utf-8"?>
<formControlPr xmlns="http://schemas.microsoft.com/office/spreadsheetml/2009/9/main" objectType="CheckBox" lockText="1"/>
</file>

<file path=xl/ctrlProps/ctrlProp49.xml><?xml version="1.0" encoding="utf-8"?>
<formControlPr xmlns="http://schemas.microsoft.com/office/spreadsheetml/2009/9/main" objectType="CheckBox" lockText="1"/>
</file>

<file path=xl/ctrlProps/ctrlProp50.xml><?xml version="1.0" encoding="utf-8"?>
<formControlPr xmlns="http://schemas.microsoft.com/office/spreadsheetml/2009/9/main" objectType="CheckBox" lockText="1"/>
</file>

<file path=xl/ctrlProps/ctrlProp51.xml><?xml version="1.0" encoding="utf-8"?>
<formControlPr xmlns="http://schemas.microsoft.com/office/spreadsheetml/2009/9/main" objectType="CheckBox" lockText="1"/>
</file>

<file path=xl/ctrlProps/ctrlProp52.xml><?xml version="1.0" encoding="utf-8"?>
<formControlPr xmlns="http://schemas.microsoft.com/office/spreadsheetml/2009/9/main" objectType="CheckBox" lockText="1"/>
</file>

<file path=xl/ctrlProps/ctrlProp53.xml><?xml version="1.0" encoding="utf-8"?>
<formControlPr xmlns="http://schemas.microsoft.com/office/spreadsheetml/2009/9/main" objectType="CheckBox" checked="Checked" lockText="1"/>
</file>

<file path=xl/ctrlProps/ctrlProp54.xml><?xml version="1.0" encoding="utf-8"?>
<formControlPr xmlns="http://schemas.microsoft.com/office/spreadsheetml/2009/9/main" objectType="CheckBox" lockText="1"/>
</file>

<file path=xl/ctrlProps/ctrlProp55.xml><?xml version="1.0" encoding="utf-8"?>
<formControlPr xmlns="http://schemas.microsoft.com/office/spreadsheetml/2009/9/main" objectType="CheckBox" lockText="1"/>
</file>

<file path=xl/ctrlProps/ctrlProp56.xml><?xml version="1.0" encoding="utf-8"?>
<formControlPr xmlns="http://schemas.microsoft.com/office/spreadsheetml/2009/9/main" objectType="CheckBox" lockText="1"/>
</file>

<file path=xl/ctrlProps/ctrlProp57.xml><?xml version="1.0" encoding="utf-8"?>
<formControlPr xmlns="http://schemas.microsoft.com/office/spreadsheetml/2009/9/main" objectType="CheckBox" lockText="1"/>
</file>

<file path=xl/ctrlProps/ctrlProp58.xml><?xml version="1.0" encoding="utf-8"?>
<formControlPr xmlns="http://schemas.microsoft.com/office/spreadsheetml/2009/9/main" objectType="CheckBox" checked="Checked" lockText="1" noThreeD="1"/>
</file>

<file path=xl/ctrlProps/ctrlProp59.xml><?xml version="1.0" encoding="utf-8"?>
<formControlPr xmlns="http://schemas.microsoft.com/office/spreadsheetml/2009/9/main" objectType="CheckBox" lockText="1" noThreeD="1"/>
</file>

<file path=xl/ctrlProps/ctrlProp60.xml><?xml version="1.0" encoding="utf-8"?>
<formControlPr xmlns="http://schemas.microsoft.com/office/spreadsheetml/2009/9/main" objectType="CheckBox" lockText="1" noThreeD="1"/>
</file>

<file path=xl/ctrlProps/ctrlProp61.xml><?xml version="1.0" encoding="utf-8"?>
<formControlPr xmlns="http://schemas.microsoft.com/office/spreadsheetml/2009/9/main" objectType="CheckBox" lockText="1" noThreeD="1"/>
</file>

<file path=xl/ctrlProps/ctrlProp62.xml><?xml version="1.0" encoding="utf-8"?>
<formControlPr xmlns="http://schemas.microsoft.com/office/spreadsheetml/2009/9/main" objectType="CheckBox" lockText="1" noThreeD="1"/>
</file>

<file path=xl/ctrlProps/ctrlProp63.xml><?xml version="1.0" encoding="utf-8"?>
<formControlPr xmlns="http://schemas.microsoft.com/office/spreadsheetml/2009/9/main" objectType="CheckBox" lockText="1" noThreeD="1"/>
</file>

<file path=xl/ctrlProps/ctrlProp64.xml><?xml version="1.0" encoding="utf-8"?>
<formControlPr xmlns="http://schemas.microsoft.com/office/spreadsheetml/2009/9/main" objectType="CheckBox" lockText="1" noThreeD="1"/>
</file>

<file path=xl/ctrlProps/ctrlProp65.xml><?xml version="1.0" encoding="utf-8"?>
<formControlPr xmlns="http://schemas.microsoft.com/office/spreadsheetml/2009/9/main" objectType="CheckBox" lockText="1" noThreeD="1"/>
</file>

<file path=xl/ctrlProps/ctrlProp66.xml><?xml version="1.0" encoding="utf-8"?>
<formControlPr xmlns="http://schemas.microsoft.com/office/spreadsheetml/2009/9/main" objectType="CheckBox" lockText="1" noThreeD="1"/>
</file>

<file path=xl/ctrlProps/ctrlProp67.xml><?xml version="1.0" encoding="utf-8"?>
<formControlPr xmlns="http://schemas.microsoft.com/office/spreadsheetml/2009/9/main" objectType="CheckBox" lockText="1" noThreeD="1"/>
</file>

<file path=xl/ctrlProps/ctrlProp68.xml><?xml version="1.0" encoding="utf-8"?>
<formControlPr xmlns="http://schemas.microsoft.com/office/spreadsheetml/2009/9/main" objectType="CheckBox" checked="Checked" lockText="1" noThreeD="1"/>
</file>

<file path=xl/ctrlProps/ctrlProp69.xml><?xml version="1.0" encoding="utf-8"?>
<formControlPr xmlns="http://schemas.microsoft.com/office/spreadsheetml/2009/9/main" objectType="CheckBox" lockText="1" noThreeD="1"/>
</file>

<file path=xl/ctrlProps/ctrlProp70.xml><?xml version="1.0" encoding="utf-8"?>
<formControlPr xmlns="http://schemas.microsoft.com/office/spreadsheetml/2009/9/main" objectType="CheckBox" lockText="1" noThreeD="1"/>
</file>

<file path=xl/ctrlProps/ctrlProp71.xml><?xml version="1.0" encoding="utf-8"?>
<formControlPr xmlns="http://schemas.microsoft.com/office/spreadsheetml/2009/9/main" objectType="CheckBox" lockText="1" noThreeD="1"/>
</file>

<file path=xl/ctrlProps/ctrlProp72.xml><?xml version="1.0" encoding="utf-8"?>
<formControlPr xmlns="http://schemas.microsoft.com/office/spreadsheetml/2009/9/main" objectType="CheckBox" lockText="1" noThreeD="1"/>
</file>

<file path=xl/ctrlProps/ctrlProp73.xml><?xml version="1.0" encoding="utf-8"?>
<formControlPr xmlns="http://schemas.microsoft.com/office/spreadsheetml/2009/9/main" objectType="CheckBox" lockText="1" noThreeD="1"/>
</file>

<file path=xl/ctrlProps/ctrlProp74.xml><?xml version="1.0" encoding="utf-8"?>
<formControlPr xmlns="http://schemas.microsoft.com/office/spreadsheetml/2009/9/main" objectType="CheckBox" lockText="1" noThreeD="1"/>
</file>

<file path=xl/ctrlProps/ctrlProp75.xml><?xml version="1.0" encoding="utf-8"?>
<formControlPr xmlns="http://schemas.microsoft.com/office/spreadsheetml/2009/9/main" objectType="CheckBox" lockText="1" noThreeD="1"/>
</file>

<file path=xl/ctrlProps/ctrlProp76.xml><?xml version="1.0" encoding="utf-8"?>
<formControlPr xmlns="http://schemas.microsoft.com/office/spreadsheetml/2009/9/main" objectType="CheckBox" lockText="1" noThreeD="1"/>
</file>

<file path=xl/ctrlProps/ctrlProp77.xml><?xml version="1.0" encoding="utf-8"?>
<formControlPr xmlns="http://schemas.microsoft.com/office/spreadsheetml/2009/9/main" objectType="CheckBox" lockText="1" noThreeD="1"/>
</file>

<file path=xl/ctrlProps/ctrlProp78.xml><?xml version="1.0" encoding="utf-8"?>
<formControlPr xmlns="http://schemas.microsoft.com/office/spreadsheetml/2009/9/main" objectType="CheckBox" checked="Checked" lockText="1" noThreeD="1"/>
</file>

<file path=xl/ctrlProps/ctrlProp79.xml><?xml version="1.0" encoding="utf-8"?>
<formControlPr xmlns="http://schemas.microsoft.com/office/spreadsheetml/2009/9/main" objectType="CheckBox" lockText="1" noThreeD="1"/>
</file>

<file path=xl/ctrlProps/ctrlProp80.xml><?xml version="1.0" encoding="utf-8"?>
<formControlPr xmlns="http://schemas.microsoft.com/office/spreadsheetml/2009/9/main" objectType="CheckBox" lockText="1" noThreeD="1"/>
</file>

<file path=xl/ctrlProps/ctrlProp81.xml><?xml version="1.0" encoding="utf-8"?>
<formControlPr xmlns="http://schemas.microsoft.com/office/spreadsheetml/2009/9/main" objectType="CheckBox" lockText="1" noThreeD="1"/>
</file>

<file path=xl/ctrlProps/ctrlProp82.xml><?xml version="1.0" encoding="utf-8"?>
<formControlPr xmlns="http://schemas.microsoft.com/office/spreadsheetml/2009/9/main" objectType="CheckBox" lockText="1" noThreeD="1"/>
</file>

<file path=xl/ctrlProps/ctrlProp83.xml><?xml version="1.0" encoding="utf-8"?>
<formControlPr xmlns="http://schemas.microsoft.com/office/spreadsheetml/2009/9/main" objectType="CheckBox" lockText="1" noThreeD="1"/>
</file>

<file path=xl/ctrlProps/ctrlProp84.xml><?xml version="1.0" encoding="utf-8"?>
<formControlPr xmlns="http://schemas.microsoft.com/office/spreadsheetml/2009/9/main" objectType="CheckBox" lockText="1" noThreeD="1"/>
</file>

<file path=xl/ctrlProps/ctrlProp85.xml><?xml version="1.0" encoding="utf-8"?>
<formControlPr xmlns="http://schemas.microsoft.com/office/spreadsheetml/2009/9/main" objectType="CheckBox" lockText="1" noThreeD="1"/>
</file>

<file path=xl/ctrlProps/ctrlProp86.xml><?xml version="1.0" encoding="utf-8"?>
<formControlPr xmlns="http://schemas.microsoft.com/office/spreadsheetml/2009/9/main" objectType="CheckBox" lockText="1" noThreeD="1"/>
</file>

<file path=xl/ctrlProps/ctrlProp87.xml><?xml version="1.0" encoding="utf-8"?>
<formControlPr xmlns="http://schemas.microsoft.com/office/spreadsheetml/2009/9/main" objectType="CheckBox" lockText="1" noThreeD="1"/>
</file>

<file path=xl/ctrlProps/ctrlProp88.xml><?xml version="1.0" encoding="utf-8"?>
<formControlPr xmlns="http://schemas.microsoft.com/office/spreadsheetml/2009/9/main" objectType="CheckBox" checked="Checked" lockText="1" noThreeD="1"/>
</file>

<file path=xl/ctrlProps/ctrlProp89.xml><?xml version="1.0" encoding="utf-8"?>
<formControlPr xmlns="http://schemas.microsoft.com/office/spreadsheetml/2009/9/main" objectType="CheckBox" lockText="1" noThreeD="1"/>
</file>

<file path=xl/ctrlProps/ctrlProp90.xml><?xml version="1.0" encoding="utf-8"?>
<formControlPr xmlns="http://schemas.microsoft.com/office/spreadsheetml/2009/9/main" objectType="CheckBox" lockText="1" noThreeD="1"/>
</file>

<file path=xl/ctrlProps/ctrlProp91.xml><?xml version="1.0" encoding="utf-8"?>
<formControlPr xmlns="http://schemas.microsoft.com/office/spreadsheetml/2009/9/main" objectType="CheckBox" lockText="1" noThreeD="1"/>
</file>

<file path=xl/ctrlProps/ctrlProp92.xml><?xml version="1.0" encoding="utf-8"?>
<formControlPr xmlns="http://schemas.microsoft.com/office/spreadsheetml/2009/9/main" objectType="CheckBox" lockText="1" noThreeD="1"/>
</file>

<file path=xl/ctrlProps/ctrlProp93.xml><?xml version="1.0" encoding="utf-8"?>
<formControlPr xmlns="http://schemas.microsoft.com/office/spreadsheetml/2009/9/main" objectType="CheckBox" lockText="1" noThreeD="1"/>
</file>

<file path=xl/ctrlProps/ctrlProp94.xml><?xml version="1.0" encoding="utf-8"?>
<formControlPr xmlns="http://schemas.microsoft.com/office/spreadsheetml/2009/9/main" objectType="CheckBox" lockText="1" noThreeD="1"/>
</file>

<file path=xl/ctrlProps/ctrlProp95.xml><?xml version="1.0" encoding="utf-8"?>
<formControlPr xmlns="http://schemas.microsoft.com/office/spreadsheetml/2009/9/main" objectType="CheckBox" lockText="1" noThreeD="1"/>
</file>

<file path=xl/ctrlProps/ctrlProp96.xml><?xml version="1.0" encoding="utf-8"?>
<formControlPr xmlns="http://schemas.microsoft.com/office/spreadsheetml/2009/9/main" objectType="CheckBox" lockText="1" noThreeD="1"/>
</file>

<file path=xl/ctrlProps/ctrlProp97.xml><?xml version="1.0" encoding="utf-8"?>
<formControlPr xmlns="http://schemas.microsoft.com/office/spreadsheetml/2009/9/main" objectType="CheckBox" lockText="1" noThreeD="1"/>
</file>

<file path=xl/ctrlProps/ctrlProp98.xml><?xml version="1.0" encoding="utf-8"?>
<formControlPr xmlns="http://schemas.microsoft.com/office/spreadsheetml/2009/9/main" objectType="CheckBox" checked="Checked" lockText="1" noThreeD="1"/>
</file>

<file path=xl/ctrlProps/ctrlProp99.xml><?xml version="1.0" encoding="utf-8"?>
<formControlPr xmlns="http://schemas.microsoft.com/office/spreadsheetml/2009/9/main" objectType="CheckBox" lockText="1" noThreeD="1"/>
</file>

<file path=xl/ctrlProps/ctrlProp100.xml><?xml version="1.0" encoding="utf-8"?>
<formControlPr xmlns="http://schemas.microsoft.com/office/spreadsheetml/2009/9/main" objectType="CheckBox" lockText="1" noThreeD="1"/>
</file>

<file path=xl/ctrlProps/ctrlProp101.xml><?xml version="1.0" encoding="utf-8"?>
<formControlPr xmlns="http://schemas.microsoft.com/office/spreadsheetml/2009/9/main" objectType="CheckBox" lockText="1" noThreeD="1"/>
</file>

<file path=xl/ctrlProps/ctrlProp102.xml><?xml version="1.0" encoding="utf-8"?>
<formControlPr xmlns="http://schemas.microsoft.com/office/spreadsheetml/2009/9/main" objectType="CheckBox" lockText="1" noThreeD="1"/>
</file>

<file path=xl/ctrlProps/ctrlProp103.xml><?xml version="1.0" encoding="utf-8"?>
<formControlPr xmlns="http://schemas.microsoft.com/office/spreadsheetml/2009/9/main" objectType="CheckBox" lockText="1" noThreeD="1"/>
</file>

<file path=xl/ctrlProps/ctrlProp104.xml><?xml version="1.0" encoding="utf-8"?>
<formControlPr xmlns="http://schemas.microsoft.com/office/spreadsheetml/2009/9/main" objectType="CheckBox" lockText="1" noThreeD="1"/>
</file>

<file path=xl/ctrlProps/ctrlProp105.xml><?xml version="1.0" encoding="utf-8"?>
<formControlPr xmlns="http://schemas.microsoft.com/office/spreadsheetml/2009/9/main" objectType="CheckBox" lockText="1" noThreeD="1"/>
</file>

<file path=xl/ctrlProps/ctrlProp106.xml><?xml version="1.0" encoding="utf-8"?>
<formControlPr xmlns="http://schemas.microsoft.com/office/spreadsheetml/2009/9/main" objectType="CheckBox" lockText="1" noThreeD="1"/>
</file>

<file path=xl/ctrlProps/ctrlProp107.xml><?xml version="1.0" encoding="utf-8"?>
<formControlPr xmlns="http://schemas.microsoft.com/office/spreadsheetml/2009/9/main" objectType="CheckBox" lockText="1" noThreeD="1"/>
</file>

<file path=xl/ctrlProps/ctrlProp108.xml><?xml version="1.0" encoding="utf-8"?>
<formControlPr xmlns="http://schemas.microsoft.com/office/spreadsheetml/2009/9/main" objectType="CheckBox" checked="Checked" lockText="1" noThreeD="1"/>
</file>

<file path=xl/ctrlProps/ctrlProp109.xml><?xml version="1.0" encoding="utf-8"?>
<formControlPr xmlns="http://schemas.microsoft.com/office/spreadsheetml/2009/9/main" objectType="CheckBox" lockText="1" noThreeD="1"/>
</file>

<file path=xl/ctrlProps/ctrlProp110.xml><?xml version="1.0" encoding="utf-8"?>
<formControlPr xmlns="http://schemas.microsoft.com/office/spreadsheetml/2009/9/main" objectType="CheckBox" lockText="1" noThreeD="1"/>
</file>

<file path=xl/ctrlProps/ctrlProp111.xml><?xml version="1.0" encoding="utf-8"?>
<formControlPr xmlns="http://schemas.microsoft.com/office/spreadsheetml/2009/9/main" objectType="CheckBox" lockText="1" noThreeD="1"/>
</file>

<file path=xl/ctrlProps/ctrlProp112.xml><?xml version="1.0" encoding="utf-8"?>
<formControlPr xmlns="http://schemas.microsoft.com/office/spreadsheetml/2009/9/main" objectType="CheckBox" lockText="1" noThreeD="1"/>
</file>

<file path=xl/ctrlProps/ctrlProp113.xml><?xml version="1.0" encoding="utf-8"?>
<formControlPr xmlns="http://schemas.microsoft.com/office/spreadsheetml/2009/9/main" objectType="CheckBox" lockText="1" noThreeD="1"/>
</file>

<file path=xl/ctrlProps/ctrlProp114.xml><?xml version="1.0" encoding="utf-8"?>
<formControlPr xmlns="http://schemas.microsoft.com/office/spreadsheetml/2009/9/main" objectType="CheckBox" lockText="1" noThreeD="1"/>
</file>

<file path=xl/ctrlProps/ctrlProp115.xml><?xml version="1.0" encoding="utf-8"?>
<formControlPr xmlns="http://schemas.microsoft.com/office/spreadsheetml/2009/9/main" objectType="CheckBox" lockText="1" noThreeD="1"/>
</file>

<file path=xl/ctrlProps/ctrlProp116.xml><?xml version="1.0" encoding="utf-8"?>
<formControlPr xmlns="http://schemas.microsoft.com/office/spreadsheetml/2009/9/main" objectType="CheckBox" lockText="1" noThreeD="1"/>
</file>

<file path=xl/ctrlProps/ctrlProp117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2.png"/><Relationship Id="rId1" Type="http://schemas.openxmlformats.org/officeDocument/2006/relationships/image" Target="../media/image5.jpe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2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7.png"/><Relationship Id="rId1" Type="http://schemas.openxmlformats.org/officeDocument/2006/relationships/image" Target="../media/image6.png"/><Relationship Id="rId4" Type="http://schemas.openxmlformats.org/officeDocument/2006/relationships/image" Target="../media/image4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2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8.png"/><Relationship Id="rId2" Type="http://schemas.openxmlformats.org/officeDocument/2006/relationships/image" Target="../media/image4.png"/><Relationship Id="rId1" Type="http://schemas.openxmlformats.org/officeDocument/2006/relationships/image" Target="../media/image2.png"/><Relationship Id="rId4" Type="http://schemas.openxmlformats.org/officeDocument/2006/relationships/image" Target="../media/image9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342900</xdr:colOff>
      <xdr:row>21</xdr:row>
      <xdr:rowOff>160020</xdr:rowOff>
    </xdr:from>
    <xdr:to>
      <xdr:col>6</xdr:col>
      <xdr:colOff>0</xdr:colOff>
      <xdr:row>22</xdr:row>
      <xdr:rowOff>30480</xdr:rowOff>
    </xdr:to>
    <xdr:sp macro="" textlink="">
      <xdr:nvSpPr>
        <xdr:cNvPr id="236290" name="Text Box 11">
          <a:extLst>
            <a:ext uri="{FF2B5EF4-FFF2-40B4-BE49-F238E27FC236}">
              <a16:creationId xmlns:a16="http://schemas.microsoft.com/office/drawing/2014/main" id="{00000000-0008-0000-0000-0000029B0300}"/>
            </a:ext>
          </a:extLst>
        </xdr:cNvPr>
        <xdr:cNvSpPr txBox="1">
          <a:spLocks noChangeArrowheads="1"/>
        </xdr:cNvSpPr>
      </xdr:nvSpPr>
      <xdr:spPr bwMode="auto">
        <a:xfrm>
          <a:off x="533400" y="4290060"/>
          <a:ext cx="792480" cy="609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31</xdr:col>
      <xdr:colOff>160020</xdr:colOff>
      <xdr:row>35</xdr:row>
      <xdr:rowOff>83820</xdr:rowOff>
    </xdr:from>
    <xdr:to>
      <xdr:col>35</xdr:col>
      <xdr:colOff>38100</xdr:colOff>
      <xdr:row>36</xdr:row>
      <xdr:rowOff>68580</xdr:rowOff>
    </xdr:to>
    <xdr:sp macro="" textlink="">
      <xdr:nvSpPr>
        <xdr:cNvPr id="236291" name="Text Box 12">
          <a:extLst>
            <a:ext uri="{FF2B5EF4-FFF2-40B4-BE49-F238E27FC236}">
              <a16:creationId xmlns:a16="http://schemas.microsoft.com/office/drawing/2014/main" id="{00000000-0008-0000-0000-0000039B0300}"/>
            </a:ext>
          </a:extLst>
        </xdr:cNvPr>
        <xdr:cNvSpPr txBox="1">
          <a:spLocks noChangeArrowheads="1"/>
        </xdr:cNvSpPr>
      </xdr:nvSpPr>
      <xdr:spPr bwMode="auto">
        <a:xfrm>
          <a:off x="6118860" y="6880860"/>
          <a:ext cx="708660" cy="1752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20</xdr:col>
      <xdr:colOff>236220</xdr:colOff>
      <xdr:row>35</xdr:row>
      <xdr:rowOff>83820</xdr:rowOff>
    </xdr:from>
    <xdr:to>
      <xdr:col>24</xdr:col>
      <xdr:colOff>123825</xdr:colOff>
      <xdr:row>36</xdr:row>
      <xdr:rowOff>68580</xdr:rowOff>
    </xdr:to>
    <xdr:sp macro="" textlink="">
      <xdr:nvSpPr>
        <xdr:cNvPr id="236292" name="Text Box 13">
          <a:extLst>
            <a:ext uri="{FF2B5EF4-FFF2-40B4-BE49-F238E27FC236}">
              <a16:creationId xmlns:a16="http://schemas.microsoft.com/office/drawing/2014/main" id="{00000000-0008-0000-0000-0000049B0300}"/>
            </a:ext>
          </a:extLst>
        </xdr:cNvPr>
        <xdr:cNvSpPr txBox="1">
          <a:spLocks noChangeArrowheads="1"/>
        </xdr:cNvSpPr>
      </xdr:nvSpPr>
      <xdr:spPr bwMode="auto">
        <a:xfrm>
          <a:off x="4023360" y="6880860"/>
          <a:ext cx="640080" cy="1752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35</xdr:col>
      <xdr:colOff>30480</xdr:colOff>
      <xdr:row>35</xdr:row>
      <xdr:rowOff>38100</xdr:rowOff>
    </xdr:from>
    <xdr:to>
      <xdr:col>37</xdr:col>
      <xdr:colOff>247650</xdr:colOff>
      <xdr:row>36</xdr:row>
      <xdr:rowOff>38100</xdr:rowOff>
    </xdr:to>
    <xdr:sp macro="" textlink="">
      <xdr:nvSpPr>
        <xdr:cNvPr id="236293" name="Text Box 14">
          <a:extLst>
            <a:ext uri="{FF2B5EF4-FFF2-40B4-BE49-F238E27FC236}">
              <a16:creationId xmlns:a16="http://schemas.microsoft.com/office/drawing/2014/main" id="{00000000-0008-0000-0000-0000059B0300}"/>
            </a:ext>
          </a:extLst>
        </xdr:cNvPr>
        <xdr:cNvSpPr txBox="1">
          <a:spLocks noChangeArrowheads="1"/>
        </xdr:cNvSpPr>
      </xdr:nvSpPr>
      <xdr:spPr bwMode="auto">
        <a:xfrm>
          <a:off x="6812280" y="6835140"/>
          <a:ext cx="58674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228600</xdr:colOff>
      <xdr:row>36</xdr:row>
      <xdr:rowOff>38100</xdr:rowOff>
    </xdr:from>
    <xdr:to>
      <xdr:col>38</xdr:col>
      <xdr:colOff>0</xdr:colOff>
      <xdr:row>37</xdr:row>
      <xdr:rowOff>7620</xdr:rowOff>
    </xdr:to>
    <xdr:sp macro="" textlink="">
      <xdr:nvSpPr>
        <xdr:cNvPr id="236294" name="Text Box 15">
          <a:extLst>
            <a:ext uri="{FF2B5EF4-FFF2-40B4-BE49-F238E27FC236}">
              <a16:creationId xmlns:a16="http://schemas.microsoft.com/office/drawing/2014/main" id="{00000000-0008-0000-0000-0000069B0300}"/>
            </a:ext>
          </a:extLst>
        </xdr:cNvPr>
        <xdr:cNvSpPr txBox="1">
          <a:spLocks noChangeArrowheads="1"/>
        </xdr:cNvSpPr>
      </xdr:nvSpPr>
      <xdr:spPr bwMode="auto">
        <a:xfrm>
          <a:off x="6781800" y="7025640"/>
          <a:ext cx="617220" cy="1600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259080</xdr:colOff>
      <xdr:row>21</xdr:row>
      <xdr:rowOff>106680</xdr:rowOff>
    </xdr:from>
    <xdr:to>
      <xdr:col>5</xdr:col>
      <xdr:colOff>434340</xdr:colOff>
      <xdr:row>32</xdr:row>
      <xdr:rowOff>83820</xdr:rowOff>
    </xdr:to>
    <xdr:sp macro="" textlink="">
      <xdr:nvSpPr>
        <xdr:cNvPr id="236295" name="Text Box 1490">
          <a:extLst>
            <a:ext uri="{FF2B5EF4-FFF2-40B4-BE49-F238E27FC236}">
              <a16:creationId xmlns:a16="http://schemas.microsoft.com/office/drawing/2014/main" id="{00000000-0008-0000-0000-0000079B0300}"/>
            </a:ext>
          </a:extLst>
        </xdr:cNvPr>
        <xdr:cNvSpPr txBox="1">
          <a:spLocks noChangeArrowheads="1"/>
        </xdr:cNvSpPr>
      </xdr:nvSpPr>
      <xdr:spPr bwMode="auto">
        <a:xfrm>
          <a:off x="1325880" y="4236720"/>
          <a:ext cx="0" cy="20726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30</xdr:col>
      <xdr:colOff>236220</xdr:colOff>
      <xdr:row>39</xdr:row>
      <xdr:rowOff>45720</xdr:rowOff>
    </xdr:from>
    <xdr:to>
      <xdr:col>31</xdr:col>
      <xdr:colOff>91440</xdr:colOff>
      <xdr:row>40</xdr:row>
      <xdr:rowOff>30480</xdr:rowOff>
    </xdr:to>
    <xdr:sp macro="" textlink="">
      <xdr:nvSpPr>
        <xdr:cNvPr id="236296" name="Text Box 1494">
          <a:extLst>
            <a:ext uri="{FF2B5EF4-FFF2-40B4-BE49-F238E27FC236}">
              <a16:creationId xmlns:a16="http://schemas.microsoft.com/office/drawing/2014/main" id="{00000000-0008-0000-0000-0000089B0300}"/>
            </a:ext>
          </a:extLst>
        </xdr:cNvPr>
        <xdr:cNvSpPr txBox="1">
          <a:spLocks noChangeArrowheads="1"/>
        </xdr:cNvSpPr>
      </xdr:nvSpPr>
      <xdr:spPr bwMode="auto">
        <a:xfrm>
          <a:off x="5920740" y="7604760"/>
          <a:ext cx="129540" cy="1752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16</xdr:col>
      <xdr:colOff>96520</xdr:colOff>
      <xdr:row>18</xdr:row>
      <xdr:rowOff>38100</xdr:rowOff>
    </xdr:from>
    <xdr:to>
      <xdr:col>18</xdr:col>
      <xdr:colOff>69769</xdr:colOff>
      <xdr:row>20</xdr:row>
      <xdr:rowOff>38100</xdr:rowOff>
    </xdr:to>
    <xdr:sp macro="" textlink="">
      <xdr:nvSpPr>
        <xdr:cNvPr id="2" name="1 CuadroTexto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3105150" y="3219450"/>
          <a:ext cx="247650" cy="2476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PE"/>
        </a:p>
      </xdr:txBody>
    </xdr:sp>
    <xdr:clientData/>
  </xdr:twoCellAnchor>
  <xdr:twoCellAnchor>
    <xdr:from>
      <xdr:col>11</xdr:col>
      <xdr:colOff>106045</xdr:colOff>
      <xdr:row>11</xdr:row>
      <xdr:rowOff>125730</xdr:rowOff>
    </xdr:from>
    <xdr:to>
      <xdr:col>13</xdr:col>
      <xdr:colOff>79294</xdr:colOff>
      <xdr:row>13</xdr:row>
      <xdr:rowOff>111191</xdr:rowOff>
    </xdr:to>
    <xdr:sp macro="" textlink="">
      <xdr:nvSpPr>
        <xdr:cNvPr id="14" name="13 CuadroTexto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 txBox="1"/>
      </xdr:nvSpPr>
      <xdr:spPr>
        <a:xfrm>
          <a:off x="2438400" y="2409825"/>
          <a:ext cx="247650" cy="2476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PE"/>
        </a:p>
      </xdr:txBody>
    </xdr:sp>
    <xdr:clientData/>
  </xdr:twoCellAnchor>
  <xdr:twoCellAnchor>
    <xdr:from>
      <xdr:col>11</xdr:col>
      <xdr:colOff>44449</xdr:colOff>
      <xdr:row>17</xdr:row>
      <xdr:rowOff>92075</xdr:rowOff>
    </xdr:from>
    <xdr:to>
      <xdr:col>13</xdr:col>
      <xdr:colOff>38118</xdr:colOff>
      <xdr:row>20</xdr:row>
      <xdr:rowOff>38357</xdr:rowOff>
    </xdr:to>
    <xdr:sp macro="" textlink="">
      <xdr:nvSpPr>
        <xdr:cNvPr id="21" name="20 CuadroTexto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SpPr txBox="1"/>
      </xdr:nvSpPr>
      <xdr:spPr>
        <a:xfrm>
          <a:off x="2390774" y="3133725"/>
          <a:ext cx="257175" cy="3333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PE"/>
        </a:p>
      </xdr:txBody>
    </xdr:sp>
    <xdr:clientData/>
  </xdr:twoCellAnchor>
  <xdr:twoCellAnchor>
    <xdr:from>
      <xdr:col>16</xdr:col>
      <xdr:colOff>99695</xdr:colOff>
      <xdr:row>14</xdr:row>
      <xdr:rowOff>64770</xdr:rowOff>
    </xdr:from>
    <xdr:to>
      <xdr:col>18</xdr:col>
      <xdr:colOff>57310</xdr:colOff>
      <xdr:row>16</xdr:row>
      <xdr:rowOff>64770</xdr:rowOff>
    </xdr:to>
    <xdr:sp macro="" textlink="">
      <xdr:nvSpPr>
        <xdr:cNvPr id="22" name="21 CuadroTexto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 txBox="1"/>
      </xdr:nvSpPr>
      <xdr:spPr>
        <a:xfrm>
          <a:off x="3095625" y="2743200"/>
          <a:ext cx="247650" cy="2476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PE"/>
        </a:p>
      </xdr:txBody>
    </xdr:sp>
    <xdr:clientData/>
  </xdr:twoCellAnchor>
  <xdr:twoCellAnchor>
    <xdr:from>
      <xdr:col>20</xdr:col>
      <xdr:colOff>96520</xdr:colOff>
      <xdr:row>17</xdr:row>
      <xdr:rowOff>73025</xdr:rowOff>
    </xdr:from>
    <xdr:to>
      <xdr:col>22</xdr:col>
      <xdr:colOff>38321</xdr:colOff>
      <xdr:row>19</xdr:row>
      <xdr:rowOff>73025</xdr:rowOff>
    </xdr:to>
    <xdr:sp macro="" textlink="">
      <xdr:nvSpPr>
        <xdr:cNvPr id="23" name="22 CuadroTexto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SpPr txBox="1"/>
      </xdr:nvSpPr>
      <xdr:spPr>
        <a:xfrm>
          <a:off x="3638550" y="3114675"/>
          <a:ext cx="247650" cy="2476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PE"/>
        </a:p>
      </xdr:txBody>
    </xdr:sp>
    <xdr:clientData/>
  </xdr:twoCellAnchor>
  <xdr:twoCellAnchor>
    <xdr:from>
      <xdr:col>28</xdr:col>
      <xdr:colOff>34925</xdr:colOff>
      <xdr:row>33</xdr:row>
      <xdr:rowOff>34925</xdr:rowOff>
    </xdr:from>
    <xdr:to>
      <xdr:col>29</xdr:col>
      <xdr:colOff>96558</xdr:colOff>
      <xdr:row>35</xdr:row>
      <xdr:rowOff>34925</xdr:rowOff>
    </xdr:to>
    <xdr:sp macro="" textlink="">
      <xdr:nvSpPr>
        <xdr:cNvPr id="24" name="23 CuadroTexto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SpPr txBox="1"/>
      </xdr:nvSpPr>
      <xdr:spPr>
        <a:xfrm>
          <a:off x="4895850" y="3819525"/>
          <a:ext cx="247650" cy="2476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PE"/>
        </a:p>
      </xdr:txBody>
    </xdr:sp>
    <xdr:clientData/>
  </xdr:twoCellAnchor>
  <xdr:twoCellAnchor>
    <xdr:from>
      <xdr:col>12</xdr:col>
      <xdr:colOff>73025</xdr:colOff>
      <xdr:row>14</xdr:row>
      <xdr:rowOff>0</xdr:rowOff>
    </xdr:from>
    <xdr:to>
      <xdr:col>14</xdr:col>
      <xdr:colOff>57244</xdr:colOff>
      <xdr:row>16</xdr:row>
      <xdr:rowOff>0</xdr:rowOff>
    </xdr:to>
    <xdr:sp macro="" textlink="">
      <xdr:nvSpPr>
        <xdr:cNvPr id="25" name="24 CuadroTexto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SpPr txBox="1"/>
      </xdr:nvSpPr>
      <xdr:spPr>
        <a:xfrm>
          <a:off x="2552700" y="2676525"/>
          <a:ext cx="247650" cy="2476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PE"/>
        </a:p>
      </xdr:txBody>
    </xdr:sp>
    <xdr:clientData/>
  </xdr:twoCellAnchor>
  <xdr:twoCellAnchor>
    <xdr:from>
      <xdr:col>25</xdr:col>
      <xdr:colOff>26670</xdr:colOff>
      <xdr:row>33</xdr:row>
      <xdr:rowOff>76200</xdr:rowOff>
    </xdr:from>
    <xdr:to>
      <xdr:col>26</xdr:col>
      <xdr:colOff>57306</xdr:colOff>
      <xdr:row>35</xdr:row>
      <xdr:rowOff>76200</xdr:rowOff>
    </xdr:to>
    <xdr:sp macro="" textlink="">
      <xdr:nvSpPr>
        <xdr:cNvPr id="26" name="25 CuadroTexto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SpPr txBox="1"/>
      </xdr:nvSpPr>
      <xdr:spPr>
        <a:xfrm>
          <a:off x="4371975" y="3867150"/>
          <a:ext cx="247650" cy="2476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PE"/>
        </a:p>
      </xdr:txBody>
    </xdr:sp>
    <xdr:clientData/>
  </xdr:twoCellAnchor>
  <xdr:twoCellAnchor>
    <xdr:from>
      <xdr:col>20</xdr:col>
      <xdr:colOff>96520</xdr:colOff>
      <xdr:row>33</xdr:row>
      <xdr:rowOff>111125</xdr:rowOff>
    </xdr:from>
    <xdr:to>
      <xdr:col>22</xdr:col>
      <xdr:colOff>19245</xdr:colOff>
      <xdr:row>35</xdr:row>
      <xdr:rowOff>111125</xdr:rowOff>
    </xdr:to>
    <xdr:sp macro="" textlink="">
      <xdr:nvSpPr>
        <xdr:cNvPr id="27" name="26 CuadroTexto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SpPr txBox="1"/>
      </xdr:nvSpPr>
      <xdr:spPr>
        <a:xfrm>
          <a:off x="3629025" y="3895725"/>
          <a:ext cx="247650" cy="2476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PE"/>
        </a:p>
      </xdr:txBody>
    </xdr:sp>
    <xdr:clientData/>
  </xdr:twoCellAnchor>
  <xdr:twoCellAnchor>
    <xdr:from>
      <xdr:col>18</xdr:col>
      <xdr:colOff>19050</xdr:colOff>
      <xdr:row>32</xdr:row>
      <xdr:rowOff>95250</xdr:rowOff>
    </xdr:from>
    <xdr:to>
      <xdr:col>20</xdr:col>
      <xdr:colOff>0</xdr:colOff>
      <xdr:row>34</xdr:row>
      <xdr:rowOff>95250</xdr:rowOff>
    </xdr:to>
    <xdr:sp macro="" textlink="">
      <xdr:nvSpPr>
        <xdr:cNvPr id="28" name="27 CuadroTexto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SpPr txBox="1"/>
      </xdr:nvSpPr>
      <xdr:spPr>
        <a:xfrm>
          <a:off x="3295650" y="3762375"/>
          <a:ext cx="247650" cy="2476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PE"/>
        </a:p>
      </xdr:txBody>
    </xdr:sp>
    <xdr:clientData/>
  </xdr:twoCellAnchor>
  <xdr:twoCellAnchor>
    <xdr:from>
      <xdr:col>25</xdr:col>
      <xdr:colOff>0</xdr:colOff>
      <xdr:row>19</xdr:row>
      <xdr:rowOff>95250</xdr:rowOff>
    </xdr:from>
    <xdr:to>
      <xdr:col>26</xdr:col>
      <xdr:colOff>38100</xdr:colOff>
      <xdr:row>21</xdr:row>
      <xdr:rowOff>95250</xdr:rowOff>
    </xdr:to>
    <xdr:sp macro="" textlink="">
      <xdr:nvSpPr>
        <xdr:cNvPr id="29" name="28 CuadroTexto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SpPr txBox="1"/>
      </xdr:nvSpPr>
      <xdr:spPr>
        <a:xfrm>
          <a:off x="4352925" y="3390900"/>
          <a:ext cx="247650" cy="2476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PE"/>
        </a:p>
      </xdr:txBody>
    </xdr:sp>
    <xdr:clientData/>
  </xdr:twoCellAnchor>
  <xdr:twoCellAnchor>
    <xdr:from>
      <xdr:col>23</xdr:col>
      <xdr:colOff>0</xdr:colOff>
      <xdr:row>33</xdr:row>
      <xdr:rowOff>76200</xdr:rowOff>
    </xdr:from>
    <xdr:to>
      <xdr:col>24</xdr:col>
      <xdr:colOff>92149</xdr:colOff>
      <xdr:row>35</xdr:row>
      <xdr:rowOff>76200</xdr:rowOff>
    </xdr:to>
    <xdr:sp macro="" textlink="">
      <xdr:nvSpPr>
        <xdr:cNvPr id="30" name="29 CuadroTexto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SpPr txBox="1"/>
      </xdr:nvSpPr>
      <xdr:spPr>
        <a:xfrm>
          <a:off x="4000500" y="3867150"/>
          <a:ext cx="247650" cy="2476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PE"/>
        </a:p>
      </xdr:txBody>
    </xdr:sp>
    <xdr:clientData/>
  </xdr:twoCellAnchor>
  <xdr:twoCellAnchor>
    <xdr:from>
      <xdr:col>13</xdr:col>
      <xdr:colOff>15875</xdr:colOff>
      <xdr:row>33</xdr:row>
      <xdr:rowOff>114300</xdr:rowOff>
    </xdr:from>
    <xdr:to>
      <xdr:col>14</xdr:col>
      <xdr:colOff>110833</xdr:colOff>
      <xdr:row>35</xdr:row>
      <xdr:rowOff>114300</xdr:rowOff>
    </xdr:to>
    <xdr:sp macro="" textlink="">
      <xdr:nvSpPr>
        <xdr:cNvPr id="32" name="31 CuadroTexto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SpPr txBox="1"/>
      </xdr:nvSpPr>
      <xdr:spPr>
        <a:xfrm>
          <a:off x="2619375" y="3905250"/>
          <a:ext cx="247650" cy="2476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PE"/>
        </a:p>
      </xdr:txBody>
    </xdr:sp>
    <xdr:clientData/>
  </xdr:twoCellAnchor>
  <xdr:twoCellAnchor>
    <xdr:from>
      <xdr:col>16</xdr:col>
      <xdr:colOff>109220</xdr:colOff>
      <xdr:row>33</xdr:row>
      <xdr:rowOff>111125</xdr:rowOff>
    </xdr:from>
    <xdr:to>
      <xdr:col>18</xdr:col>
      <xdr:colOff>73148</xdr:colOff>
      <xdr:row>35</xdr:row>
      <xdr:rowOff>111125</xdr:rowOff>
    </xdr:to>
    <xdr:sp macro="" textlink="">
      <xdr:nvSpPr>
        <xdr:cNvPr id="33" name="32 CuadroTexto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SpPr txBox="1"/>
      </xdr:nvSpPr>
      <xdr:spPr>
        <a:xfrm>
          <a:off x="3114675" y="3895725"/>
          <a:ext cx="247650" cy="2476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PE"/>
        </a:p>
      </xdr:txBody>
    </xdr:sp>
    <xdr:clientData/>
  </xdr:twoCellAnchor>
  <xdr:twoCellAnchor>
    <xdr:from>
      <xdr:col>26</xdr:col>
      <xdr:colOff>80645</xdr:colOff>
      <xdr:row>14</xdr:row>
      <xdr:rowOff>26670</xdr:rowOff>
    </xdr:from>
    <xdr:to>
      <xdr:col>28</xdr:col>
      <xdr:colOff>27090</xdr:colOff>
      <xdr:row>16</xdr:row>
      <xdr:rowOff>26670</xdr:rowOff>
    </xdr:to>
    <xdr:sp macro="" textlink="">
      <xdr:nvSpPr>
        <xdr:cNvPr id="34" name="33 CuadroTexto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SpPr txBox="1"/>
      </xdr:nvSpPr>
      <xdr:spPr>
        <a:xfrm>
          <a:off x="4638675" y="2705100"/>
          <a:ext cx="247650" cy="2476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PE"/>
        </a:p>
      </xdr:txBody>
    </xdr:sp>
    <xdr:clientData/>
  </xdr:twoCellAnchor>
  <xdr:twoCellAnchor>
    <xdr:from>
      <xdr:col>28</xdr:col>
      <xdr:colOff>23495</xdr:colOff>
      <xdr:row>18</xdr:row>
      <xdr:rowOff>0</xdr:rowOff>
    </xdr:from>
    <xdr:to>
      <xdr:col>29</xdr:col>
      <xdr:colOff>79089</xdr:colOff>
      <xdr:row>20</xdr:row>
      <xdr:rowOff>0</xdr:rowOff>
    </xdr:to>
    <xdr:sp macro="" textlink="">
      <xdr:nvSpPr>
        <xdr:cNvPr id="35" name="34 CuadroTexto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SpPr txBox="1"/>
      </xdr:nvSpPr>
      <xdr:spPr>
        <a:xfrm>
          <a:off x="4876800" y="3171825"/>
          <a:ext cx="247650" cy="2476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PE"/>
        </a:p>
      </xdr:txBody>
    </xdr:sp>
    <xdr:clientData/>
  </xdr:twoCellAnchor>
  <xdr:twoCellAnchor>
    <xdr:from>
      <xdr:col>27</xdr:col>
      <xdr:colOff>0</xdr:colOff>
      <xdr:row>20</xdr:row>
      <xdr:rowOff>26670</xdr:rowOff>
    </xdr:from>
    <xdr:to>
      <xdr:col>29</xdr:col>
      <xdr:colOff>34930</xdr:colOff>
      <xdr:row>32</xdr:row>
      <xdr:rowOff>57462</xdr:rowOff>
    </xdr:to>
    <xdr:sp macro="" textlink="">
      <xdr:nvSpPr>
        <xdr:cNvPr id="36" name="35 CuadroTexto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SpPr txBox="1"/>
      </xdr:nvSpPr>
      <xdr:spPr>
        <a:xfrm flipH="1">
          <a:off x="4714875" y="3438525"/>
          <a:ext cx="361950" cy="2952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PE"/>
        </a:p>
      </xdr:txBody>
    </xdr:sp>
    <xdr:clientData/>
  </xdr:twoCellAnchor>
  <xdr:twoCellAnchor>
    <xdr:from>
      <xdr:col>26</xdr:col>
      <xdr:colOff>19050</xdr:colOff>
      <xdr:row>34</xdr:row>
      <xdr:rowOff>57150</xdr:rowOff>
    </xdr:from>
    <xdr:to>
      <xdr:col>27</xdr:col>
      <xdr:colOff>124973</xdr:colOff>
      <xdr:row>36</xdr:row>
      <xdr:rowOff>67046</xdr:rowOff>
    </xdr:to>
    <xdr:sp macro="" textlink="">
      <xdr:nvSpPr>
        <xdr:cNvPr id="37" name="36 CuadroTexto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SpPr txBox="1"/>
      </xdr:nvSpPr>
      <xdr:spPr>
        <a:xfrm>
          <a:off x="4581525" y="3981450"/>
          <a:ext cx="247650" cy="2476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PE"/>
        </a:p>
      </xdr:txBody>
    </xdr:sp>
    <xdr:clientData/>
  </xdr:twoCellAnchor>
  <xdr:twoCellAnchor>
    <xdr:from>
      <xdr:col>25</xdr:col>
      <xdr:colOff>146050</xdr:colOff>
      <xdr:row>38</xdr:row>
      <xdr:rowOff>0</xdr:rowOff>
    </xdr:from>
    <xdr:to>
      <xdr:col>27</xdr:col>
      <xdr:colOff>61296</xdr:colOff>
      <xdr:row>40</xdr:row>
      <xdr:rowOff>0</xdr:rowOff>
    </xdr:to>
    <xdr:sp macro="" textlink="">
      <xdr:nvSpPr>
        <xdr:cNvPr id="38" name="37 CuadroTexto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SpPr txBox="1"/>
      </xdr:nvSpPr>
      <xdr:spPr>
        <a:xfrm>
          <a:off x="4514850" y="4410075"/>
          <a:ext cx="247650" cy="2476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PE"/>
        </a:p>
      </xdr:txBody>
    </xdr:sp>
    <xdr:clientData/>
  </xdr:twoCellAnchor>
  <xdr:twoCellAnchor>
    <xdr:from>
      <xdr:col>25</xdr:col>
      <xdr:colOff>169545</xdr:colOff>
      <xdr:row>36</xdr:row>
      <xdr:rowOff>95249</xdr:rowOff>
    </xdr:from>
    <xdr:to>
      <xdr:col>27</xdr:col>
      <xdr:colOff>23689</xdr:colOff>
      <xdr:row>38</xdr:row>
      <xdr:rowOff>38527</xdr:rowOff>
    </xdr:to>
    <xdr:sp macro="" textlink="">
      <xdr:nvSpPr>
        <xdr:cNvPr id="39" name="38 CuadroTexto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SpPr txBox="1"/>
      </xdr:nvSpPr>
      <xdr:spPr>
        <a:xfrm>
          <a:off x="4524375" y="4248149"/>
          <a:ext cx="200025" cy="2000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PE"/>
        </a:p>
      </xdr:txBody>
    </xdr:sp>
    <xdr:clientData/>
  </xdr:twoCellAnchor>
  <xdr:twoCellAnchor>
    <xdr:from>
      <xdr:col>13</xdr:col>
      <xdr:colOff>38100</xdr:colOff>
      <xdr:row>13</xdr:row>
      <xdr:rowOff>95249</xdr:rowOff>
    </xdr:from>
    <xdr:to>
      <xdr:col>14</xdr:col>
      <xdr:colOff>92127</xdr:colOff>
      <xdr:row>15</xdr:row>
      <xdr:rowOff>54068</xdr:rowOff>
    </xdr:to>
    <xdr:sp macro="" textlink="">
      <xdr:nvSpPr>
        <xdr:cNvPr id="41" name="40 CuadroTexto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SpPr txBox="1"/>
      </xdr:nvSpPr>
      <xdr:spPr>
        <a:xfrm>
          <a:off x="2647950" y="2647949"/>
          <a:ext cx="200025" cy="2000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PE"/>
        </a:p>
      </xdr:txBody>
    </xdr:sp>
    <xdr:clientData/>
  </xdr:twoCellAnchor>
  <xdr:twoCellAnchor>
    <xdr:from>
      <xdr:col>9</xdr:col>
      <xdr:colOff>134620</xdr:colOff>
      <xdr:row>36</xdr:row>
      <xdr:rowOff>19049</xdr:rowOff>
    </xdr:from>
    <xdr:to>
      <xdr:col>10</xdr:col>
      <xdr:colOff>61664</xdr:colOff>
      <xdr:row>37</xdr:row>
      <xdr:rowOff>102972</xdr:rowOff>
    </xdr:to>
    <xdr:sp macro="" textlink="">
      <xdr:nvSpPr>
        <xdr:cNvPr id="42" name="41 CuadroTexto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SpPr txBox="1"/>
      </xdr:nvSpPr>
      <xdr:spPr>
        <a:xfrm>
          <a:off x="2057400" y="4181474"/>
          <a:ext cx="200025" cy="2000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PE"/>
        </a:p>
      </xdr:txBody>
    </xdr:sp>
    <xdr:clientData/>
  </xdr:twoCellAnchor>
  <xdr:twoCellAnchor>
    <xdr:from>
      <xdr:col>24</xdr:col>
      <xdr:colOff>0</xdr:colOff>
      <xdr:row>37</xdr:row>
      <xdr:rowOff>64769</xdr:rowOff>
    </xdr:from>
    <xdr:to>
      <xdr:col>25</xdr:col>
      <xdr:colOff>236</xdr:colOff>
      <xdr:row>39</xdr:row>
      <xdr:rowOff>9576</xdr:rowOff>
    </xdr:to>
    <xdr:sp macro="" textlink="">
      <xdr:nvSpPr>
        <xdr:cNvPr id="45" name="44 CuadroTexto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SpPr txBox="1"/>
      </xdr:nvSpPr>
      <xdr:spPr>
        <a:xfrm>
          <a:off x="4162425" y="4343399"/>
          <a:ext cx="200025" cy="2000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PE"/>
        </a:p>
      </xdr:txBody>
    </xdr:sp>
    <xdr:clientData/>
  </xdr:twoCellAnchor>
  <xdr:twoCellAnchor editAs="oneCell">
    <xdr:from>
      <xdr:col>1</xdr:col>
      <xdr:colOff>342900</xdr:colOff>
      <xdr:row>21</xdr:row>
      <xdr:rowOff>160020</xdr:rowOff>
    </xdr:from>
    <xdr:to>
      <xdr:col>6</xdr:col>
      <xdr:colOff>0</xdr:colOff>
      <xdr:row>22</xdr:row>
      <xdr:rowOff>30480</xdr:rowOff>
    </xdr:to>
    <xdr:sp macro="" textlink="">
      <xdr:nvSpPr>
        <xdr:cNvPr id="236321" name="Text Box 11">
          <a:extLst>
            <a:ext uri="{FF2B5EF4-FFF2-40B4-BE49-F238E27FC236}">
              <a16:creationId xmlns:a16="http://schemas.microsoft.com/office/drawing/2014/main" id="{00000000-0008-0000-0000-0000219B0300}"/>
            </a:ext>
          </a:extLst>
        </xdr:cNvPr>
        <xdr:cNvSpPr txBox="1">
          <a:spLocks noChangeArrowheads="1"/>
        </xdr:cNvSpPr>
      </xdr:nvSpPr>
      <xdr:spPr bwMode="auto">
        <a:xfrm>
          <a:off x="533400" y="4290060"/>
          <a:ext cx="792480" cy="609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31</xdr:col>
      <xdr:colOff>160020</xdr:colOff>
      <xdr:row>25</xdr:row>
      <xdr:rowOff>83820</xdr:rowOff>
    </xdr:from>
    <xdr:to>
      <xdr:col>35</xdr:col>
      <xdr:colOff>38100</xdr:colOff>
      <xdr:row>26</xdr:row>
      <xdr:rowOff>60960</xdr:rowOff>
    </xdr:to>
    <xdr:sp macro="" textlink="">
      <xdr:nvSpPr>
        <xdr:cNvPr id="236322" name="Text Box 12">
          <a:extLst>
            <a:ext uri="{FF2B5EF4-FFF2-40B4-BE49-F238E27FC236}">
              <a16:creationId xmlns:a16="http://schemas.microsoft.com/office/drawing/2014/main" id="{00000000-0008-0000-0000-0000229B0300}"/>
            </a:ext>
          </a:extLst>
        </xdr:cNvPr>
        <xdr:cNvSpPr txBox="1">
          <a:spLocks noChangeArrowheads="1"/>
        </xdr:cNvSpPr>
      </xdr:nvSpPr>
      <xdr:spPr bwMode="auto">
        <a:xfrm>
          <a:off x="6118860" y="4975860"/>
          <a:ext cx="708660" cy="1676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20</xdr:col>
      <xdr:colOff>236220</xdr:colOff>
      <xdr:row>25</xdr:row>
      <xdr:rowOff>83820</xdr:rowOff>
    </xdr:from>
    <xdr:to>
      <xdr:col>24</xdr:col>
      <xdr:colOff>123825</xdr:colOff>
      <xdr:row>26</xdr:row>
      <xdr:rowOff>60960</xdr:rowOff>
    </xdr:to>
    <xdr:sp macro="" textlink="">
      <xdr:nvSpPr>
        <xdr:cNvPr id="236323" name="Text Box 13">
          <a:extLst>
            <a:ext uri="{FF2B5EF4-FFF2-40B4-BE49-F238E27FC236}">
              <a16:creationId xmlns:a16="http://schemas.microsoft.com/office/drawing/2014/main" id="{00000000-0008-0000-0000-0000239B0300}"/>
            </a:ext>
          </a:extLst>
        </xdr:cNvPr>
        <xdr:cNvSpPr txBox="1">
          <a:spLocks noChangeArrowheads="1"/>
        </xdr:cNvSpPr>
      </xdr:nvSpPr>
      <xdr:spPr bwMode="auto">
        <a:xfrm>
          <a:off x="4023360" y="4975860"/>
          <a:ext cx="640080" cy="1676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35</xdr:col>
      <xdr:colOff>30480</xdr:colOff>
      <xdr:row>25</xdr:row>
      <xdr:rowOff>38100</xdr:rowOff>
    </xdr:from>
    <xdr:to>
      <xdr:col>37</xdr:col>
      <xdr:colOff>247650</xdr:colOff>
      <xdr:row>26</xdr:row>
      <xdr:rowOff>38100</xdr:rowOff>
    </xdr:to>
    <xdr:sp macro="" textlink="">
      <xdr:nvSpPr>
        <xdr:cNvPr id="236324" name="Text Box 14">
          <a:extLst>
            <a:ext uri="{FF2B5EF4-FFF2-40B4-BE49-F238E27FC236}">
              <a16:creationId xmlns:a16="http://schemas.microsoft.com/office/drawing/2014/main" id="{00000000-0008-0000-0000-0000249B0300}"/>
            </a:ext>
          </a:extLst>
        </xdr:cNvPr>
        <xdr:cNvSpPr txBox="1">
          <a:spLocks noChangeArrowheads="1"/>
        </xdr:cNvSpPr>
      </xdr:nvSpPr>
      <xdr:spPr bwMode="auto">
        <a:xfrm>
          <a:off x="6812280" y="4930140"/>
          <a:ext cx="58674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228600</xdr:colOff>
      <xdr:row>26</xdr:row>
      <xdr:rowOff>38100</xdr:rowOff>
    </xdr:from>
    <xdr:to>
      <xdr:col>38</xdr:col>
      <xdr:colOff>0</xdr:colOff>
      <xdr:row>27</xdr:row>
      <xdr:rowOff>7620</xdr:rowOff>
    </xdr:to>
    <xdr:sp macro="" textlink="">
      <xdr:nvSpPr>
        <xdr:cNvPr id="236325" name="Text Box 15">
          <a:extLst>
            <a:ext uri="{FF2B5EF4-FFF2-40B4-BE49-F238E27FC236}">
              <a16:creationId xmlns:a16="http://schemas.microsoft.com/office/drawing/2014/main" id="{00000000-0008-0000-0000-0000259B0300}"/>
            </a:ext>
          </a:extLst>
        </xdr:cNvPr>
        <xdr:cNvSpPr txBox="1">
          <a:spLocks noChangeArrowheads="1"/>
        </xdr:cNvSpPr>
      </xdr:nvSpPr>
      <xdr:spPr bwMode="auto">
        <a:xfrm>
          <a:off x="6781800" y="5120640"/>
          <a:ext cx="617220" cy="1600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259080</xdr:colOff>
      <xdr:row>21</xdr:row>
      <xdr:rowOff>106680</xdr:rowOff>
    </xdr:from>
    <xdr:to>
      <xdr:col>5</xdr:col>
      <xdr:colOff>434340</xdr:colOff>
      <xdr:row>22</xdr:row>
      <xdr:rowOff>83820</xdr:rowOff>
    </xdr:to>
    <xdr:sp macro="" textlink="">
      <xdr:nvSpPr>
        <xdr:cNvPr id="236326" name="Text Box 1490">
          <a:extLst>
            <a:ext uri="{FF2B5EF4-FFF2-40B4-BE49-F238E27FC236}">
              <a16:creationId xmlns:a16="http://schemas.microsoft.com/office/drawing/2014/main" id="{00000000-0008-0000-0000-0000269B0300}"/>
            </a:ext>
          </a:extLst>
        </xdr:cNvPr>
        <xdr:cNvSpPr txBox="1">
          <a:spLocks noChangeArrowheads="1"/>
        </xdr:cNvSpPr>
      </xdr:nvSpPr>
      <xdr:spPr bwMode="auto">
        <a:xfrm>
          <a:off x="1325880" y="4236720"/>
          <a:ext cx="0" cy="1676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30</xdr:col>
      <xdr:colOff>236220</xdr:colOff>
      <xdr:row>31</xdr:row>
      <xdr:rowOff>45720</xdr:rowOff>
    </xdr:from>
    <xdr:to>
      <xdr:col>31</xdr:col>
      <xdr:colOff>91440</xdr:colOff>
      <xdr:row>32</xdr:row>
      <xdr:rowOff>30480</xdr:rowOff>
    </xdr:to>
    <xdr:sp macro="" textlink="">
      <xdr:nvSpPr>
        <xdr:cNvPr id="236327" name="Text Box 1494">
          <a:extLst>
            <a:ext uri="{FF2B5EF4-FFF2-40B4-BE49-F238E27FC236}">
              <a16:creationId xmlns:a16="http://schemas.microsoft.com/office/drawing/2014/main" id="{00000000-0008-0000-0000-0000279B0300}"/>
            </a:ext>
          </a:extLst>
        </xdr:cNvPr>
        <xdr:cNvSpPr txBox="1">
          <a:spLocks noChangeArrowheads="1"/>
        </xdr:cNvSpPr>
      </xdr:nvSpPr>
      <xdr:spPr bwMode="auto">
        <a:xfrm>
          <a:off x="5920740" y="6080760"/>
          <a:ext cx="129540" cy="1752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16</xdr:col>
      <xdr:colOff>96520</xdr:colOff>
      <xdr:row>18</xdr:row>
      <xdr:rowOff>38100</xdr:rowOff>
    </xdr:from>
    <xdr:to>
      <xdr:col>18</xdr:col>
      <xdr:colOff>69769</xdr:colOff>
      <xdr:row>20</xdr:row>
      <xdr:rowOff>38100</xdr:rowOff>
    </xdr:to>
    <xdr:sp macro="" textlink="">
      <xdr:nvSpPr>
        <xdr:cNvPr id="50" name="49 CuadroTexto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SpPr txBox="1"/>
      </xdr:nvSpPr>
      <xdr:spPr>
        <a:xfrm>
          <a:off x="3251200" y="3590925"/>
          <a:ext cx="247650" cy="381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PE"/>
        </a:p>
      </xdr:txBody>
    </xdr:sp>
    <xdr:clientData/>
  </xdr:twoCellAnchor>
  <xdr:twoCellAnchor>
    <xdr:from>
      <xdr:col>11</xdr:col>
      <xdr:colOff>106045</xdr:colOff>
      <xdr:row>11</xdr:row>
      <xdr:rowOff>125730</xdr:rowOff>
    </xdr:from>
    <xdr:to>
      <xdr:col>13</xdr:col>
      <xdr:colOff>79294</xdr:colOff>
      <xdr:row>13</xdr:row>
      <xdr:rowOff>111191</xdr:rowOff>
    </xdr:to>
    <xdr:sp macro="" textlink="">
      <xdr:nvSpPr>
        <xdr:cNvPr id="51" name="50 CuadroTexto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SpPr txBox="1"/>
      </xdr:nvSpPr>
      <xdr:spPr>
        <a:xfrm>
          <a:off x="2508250" y="2352675"/>
          <a:ext cx="247650" cy="35883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PE"/>
        </a:p>
      </xdr:txBody>
    </xdr:sp>
    <xdr:clientData/>
  </xdr:twoCellAnchor>
  <xdr:twoCellAnchor>
    <xdr:from>
      <xdr:col>11</xdr:col>
      <xdr:colOff>44449</xdr:colOff>
      <xdr:row>17</xdr:row>
      <xdr:rowOff>92075</xdr:rowOff>
    </xdr:from>
    <xdr:to>
      <xdr:col>13</xdr:col>
      <xdr:colOff>38118</xdr:colOff>
      <xdr:row>20</xdr:row>
      <xdr:rowOff>38357</xdr:rowOff>
    </xdr:to>
    <xdr:sp macro="" textlink="">
      <xdr:nvSpPr>
        <xdr:cNvPr id="52" name="51 CuadroTexto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SpPr txBox="1"/>
      </xdr:nvSpPr>
      <xdr:spPr>
        <a:xfrm>
          <a:off x="2454274" y="3454400"/>
          <a:ext cx="260369" cy="51778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PE"/>
        </a:p>
      </xdr:txBody>
    </xdr:sp>
    <xdr:clientData/>
  </xdr:twoCellAnchor>
  <xdr:twoCellAnchor>
    <xdr:from>
      <xdr:col>16</xdr:col>
      <xdr:colOff>99695</xdr:colOff>
      <xdr:row>14</xdr:row>
      <xdr:rowOff>64770</xdr:rowOff>
    </xdr:from>
    <xdr:to>
      <xdr:col>18</xdr:col>
      <xdr:colOff>57310</xdr:colOff>
      <xdr:row>16</xdr:row>
      <xdr:rowOff>64770</xdr:rowOff>
    </xdr:to>
    <xdr:sp macro="" textlink="">
      <xdr:nvSpPr>
        <xdr:cNvPr id="53" name="52 CuadroTexto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SpPr txBox="1"/>
      </xdr:nvSpPr>
      <xdr:spPr>
        <a:xfrm>
          <a:off x="3254375" y="2847975"/>
          <a:ext cx="232008" cy="381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PE"/>
        </a:p>
      </xdr:txBody>
    </xdr:sp>
    <xdr:clientData/>
  </xdr:twoCellAnchor>
  <xdr:twoCellAnchor>
    <xdr:from>
      <xdr:col>20</xdr:col>
      <xdr:colOff>96520</xdr:colOff>
      <xdr:row>17</xdr:row>
      <xdr:rowOff>73025</xdr:rowOff>
    </xdr:from>
    <xdr:to>
      <xdr:col>22</xdr:col>
      <xdr:colOff>38321</xdr:colOff>
      <xdr:row>19</xdr:row>
      <xdr:rowOff>73025</xdr:rowOff>
    </xdr:to>
    <xdr:sp macro="" textlink="">
      <xdr:nvSpPr>
        <xdr:cNvPr id="54" name="53 CuadroTexto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SpPr txBox="1"/>
      </xdr:nvSpPr>
      <xdr:spPr>
        <a:xfrm>
          <a:off x="3784600" y="3435350"/>
          <a:ext cx="254081" cy="381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PE"/>
        </a:p>
      </xdr:txBody>
    </xdr:sp>
    <xdr:clientData/>
  </xdr:twoCellAnchor>
  <xdr:twoCellAnchor>
    <xdr:from>
      <xdr:col>28</xdr:col>
      <xdr:colOff>34925</xdr:colOff>
      <xdr:row>23</xdr:row>
      <xdr:rowOff>34925</xdr:rowOff>
    </xdr:from>
    <xdr:to>
      <xdr:col>29</xdr:col>
      <xdr:colOff>96558</xdr:colOff>
      <xdr:row>25</xdr:row>
      <xdr:rowOff>34925</xdr:rowOff>
    </xdr:to>
    <xdr:sp macro="" textlink="">
      <xdr:nvSpPr>
        <xdr:cNvPr id="55" name="54 CuadroTexto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SpPr txBox="1"/>
      </xdr:nvSpPr>
      <xdr:spPr>
        <a:xfrm>
          <a:off x="5054600" y="4540250"/>
          <a:ext cx="272825" cy="381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PE"/>
        </a:p>
      </xdr:txBody>
    </xdr:sp>
    <xdr:clientData/>
  </xdr:twoCellAnchor>
  <xdr:twoCellAnchor>
    <xdr:from>
      <xdr:col>12</xdr:col>
      <xdr:colOff>73025</xdr:colOff>
      <xdr:row>14</xdr:row>
      <xdr:rowOff>0</xdr:rowOff>
    </xdr:from>
    <xdr:to>
      <xdr:col>14</xdr:col>
      <xdr:colOff>57244</xdr:colOff>
      <xdr:row>16</xdr:row>
      <xdr:rowOff>0</xdr:rowOff>
    </xdr:to>
    <xdr:sp macro="" textlink="">
      <xdr:nvSpPr>
        <xdr:cNvPr id="56" name="55 CuadroTexto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SpPr txBox="1"/>
      </xdr:nvSpPr>
      <xdr:spPr>
        <a:xfrm>
          <a:off x="2616200" y="2790825"/>
          <a:ext cx="250919" cy="381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PE"/>
        </a:p>
      </xdr:txBody>
    </xdr:sp>
    <xdr:clientData/>
  </xdr:twoCellAnchor>
  <xdr:twoCellAnchor>
    <xdr:from>
      <xdr:col>25</xdr:col>
      <xdr:colOff>26670</xdr:colOff>
      <xdr:row>23</xdr:row>
      <xdr:rowOff>76200</xdr:rowOff>
    </xdr:from>
    <xdr:to>
      <xdr:col>26</xdr:col>
      <xdr:colOff>57306</xdr:colOff>
      <xdr:row>25</xdr:row>
      <xdr:rowOff>76200</xdr:rowOff>
    </xdr:to>
    <xdr:sp macro="" textlink="">
      <xdr:nvSpPr>
        <xdr:cNvPr id="57" name="56 CuadroTexto"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SpPr txBox="1"/>
      </xdr:nvSpPr>
      <xdr:spPr>
        <a:xfrm>
          <a:off x="4524375" y="4581525"/>
          <a:ext cx="247650" cy="381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PE"/>
        </a:p>
      </xdr:txBody>
    </xdr:sp>
    <xdr:clientData/>
  </xdr:twoCellAnchor>
  <xdr:twoCellAnchor>
    <xdr:from>
      <xdr:col>20</xdr:col>
      <xdr:colOff>96520</xdr:colOff>
      <xdr:row>23</xdr:row>
      <xdr:rowOff>111125</xdr:rowOff>
    </xdr:from>
    <xdr:to>
      <xdr:col>22</xdr:col>
      <xdr:colOff>19245</xdr:colOff>
      <xdr:row>25</xdr:row>
      <xdr:rowOff>111125</xdr:rowOff>
    </xdr:to>
    <xdr:sp macro="" textlink="">
      <xdr:nvSpPr>
        <xdr:cNvPr id="58" name="57 CuadroTexto">
          <a:extLs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SpPr txBox="1"/>
      </xdr:nvSpPr>
      <xdr:spPr>
        <a:xfrm>
          <a:off x="3784600" y="4616450"/>
          <a:ext cx="234913" cy="381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PE"/>
        </a:p>
      </xdr:txBody>
    </xdr:sp>
    <xdr:clientData/>
  </xdr:twoCellAnchor>
  <xdr:twoCellAnchor>
    <xdr:from>
      <xdr:col>18</xdr:col>
      <xdr:colOff>19050</xdr:colOff>
      <xdr:row>22</xdr:row>
      <xdr:rowOff>102870</xdr:rowOff>
    </xdr:from>
    <xdr:to>
      <xdr:col>20</xdr:col>
      <xdr:colOff>0</xdr:colOff>
      <xdr:row>24</xdr:row>
      <xdr:rowOff>102870</xdr:rowOff>
    </xdr:to>
    <xdr:sp macro="" textlink="">
      <xdr:nvSpPr>
        <xdr:cNvPr id="59" name="58 CuadroTexto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SpPr txBox="1"/>
      </xdr:nvSpPr>
      <xdr:spPr>
        <a:xfrm>
          <a:off x="3448050" y="4410075"/>
          <a:ext cx="247650" cy="381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PE"/>
        </a:p>
      </xdr:txBody>
    </xdr:sp>
    <xdr:clientData/>
  </xdr:twoCellAnchor>
  <xdr:twoCellAnchor>
    <xdr:from>
      <xdr:col>25</xdr:col>
      <xdr:colOff>0</xdr:colOff>
      <xdr:row>19</xdr:row>
      <xdr:rowOff>95250</xdr:rowOff>
    </xdr:from>
    <xdr:to>
      <xdr:col>26</xdr:col>
      <xdr:colOff>38100</xdr:colOff>
      <xdr:row>21</xdr:row>
      <xdr:rowOff>95250</xdr:rowOff>
    </xdr:to>
    <xdr:sp macro="" textlink="">
      <xdr:nvSpPr>
        <xdr:cNvPr id="60" name="59 CuadroTexto">
          <a:extLs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SpPr txBox="1"/>
      </xdr:nvSpPr>
      <xdr:spPr>
        <a:xfrm>
          <a:off x="4505325" y="3838575"/>
          <a:ext cx="247650" cy="381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PE"/>
        </a:p>
      </xdr:txBody>
    </xdr:sp>
    <xdr:clientData/>
  </xdr:twoCellAnchor>
  <xdr:twoCellAnchor>
    <xdr:from>
      <xdr:col>23</xdr:col>
      <xdr:colOff>0</xdr:colOff>
      <xdr:row>23</xdr:row>
      <xdr:rowOff>76200</xdr:rowOff>
    </xdr:from>
    <xdr:to>
      <xdr:col>24</xdr:col>
      <xdr:colOff>92149</xdr:colOff>
      <xdr:row>25</xdr:row>
      <xdr:rowOff>76200</xdr:rowOff>
    </xdr:to>
    <xdr:sp macro="" textlink="">
      <xdr:nvSpPr>
        <xdr:cNvPr id="61" name="60 CuadroTexto">
          <a:extLs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SpPr txBox="1"/>
      </xdr:nvSpPr>
      <xdr:spPr>
        <a:xfrm>
          <a:off x="4152900" y="4581525"/>
          <a:ext cx="254074" cy="381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PE"/>
        </a:p>
      </xdr:txBody>
    </xdr:sp>
    <xdr:clientData/>
  </xdr:twoCellAnchor>
  <xdr:twoCellAnchor>
    <xdr:from>
      <xdr:col>13</xdr:col>
      <xdr:colOff>15875</xdr:colOff>
      <xdr:row>23</xdr:row>
      <xdr:rowOff>114300</xdr:rowOff>
    </xdr:from>
    <xdr:to>
      <xdr:col>14</xdr:col>
      <xdr:colOff>110833</xdr:colOff>
      <xdr:row>25</xdr:row>
      <xdr:rowOff>114300</xdr:rowOff>
    </xdr:to>
    <xdr:sp macro="" textlink="">
      <xdr:nvSpPr>
        <xdr:cNvPr id="62" name="61 CuadroTexto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SpPr txBox="1"/>
      </xdr:nvSpPr>
      <xdr:spPr>
        <a:xfrm>
          <a:off x="2692400" y="4619625"/>
          <a:ext cx="228308" cy="381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PE"/>
        </a:p>
      </xdr:txBody>
    </xdr:sp>
    <xdr:clientData/>
  </xdr:twoCellAnchor>
  <xdr:twoCellAnchor>
    <xdr:from>
      <xdr:col>16</xdr:col>
      <xdr:colOff>109220</xdr:colOff>
      <xdr:row>23</xdr:row>
      <xdr:rowOff>111125</xdr:rowOff>
    </xdr:from>
    <xdr:to>
      <xdr:col>18</xdr:col>
      <xdr:colOff>73148</xdr:colOff>
      <xdr:row>25</xdr:row>
      <xdr:rowOff>111125</xdr:rowOff>
    </xdr:to>
    <xdr:sp macro="" textlink="">
      <xdr:nvSpPr>
        <xdr:cNvPr id="63" name="62 CuadroTexto">
          <a:extLs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SpPr txBox="1"/>
      </xdr:nvSpPr>
      <xdr:spPr>
        <a:xfrm>
          <a:off x="3263900" y="4616450"/>
          <a:ext cx="238276" cy="381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PE"/>
        </a:p>
      </xdr:txBody>
    </xdr:sp>
    <xdr:clientData/>
  </xdr:twoCellAnchor>
  <xdr:twoCellAnchor>
    <xdr:from>
      <xdr:col>26</xdr:col>
      <xdr:colOff>80645</xdr:colOff>
      <xdr:row>14</xdr:row>
      <xdr:rowOff>26670</xdr:rowOff>
    </xdr:from>
    <xdr:to>
      <xdr:col>28</xdr:col>
      <xdr:colOff>27090</xdr:colOff>
      <xdr:row>16</xdr:row>
      <xdr:rowOff>26670</xdr:rowOff>
    </xdr:to>
    <xdr:sp macro="" textlink="">
      <xdr:nvSpPr>
        <xdr:cNvPr id="64" name="63 CuadroTexto">
          <a:extLs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SpPr txBox="1"/>
      </xdr:nvSpPr>
      <xdr:spPr>
        <a:xfrm>
          <a:off x="4787900" y="2809875"/>
          <a:ext cx="251245" cy="381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PE"/>
        </a:p>
      </xdr:txBody>
    </xdr:sp>
    <xdr:clientData/>
  </xdr:twoCellAnchor>
  <xdr:twoCellAnchor>
    <xdr:from>
      <xdr:col>28</xdr:col>
      <xdr:colOff>23495</xdr:colOff>
      <xdr:row>18</xdr:row>
      <xdr:rowOff>0</xdr:rowOff>
    </xdr:from>
    <xdr:to>
      <xdr:col>29</xdr:col>
      <xdr:colOff>79089</xdr:colOff>
      <xdr:row>20</xdr:row>
      <xdr:rowOff>0</xdr:rowOff>
    </xdr:to>
    <xdr:sp macro="" textlink="">
      <xdr:nvSpPr>
        <xdr:cNvPr id="65" name="64 CuadroTexto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SpPr txBox="1"/>
      </xdr:nvSpPr>
      <xdr:spPr>
        <a:xfrm>
          <a:off x="5035550" y="3552825"/>
          <a:ext cx="282389" cy="381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PE"/>
        </a:p>
      </xdr:txBody>
    </xdr:sp>
    <xdr:clientData/>
  </xdr:twoCellAnchor>
  <xdr:twoCellAnchor>
    <xdr:from>
      <xdr:col>27</xdr:col>
      <xdr:colOff>0</xdr:colOff>
      <xdr:row>20</xdr:row>
      <xdr:rowOff>26670</xdr:rowOff>
    </xdr:from>
    <xdr:to>
      <xdr:col>29</xdr:col>
      <xdr:colOff>34930</xdr:colOff>
      <xdr:row>22</xdr:row>
      <xdr:rowOff>65075</xdr:rowOff>
    </xdr:to>
    <xdr:sp macro="" textlink="">
      <xdr:nvSpPr>
        <xdr:cNvPr id="66" name="65 CuadroTexto">
          <a:extLs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SpPr txBox="1"/>
      </xdr:nvSpPr>
      <xdr:spPr>
        <a:xfrm flipH="1">
          <a:off x="4867275" y="3952875"/>
          <a:ext cx="406405" cy="41940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PE"/>
        </a:p>
      </xdr:txBody>
    </xdr:sp>
    <xdr:clientData/>
  </xdr:twoCellAnchor>
  <xdr:twoCellAnchor>
    <xdr:from>
      <xdr:col>26</xdr:col>
      <xdr:colOff>19050</xdr:colOff>
      <xdr:row>24</xdr:row>
      <xdr:rowOff>64770</xdr:rowOff>
    </xdr:from>
    <xdr:to>
      <xdr:col>27</xdr:col>
      <xdr:colOff>124973</xdr:colOff>
      <xdr:row>26</xdr:row>
      <xdr:rowOff>67011</xdr:rowOff>
    </xdr:to>
    <xdr:sp macro="" textlink="">
      <xdr:nvSpPr>
        <xdr:cNvPr id="67" name="66 CuadroTexto">
          <a:extLs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SpPr txBox="1"/>
      </xdr:nvSpPr>
      <xdr:spPr>
        <a:xfrm>
          <a:off x="4733925" y="4752975"/>
          <a:ext cx="250556" cy="39089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PE"/>
        </a:p>
      </xdr:txBody>
    </xdr:sp>
    <xdr:clientData/>
  </xdr:twoCellAnchor>
  <xdr:twoCellAnchor>
    <xdr:from>
      <xdr:col>25</xdr:col>
      <xdr:colOff>146050</xdr:colOff>
      <xdr:row>28</xdr:row>
      <xdr:rowOff>0</xdr:rowOff>
    </xdr:from>
    <xdr:to>
      <xdr:col>27</xdr:col>
      <xdr:colOff>61296</xdr:colOff>
      <xdr:row>32</xdr:row>
      <xdr:rowOff>0</xdr:rowOff>
    </xdr:to>
    <xdr:sp macro="" textlink="">
      <xdr:nvSpPr>
        <xdr:cNvPr id="68" name="67 CuadroTexto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SpPr txBox="1"/>
      </xdr:nvSpPr>
      <xdr:spPr>
        <a:xfrm>
          <a:off x="4651375" y="5457825"/>
          <a:ext cx="269589" cy="762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PE"/>
        </a:p>
      </xdr:txBody>
    </xdr:sp>
    <xdr:clientData/>
  </xdr:twoCellAnchor>
  <xdr:twoCellAnchor>
    <xdr:from>
      <xdr:col>25</xdr:col>
      <xdr:colOff>169545</xdr:colOff>
      <xdr:row>26</xdr:row>
      <xdr:rowOff>95249</xdr:rowOff>
    </xdr:from>
    <xdr:to>
      <xdr:col>27</xdr:col>
      <xdr:colOff>23689</xdr:colOff>
      <xdr:row>28</xdr:row>
      <xdr:rowOff>38527</xdr:rowOff>
    </xdr:to>
    <xdr:sp macro="" textlink="">
      <xdr:nvSpPr>
        <xdr:cNvPr id="69" name="68 CuadroTexto">
          <a:extLs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SpPr txBox="1"/>
      </xdr:nvSpPr>
      <xdr:spPr>
        <a:xfrm>
          <a:off x="4667250" y="5172074"/>
          <a:ext cx="216094" cy="3242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PE"/>
        </a:p>
      </xdr:txBody>
    </xdr:sp>
    <xdr:clientData/>
  </xdr:twoCellAnchor>
  <xdr:twoCellAnchor>
    <xdr:from>
      <xdr:col>13</xdr:col>
      <xdr:colOff>38100</xdr:colOff>
      <xdr:row>13</xdr:row>
      <xdr:rowOff>95249</xdr:rowOff>
    </xdr:from>
    <xdr:to>
      <xdr:col>14</xdr:col>
      <xdr:colOff>92127</xdr:colOff>
      <xdr:row>15</xdr:row>
      <xdr:rowOff>54068</xdr:rowOff>
    </xdr:to>
    <xdr:sp macro="" textlink="">
      <xdr:nvSpPr>
        <xdr:cNvPr id="70" name="69 CuadroTexto">
          <a:extLs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SpPr txBox="1"/>
      </xdr:nvSpPr>
      <xdr:spPr>
        <a:xfrm>
          <a:off x="2714625" y="2695574"/>
          <a:ext cx="187377" cy="33981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PE"/>
        </a:p>
      </xdr:txBody>
    </xdr:sp>
    <xdr:clientData/>
  </xdr:twoCellAnchor>
  <xdr:twoCellAnchor>
    <xdr:from>
      <xdr:col>9</xdr:col>
      <xdr:colOff>134620</xdr:colOff>
      <xdr:row>26</xdr:row>
      <xdr:rowOff>19049</xdr:rowOff>
    </xdr:from>
    <xdr:to>
      <xdr:col>10</xdr:col>
      <xdr:colOff>61664</xdr:colOff>
      <xdr:row>27</xdr:row>
      <xdr:rowOff>102972</xdr:rowOff>
    </xdr:to>
    <xdr:sp macro="" textlink="">
      <xdr:nvSpPr>
        <xdr:cNvPr id="71" name="70 CuadroTexto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SpPr txBox="1"/>
      </xdr:nvSpPr>
      <xdr:spPr>
        <a:xfrm>
          <a:off x="2022475" y="5095874"/>
          <a:ext cx="308044" cy="2667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PE"/>
        </a:p>
      </xdr:txBody>
    </xdr:sp>
    <xdr:clientData/>
  </xdr:twoCellAnchor>
  <xdr:twoCellAnchor>
    <xdr:from>
      <xdr:col>24</xdr:col>
      <xdr:colOff>0</xdr:colOff>
      <xdr:row>27</xdr:row>
      <xdr:rowOff>64769</xdr:rowOff>
    </xdr:from>
    <xdr:to>
      <xdr:col>25</xdr:col>
      <xdr:colOff>236</xdr:colOff>
      <xdr:row>31</xdr:row>
      <xdr:rowOff>9553</xdr:rowOff>
    </xdr:to>
    <xdr:sp macro="" textlink="">
      <xdr:nvSpPr>
        <xdr:cNvPr id="72" name="71 CuadroTexto">
          <a:extLst>
            <a:ext uri="{FF2B5EF4-FFF2-40B4-BE49-F238E27FC236}">
              <a16:creationId xmlns:a16="http://schemas.microsoft.com/office/drawing/2014/main" id="{00000000-0008-0000-0000-000048000000}"/>
            </a:ext>
          </a:extLst>
        </xdr:cNvPr>
        <xdr:cNvSpPr txBox="1"/>
      </xdr:nvSpPr>
      <xdr:spPr>
        <a:xfrm>
          <a:off x="4314825" y="5324474"/>
          <a:ext cx="190736" cy="7143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PE"/>
        </a:p>
      </xdr:txBody>
    </xdr:sp>
    <xdr:clientData/>
  </xdr:twoCellAnchor>
  <xdr:twoCellAnchor editAs="oneCell">
    <xdr:from>
      <xdr:col>6</xdr:col>
      <xdr:colOff>92177</xdr:colOff>
      <xdr:row>1</xdr:row>
      <xdr:rowOff>92178</xdr:rowOff>
    </xdr:from>
    <xdr:to>
      <xdr:col>16</xdr:col>
      <xdr:colOff>77015</xdr:colOff>
      <xdr:row>3</xdr:row>
      <xdr:rowOff>163871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03145" y="337984"/>
          <a:ext cx="1838628" cy="706693"/>
        </a:xfrm>
        <a:prstGeom prst="rect">
          <a:avLst/>
        </a:prstGeom>
      </xdr:spPr>
    </xdr:pic>
    <xdr:clientData/>
  </xdr:twoCellAnchor>
  <xdr:oneCellAnchor>
    <xdr:from>
      <xdr:col>41</xdr:col>
      <xdr:colOff>272143</xdr:colOff>
      <xdr:row>22</xdr:row>
      <xdr:rowOff>40822</xdr:rowOff>
    </xdr:from>
    <xdr:ext cx="353785" cy="468013"/>
    <xdr:sp macro="" textlink="">
      <xdr:nvSpPr>
        <xdr:cNvPr id="13" name="CuadroTexto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 txBox="1"/>
      </xdr:nvSpPr>
      <xdr:spPr>
        <a:xfrm>
          <a:off x="8164286" y="4667251"/>
          <a:ext cx="353785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lang="es-CO" sz="2400">
            <a:solidFill>
              <a:srgbClr val="FF0000"/>
            </a:solidFill>
          </a:endParaRPr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absolute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0</xdr:row>
          <xdr:rowOff>0</xdr:rowOff>
        </xdr:to>
        <xdr:sp macro="" textlink="">
          <xdr:nvSpPr>
            <xdr:cNvPr id="211597" name="Check Box 653" hidden="1">
              <a:extLst>
                <a:ext uri="{63B3BB69-23CF-44E3-9099-C40C66FF867C}">
                  <a14:compatExt spid="_x0000_s211597"/>
                </a:ext>
                <a:ext uri="{FF2B5EF4-FFF2-40B4-BE49-F238E27FC236}">
                  <a16:creationId xmlns:a16="http://schemas.microsoft.com/office/drawing/2014/main" id="{00000000-0008-0000-0100-00008D3A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0</xdr:row>
          <xdr:rowOff>0</xdr:rowOff>
        </xdr:to>
        <xdr:sp macro="" textlink="">
          <xdr:nvSpPr>
            <xdr:cNvPr id="211598" name="Check Box 654" hidden="1">
              <a:extLst>
                <a:ext uri="{63B3BB69-23CF-44E3-9099-C40C66FF867C}">
                  <a14:compatExt spid="_x0000_s211598"/>
                </a:ext>
                <a:ext uri="{FF2B5EF4-FFF2-40B4-BE49-F238E27FC236}">
                  <a16:creationId xmlns:a16="http://schemas.microsoft.com/office/drawing/2014/main" id="{00000000-0008-0000-0100-00008E3A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0</xdr:row>
          <xdr:rowOff>0</xdr:rowOff>
        </xdr:to>
        <xdr:sp macro="" textlink="">
          <xdr:nvSpPr>
            <xdr:cNvPr id="211599" name="Check Box 655" hidden="1">
              <a:extLst>
                <a:ext uri="{63B3BB69-23CF-44E3-9099-C40C66FF867C}">
                  <a14:compatExt spid="_x0000_s211599"/>
                </a:ext>
                <a:ext uri="{FF2B5EF4-FFF2-40B4-BE49-F238E27FC236}">
                  <a16:creationId xmlns:a16="http://schemas.microsoft.com/office/drawing/2014/main" id="{00000000-0008-0000-0100-00008F3A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0</xdr:row>
          <xdr:rowOff>0</xdr:rowOff>
        </xdr:to>
        <xdr:sp macro="" textlink="">
          <xdr:nvSpPr>
            <xdr:cNvPr id="211600" name="Check Box 656" hidden="1">
              <a:extLst>
                <a:ext uri="{63B3BB69-23CF-44E3-9099-C40C66FF867C}">
                  <a14:compatExt spid="_x0000_s211600"/>
                </a:ext>
                <a:ext uri="{FF2B5EF4-FFF2-40B4-BE49-F238E27FC236}">
                  <a16:creationId xmlns:a16="http://schemas.microsoft.com/office/drawing/2014/main" id="{00000000-0008-0000-0100-0000903A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0</xdr:row>
          <xdr:rowOff>0</xdr:rowOff>
        </xdr:to>
        <xdr:sp macro="" textlink="">
          <xdr:nvSpPr>
            <xdr:cNvPr id="211601" name="Check Box 657" hidden="1">
              <a:extLst>
                <a:ext uri="{63B3BB69-23CF-44E3-9099-C40C66FF867C}">
                  <a14:compatExt spid="_x0000_s211601"/>
                </a:ext>
                <a:ext uri="{FF2B5EF4-FFF2-40B4-BE49-F238E27FC236}">
                  <a16:creationId xmlns:a16="http://schemas.microsoft.com/office/drawing/2014/main" id="{00000000-0008-0000-0100-0000913A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0</xdr:row>
          <xdr:rowOff>0</xdr:rowOff>
        </xdr:to>
        <xdr:sp macro="" textlink="">
          <xdr:nvSpPr>
            <xdr:cNvPr id="211602" name="Check Box 658" hidden="1">
              <a:extLst>
                <a:ext uri="{63B3BB69-23CF-44E3-9099-C40C66FF867C}">
                  <a14:compatExt spid="_x0000_s211602"/>
                </a:ext>
                <a:ext uri="{FF2B5EF4-FFF2-40B4-BE49-F238E27FC236}">
                  <a16:creationId xmlns:a16="http://schemas.microsoft.com/office/drawing/2014/main" id="{00000000-0008-0000-0100-0000923A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0</xdr:row>
          <xdr:rowOff>0</xdr:rowOff>
        </xdr:to>
        <xdr:sp macro="" textlink="">
          <xdr:nvSpPr>
            <xdr:cNvPr id="211603" name="Check Box 659" hidden="1">
              <a:extLst>
                <a:ext uri="{63B3BB69-23CF-44E3-9099-C40C66FF867C}">
                  <a14:compatExt spid="_x0000_s211603"/>
                </a:ext>
                <a:ext uri="{FF2B5EF4-FFF2-40B4-BE49-F238E27FC236}">
                  <a16:creationId xmlns:a16="http://schemas.microsoft.com/office/drawing/2014/main" id="{00000000-0008-0000-0100-0000933A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238125</xdr:colOff>
          <xdr:row>6</xdr:row>
          <xdr:rowOff>9525</xdr:rowOff>
        </xdr:from>
        <xdr:to>
          <xdr:col>4</xdr:col>
          <xdr:colOff>0</xdr:colOff>
          <xdr:row>7</xdr:row>
          <xdr:rowOff>0</xdr:rowOff>
        </xdr:to>
        <xdr:sp macro="" textlink="">
          <xdr:nvSpPr>
            <xdr:cNvPr id="211950" name="Check Box 1006" hidden="1">
              <a:extLst>
                <a:ext uri="{63B3BB69-23CF-44E3-9099-C40C66FF867C}">
                  <a14:compatExt spid="_x0000_s211950"/>
                </a:ext>
                <a:ext uri="{FF2B5EF4-FFF2-40B4-BE49-F238E27FC236}">
                  <a16:creationId xmlns:a16="http://schemas.microsoft.com/office/drawing/2014/main" id="{00000000-0008-0000-0100-0000EE3B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238125</xdr:colOff>
          <xdr:row>7</xdr:row>
          <xdr:rowOff>9525</xdr:rowOff>
        </xdr:from>
        <xdr:to>
          <xdr:col>4</xdr:col>
          <xdr:colOff>0</xdr:colOff>
          <xdr:row>8</xdr:row>
          <xdr:rowOff>0</xdr:rowOff>
        </xdr:to>
        <xdr:sp macro="" textlink="">
          <xdr:nvSpPr>
            <xdr:cNvPr id="211951" name="Check Box 1007" hidden="1">
              <a:extLst>
                <a:ext uri="{63B3BB69-23CF-44E3-9099-C40C66FF867C}">
                  <a14:compatExt spid="_x0000_s211951"/>
                </a:ext>
                <a:ext uri="{FF2B5EF4-FFF2-40B4-BE49-F238E27FC236}">
                  <a16:creationId xmlns:a16="http://schemas.microsoft.com/office/drawing/2014/main" id="{00000000-0008-0000-0100-0000EF3B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238125</xdr:colOff>
          <xdr:row>7</xdr:row>
          <xdr:rowOff>190500</xdr:rowOff>
        </xdr:from>
        <xdr:to>
          <xdr:col>4</xdr:col>
          <xdr:colOff>0</xdr:colOff>
          <xdr:row>8</xdr:row>
          <xdr:rowOff>180975</xdr:rowOff>
        </xdr:to>
        <xdr:sp macro="" textlink="">
          <xdr:nvSpPr>
            <xdr:cNvPr id="211952" name="Check Box 1008" hidden="1">
              <a:extLst>
                <a:ext uri="{63B3BB69-23CF-44E3-9099-C40C66FF867C}">
                  <a14:compatExt spid="_x0000_s211952"/>
                </a:ext>
                <a:ext uri="{FF2B5EF4-FFF2-40B4-BE49-F238E27FC236}">
                  <a16:creationId xmlns:a16="http://schemas.microsoft.com/office/drawing/2014/main" id="{00000000-0008-0000-0100-0000F03B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238125</xdr:colOff>
          <xdr:row>9</xdr:row>
          <xdr:rowOff>19050</xdr:rowOff>
        </xdr:from>
        <xdr:to>
          <xdr:col>4</xdr:col>
          <xdr:colOff>0</xdr:colOff>
          <xdr:row>10</xdr:row>
          <xdr:rowOff>9525</xdr:rowOff>
        </xdr:to>
        <xdr:sp macro="" textlink="">
          <xdr:nvSpPr>
            <xdr:cNvPr id="211953" name="Check Box 1009" hidden="1">
              <a:extLst>
                <a:ext uri="{63B3BB69-23CF-44E3-9099-C40C66FF867C}">
                  <a14:compatExt spid="_x0000_s211953"/>
                </a:ext>
                <a:ext uri="{FF2B5EF4-FFF2-40B4-BE49-F238E27FC236}">
                  <a16:creationId xmlns:a16="http://schemas.microsoft.com/office/drawing/2014/main" id="{00000000-0008-0000-0100-0000F13B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704850</xdr:colOff>
          <xdr:row>6</xdr:row>
          <xdr:rowOff>9525</xdr:rowOff>
        </xdr:from>
        <xdr:to>
          <xdr:col>12</xdr:col>
          <xdr:colOff>0</xdr:colOff>
          <xdr:row>7</xdr:row>
          <xdr:rowOff>0</xdr:rowOff>
        </xdr:to>
        <xdr:sp macro="" textlink="">
          <xdr:nvSpPr>
            <xdr:cNvPr id="211954" name="Check Box 1010" hidden="1">
              <a:extLst>
                <a:ext uri="{63B3BB69-23CF-44E3-9099-C40C66FF867C}">
                  <a14:compatExt spid="_x0000_s211954"/>
                </a:ext>
                <a:ext uri="{FF2B5EF4-FFF2-40B4-BE49-F238E27FC236}">
                  <a16:creationId xmlns:a16="http://schemas.microsoft.com/office/drawing/2014/main" id="{00000000-0008-0000-0100-0000F23B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704850</xdr:colOff>
          <xdr:row>7</xdr:row>
          <xdr:rowOff>9525</xdr:rowOff>
        </xdr:from>
        <xdr:to>
          <xdr:col>12</xdr:col>
          <xdr:colOff>9525</xdr:colOff>
          <xdr:row>8</xdr:row>
          <xdr:rowOff>0</xdr:rowOff>
        </xdr:to>
        <xdr:sp macro="" textlink="">
          <xdr:nvSpPr>
            <xdr:cNvPr id="211955" name="Check Box 1011" hidden="1">
              <a:extLst>
                <a:ext uri="{63B3BB69-23CF-44E3-9099-C40C66FF867C}">
                  <a14:compatExt spid="_x0000_s211955"/>
                </a:ext>
                <a:ext uri="{FF2B5EF4-FFF2-40B4-BE49-F238E27FC236}">
                  <a16:creationId xmlns:a16="http://schemas.microsoft.com/office/drawing/2014/main" id="{00000000-0008-0000-0100-0000F33B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695325</xdr:colOff>
          <xdr:row>8</xdr:row>
          <xdr:rowOff>9525</xdr:rowOff>
        </xdr:from>
        <xdr:to>
          <xdr:col>12</xdr:col>
          <xdr:colOff>9525</xdr:colOff>
          <xdr:row>9</xdr:row>
          <xdr:rowOff>0</xdr:rowOff>
        </xdr:to>
        <xdr:sp macro="" textlink="">
          <xdr:nvSpPr>
            <xdr:cNvPr id="211956" name="Check Box 1012" hidden="1">
              <a:extLst>
                <a:ext uri="{63B3BB69-23CF-44E3-9099-C40C66FF867C}">
                  <a14:compatExt spid="_x0000_s211956"/>
                </a:ext>
                <a:ext uri="{FF2B5EF4-FFF2-40B4-BE49-F238E27FC236}">
                  <a16:creationId xmlns:a16="http://schemas.microsoft.com/office/drawing/2014/main" id="{00000000-0008-0000-0100-0000F43B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 editAs="oneCell">
    <xdr:from>
      <xdr:col>0</xdr:col>
      <xdr:colOff>124239</xdr:colOff>
      <xdr:row>1</xdr:row>
      <xdr:rowOff>57979</xdr:rowOff>
    </xdr:from>
    <xdr:to>
      <xdr:col>2</xdr:col>
      <xdr:colOff>121945</xdr:colOff>
      <xdr:row>2</xdr:row>
      <xdr:rowOff>289892</xdr:rowOff>
    </xdr:to>
    <xdr:pic>
      <xdr:nvPicPr>
        <xdr:cNvPr id="3" name="Imagen 2" descr="Imagen que contiene plato, alimentos, dibujo, estacionado&#10;&#10;Descripción generada automáticamente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4239" y="306457"/>
          <a:ext cx="1529989" cy="588065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238125</xdr:colOff>
          <xdr:row>6</xdr:row>
          <xdr:rowOff>9525</xdr:rowOff>
        </xdr:from>
        <xdr:to>
          <xdr:col>4</xdr:col>
          <xdr:colOff>0</xdr:colOff>
          <xdr:row>7</xdr:row>
          <xdr:rowOff>0</xdr:rowOff>
        </xdr:to>
        <xdr:sp macro="" textlink="">
          <xdr:nvSpPr>
            <xdr:cNvPr id="211961" name="Check Box 1017" hidden="1">
              <a:extLst>
                <a:ext uri="{63B3BB69-23CF-44E3-9099-C40C66FF867C}">
                  <a14:compatExt spid="_x0000_s211961"/>
                </a:ext>
                <a:ext uri="{FF2B5EF4-FFF2-40B4-BE49-F238E27FC236}">
                  <a16:creationId xmlns:a16="http://schemas.microsoft.com/office/drawing/2014/main" id="{00000000-0008-0000-0100-0000F93B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238125</xdr:colOff>
          <xdr:row>7</xdr:row>
          <xdr:rowOff>9525</xdr:rowOff>
        </xdr:from>
        <xdr:to>
          <xdr:col>4</xdr:col>
          <xdr:colOff>0</xdr:colOff>
          <xdr:row>8</xdr:row>
          <xdr:rowOff>0</xdr:rowOff>
        </xdr:to>
        <xdr:sp macro="" textlink="">
          <xdr:nvSpPr>
            <xdr:cNvPr id="211962" name="Check Box 1018" hidden="1">
              <a:extLst>
                <a:ext uri="{63B3BB69-23CF-44E3-9099-C40C66FF867C}">
                  <a14:compatExt spid="_x0000_s211962"/>
                </a:ext>
                <a:ext uri="{FF2B5EF4-FFF2-40B4-BE49-F238E27FC236}">
                  <a16:creationId xmlns:a16="http://schemas.microsoft.com/office/drawing/2014/main" id="{00000000-0008-0000-0100-0000FA3B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238125</xdr:colOff>
          <xdr:row>7</xdr:row>
          <xdr:rowOff>190500</xdr:rowOff>
        </xdr:from>
        <xdr:to>
          <xdr:col>4</xdr:col>
          <xdr:colOff>0</xdr:colOff>
          <xdr:row>8</xdr:row>
          <xdr:rowOff>180975</xdr:rowOff>
        </xdr:to>
        <xdr:sp macro="" textlink="">
          <xdr:nvSpPr>
            <xdr:cNvPr id="211963" name="Check Box 1019" hidden="1">
              <a:extLst>
                <a:ext uri="{63B3BB69-23CF-44E3-9099-C40C66FF867C}">
                  <a14:compatExt spid="_x0000_s211963"/>
                </a:ext>
                <a:ext uri="{FF2B5EF4-FFF2-40B4-BE49-F238E27FC236}">
                  <a16:creationId xmlns:a16="http://schemas.microsoft.com/office/drawing/2014/main" id="{00000000-0008-0000-0100-0000FB3B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704850</xdr:colOff>
          <xdr:row>6</xdr:row>
          <xdr:rowOff>9525</xdr:rowOff>
        </xdr:from>
        <xdr:to>
          <xdr:col>12</xdr:col>
          <xdr:colOff>0</xdr:colOff>
          <xdr:row>7</xdr:row>
          <xdr:rowOff>0</xdr:rowOff>
        </xdr:to>
        <xdr:sp macro="" textlink="">
          <xdr:nvSpPr>
            <xdr:cNvPr id="211964" name="Check Box 1020" hidden="1">
              <a:extLst>
                <a:ext uri="{63B3BB69-23CF-44E3-9099-C40C66FF867C}">
                  <a14:compatExt spid="_x0000_s211964"/>
                </a:ext>
                <a:ext uri="{FF2B5EF4-FFF2-40B4-BE49-F238E27FC236}">
                  <a16:creationId xmlns:a16="http://schemas.microsoft.com/office/drawing/2014/main" id="{00000000-0008-0000-0100-0000FC3B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704850</xdr:colOff>
          <xdr:row>7</xdr:row>
          <xdr:rowOff>9525</xdr:rowOff>
        </xdr:from>
        <xdr:to>
          <xdr:col>12</xdr:col>
          <xdr:colOff>9525</xdr:colOff>
          <xdr:row>8</xdr:row>
          <xdr:rowOff>0</xdr:rowOff>
        </xdr:to>
        <xdr:sp macro="" textlink="">
          <xdr:nvSpPr>
            <xdr:cNvPr id="211965" name="Check Box 1021" hidden="1">
              <a:extLst>
                <a:ext uri="{63B3BB69-23CF-44E3-9099-C40C66FF867C}">
                  <a14:compatExt spid="_x0000_s211965"/>
                </a:ext>
                <a:ext uri="{FF2B5EF4-FFF2-40B4-BE49-F238E27FC236}">
                  <a16:creationId xmlns:a16="http://schemas.microsoft.com/office/drawing/2014/main" id="{00000000-0008-0000-0100-0000FD3B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695325</xdr:colOff>
          <xdr:row>8</xdr:row>
          <xdr:rowOff>9525</xdr:rowOff>
        </xdr:from>
        <xdr:to>
          <xdr:col>12</xdr:col>
          <xdr:colOff>9525</xdr:colOff>
          <xdr:row>9</xdr:row>
          <xdr:rowOff>0</xdr:rowOff>
        </xdr:to>
        <xdr:sp macro="" textlink="">
          <xdr:nvSpPr>
            <xdr:cNvPr id="211966" name="Check Box 1022" hidden="1">
              <a:extLst>
                <a:ext uri="{63B3BB69-23CF-44E3-9099-C40C66FF867C}">
                  <a14:compatExt spid="_x0000_s211966"/>
                </a:ext>
                <a:ext uri="{FF2B5EF4-FFF2-40B4-BE49-F238E27FC236}">
                  <a16:creationId xmlns:a16="http://schemas.microsoft.com/office/drawing/2014/main" id="{00000000-0008-0000-0100-0000FE3B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723900</xdr:colOff>
          <xdr:row>8</xdr:row>
          <xdr:rowOff>38100</xdr:rowOff>
        </xdr:from>
        <xdr:to>
          <xdr:col>2</xdr:col>
          <xdr:colOff>914400</xdr:colOff>
          <xdr:row>9</xdr:row>
          <xdr:rowOff>171450</xdr:rowOff>
        </xdr:to>
        <xdr:sp macro="" textlink="">
          <xdr:nvSpPr>
            <xdr:cNvPr id="234498" name="Check Box 2" hidden="1">
              <a:extLst>
                <a:ext uri="{63B3BB69-23CF-44E3-9099-C40C66FF867C}">
                  <a14:compatExt spid="_x0000_s234498"/>
                </a:ext>
                <a:ext uri="{FF2B5EF4-FFF2-40B4-BE49-F238E27FC236}">
                  <a16:creationId xmlns:a16="http://schemas.microsoft.com/office/drawing/2014/main" id="{00000000-0008-0000-0200-00000294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723900</xdr:colOff>
          <xdr:row>9</xdr:row>
          <xdr:rowOff>161925</xdr:rowOff>
        </xdr:from>
        <xdr:to>
          <xdr:col>2</xdr:col>
          <xdr:colOff>914400</xdr:colOff>
          <xdr:row>10</xdr:row>
          <xdr:rowOff>85725</xdr:rowOff>
        </xdr:to>
        <xdr:sp macro="" textlink="">
          <xdr:nvSpPr>
            <xdr:cNvPr id="234499" name="Check Box 3" hidden="1">
              <a:extLst>
                <a:ext uri="{63B3BB69-23CF-44E3-9099-C40C66FF867C}">
                  <a14:compatExt spid="_x0000_s234499"/>
                </a:ext>
                <a:ext uri="{FF2B5EF4-FFF2-40B4-BE49-F238E27FC236}">
                  <a16:creationId xmlns:a16="http://schemas.microsoft.com/office/drawing/2014/main" id="{00000000-0008-0000-0200-00000394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723900</xdr:colOff>
          <xdr:row>10</xdr:row>
          <xdr:rowOff>142875</xdr:rowOff>
        </xdr:from>
        <xdr:to>
          <xdr:col>2</xdr:col>
          <xdr:colOff>914400</xdr:colOff>
          <xdr:row>11</xdr:row>
          <xdr:rowOff>85725</xdr:rowOff>
        </xdr:to>
        <xdr:sp macro="" textlink="">
          <xdr:nvSpPr>
            <xdr:cNvPr id="234500" name="Check Box 4" hidden="1">
              <a:extLst>
                <a:ext uri="{63B3BB69-23CF-44E3-9099-C40C66FF867C}">
                  <a14:compatExt spid="_x0000_s234500"/>
                </a:ext>
                <a:ext uri="{FF2B5EF4-FFF2-40B4-BE49-F238E27FC236}">
                  <a16:creationId xmlns:a16="http://schemas.microsoft.com/office/drawing/2014/main" id="{00000000-0008-0000-0200-00000494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723900</xdr:colOff>
          <xdr:row>12</xdr:row>
          <xdr:rowOff>0</xdr:rowOff>
        </xdr:from>
        <xdr:to>
          <xdr:col>2</xdr:col>
          <xdr:colOff>914400</xdr:colOff>
          <xdr:row>12</xdr:row>
          <xdr:rowOff>180975</xdr:rowOff>
        </xdr:to>
        <xdr:sp macro="" textlink="">
          <xdr:nvSpPr>
            <xdr:cNvPr id="234501" name="Check Box 5" hidden="1">
              <a:extLst>
                <a:ext uri="{63B3BB69-23CF-44E3-9099-C40C66FF867C}">
                  <a14:compatExt spid="_x0000_s234501"/>
                </a:ext>
                <a:ext uri="{FF2B5EF4-FFF2-40B4-BE49-F238E27FC236}">
                  <a16:creationId xmlns:a16="http://schemas.microsoft.com/office/drawing/2014/main" id="{00000000-0008-0000-0200-00000594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771525</xdr:colOff>
          <xdr:row>8</xdr:row>
          <xdr:rowOff>28575</xdr:rowOff>
        </xdr:from>
        <xdr:to>
          <xdr:col>5</xdr:col>
          <xdr:colOff>952500</xdr:colOff>
          <xdr:row>9</xdr:row>
          <xdr:rowOff>161925</xdr:rowOff>
        </xdr:to>
        <xdr:sp macro="" textlink="">
          <xdr:nvSpPr>
            <xdr:cNvPr id="234502" name="Check Box 6" hidden="1">
              <a:extLst>
                <a:ext uri="{63B3BB69-23CF-44E3-9099-C40C66FF867C}">
                  <a14:compatExt spid="_x0000_s234502"/>
                </a:ext>
                <a:ext uri="{FF2B5EF4-FFF2-40B4-BE49-F238E27FC236}">
                  <a16:creationId xmlns:a16="http://schemas.microsoft.com/office/drawing/2014/main" id="{00000000-0008-0000-0200-00000694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771525</xdr:colOff>
          <xdr:row>9</xdr:row>
          <xdr:rowOff>161925</xdr:rowOff>
        </xdr:from>
        <xdr:to>
          <xdr:col>5</xdr:col>
          <xdr:colOff>952500</xdr:colOff>
          <xdr:row>10</xdr:row>
          <xdr:rowOff>95250</xdr:rowOff>
        </xdr:to>
        <xdr:sp macro="" textlink="">
          <xdr:nvSpPr>
            <xdr:cNvPr id="234503" name="Check Box 7" hidden="1">
              <a:extLst>
                <a:ext uri="{63B3BB69-23CF-44E3-9099-C40C66FF867C}">
                  <a14:compatExt spid="_x0000_s234503"/>
                </a:ext>
                <a:ext uri="{FF2B5EF4-FFF2-40B4-BE49-F238E27FC236}">
                  <a16:creationId xmlns:a16="http://schemas.microsoft.com/office/drawing/2014/main" id="{00000000-0008-0000-0200-00000794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771525</xdr:colOff>
          <xdr:row>10</xdr:row>
          <xdr:rowOff>171450</xdr:rowOff>
        </xdr:from>
        <xdr:to>
          <xdr:col>5</xdr:col>
          <xdr:colOff>952500</xdr:colOff>
          <xdr:row>11</xdr:row>
          <xdr:rowOff>114300</xdr:rowOff>
        </xdr:to>
        <xdr:sp macro="" textlink="">
          <xdr:nvSpPr>
            <xdr:cNvPr id="234504" name="Check Box 8" hidden="1">
              <a:extLst>
                <a:ext uri="{63B3BB69-23CF-44E3-9099-C40C66FF867C}">
                  <a14:compatExt spid="_x0000_s234504"/>
                </a:ext>
                <a:ext uri="{FF2B5EF4-FFF2-40B4-BE49-F238E27FC236}">
                  <a16:creationId xmlns:a16="http://schemas.microsoft.com/office/drawing/2014/main" id="{00000000-0008-0000-0200-00000894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 editAs="oneCell">
    <xdr:from>
      <xdr:col>1</xdr:col>
      <xdr:colOff>106913</xdr:colOff>
      <xdr:row>1</xdr:row>
      <xdr:rowOff>68036</xdr:rowOff>
    </xdr:from>
    <xdr:to>
      <xdr:col>2</xdr:col>
      <xdr:colOff>845587</xdr:colOff>
      <xdr:row>4</xdr:row>
      <xdr:rowOff>82657</xdr:rowOff>
    </xdr:to>
    <xdr:pic>
      <xdr:nvPicPr>
        <xdr:cNvPr id="3" name="Imagen 2" descr="Imagen que contiene plato, alimentos, dibujo, estacionado&#10;&#10;Descripción generada automáticamente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7933" y="262424"/>
          <a:ext cx="1652297" cy="588065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771525</xdr:colOff>
          <xdr:row>8</xdr:row>
          <xdr:rowOff>28575</xdr:rowOff>
        </xdr:from>
        <xdr:to>
          <xdr:col>5</xdr:col>
          <xdr:colOff>952500</xdr:colOff>
          <xdr:row>9</xdr:row>
          <xdr:rowOff>161925</xdr:rowOff>
        </xdr:to>
        <xdr:sp macro="" textlink="">
          <xdr:nvSpPr>
            <xdr:cNvPr id="234506" name="Check Box 10" hidden="1">
              <a:extLst>
                <a:ext uri="{63B3BB69-23CF-44E3-9099-C40C66FF867C}">
                  <a14:compatExt spid="_x0000_s234506"/>
                </a:ext>
                <a:ext uri="{FF2B5EF4-FFF2-40B4-BE49-F238E27FC236}">
                  <a16:creationId xmlns:a16="http://schemas.microsoft.com/office/drawing/2014/main" id="{00000000-0008-0000-0200-00000A94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 editAs="oneCell">
    <xdr:from>
      <xdr:col>58</xdr:col>
      <xdr:colOff>0</xdr:colOff>
      <xdr:row>14</xdr:row>
      <xdr:rowOff>0</xdr:rowOff>
    </xdr:from>
    <xdr:to>
      <xdr:col>67</xdr:col>
      <xdr:colOff>666750</xdr:colOff>
      <xdr:row>42</xdr:row>
      <xdr:rowOff>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986575" y="2876550"/>
          <a:ext cx="7524750" cy="3619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800100</xdr:colOff>
      <xdr:row>12</xdr:row>
      <xdr:rowOff>99060</xdr:rowOff>
    </xdr:from>
    <xdr:to>
      <xdr:col>7</xdr:col>
      <xdr:colOff>695325</xdr:colOff>
      <xdr:row>16</xdr:row>
      <xdr:rowOff>4438</xdr:rowOff>
    </xdr:to>
    <xdr:pic>
      <xdr:nvPicPr>
        <xdr:cNvPr id="224660" name="Imagem 15" descr="Imagen que contiene dibujo&#10;&#10;Descripción generada automáticamente">
          <a:extLst>
            <a:ext uri="{FF2B5EF4-FFF2-40B4-BE49-F238E27FC236}">
              <a16:creationId xmlns:a16="http://schemas.microsoft.com/office/drawing/2014/main" id="{00000000-0008-0000-0300-0000946D03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42460" y="2194560"/>
          <a:ext cx="267462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4</xdr:col>
      <xdr:colOff>790533</xdr:colOff>
      <xdr:row>16</xdr:row>
      <xdr:rowOff>0</xdr:rowOff>
    </xdr:from>
    <xdr:to>
      <xdr:col>7</xdr:col>
      <xdr:colOff>625270</xdr:colOff>
      <xdr:row>16</xdr:row>
      <xdr:rowOff>158062</xdr:rowOff>
    </xdr:to>
    <xdr:sp macro="" textlink="">
      <xdr:nvSpPr>
        <xdr:cNvPr id="5" name="Retângulo 16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SpPr/>
      </xdr:nvSpPr>
      <xdr:spPr bwMode="auto">
        <a:xfrm>
          <a:off x="4170988" y="3078715"/>
          <a:ext cx="2614238" cy="142661"/>
        </a:xfrm>
        <a:prstGeom prst="rect">
          <a:avLst/>
        </a:prstGeom>
        <a:gradFill flip="none" rotWithShape="1">
          <a:gsLst>
            <a:gs pos="76000">
              <a:schemeClr val="accent6">
                <a:lumMod val="60000"/>
                <a:lumOff val="40000"/>
              </a:schemeClr>
            </a:gs>
            <a:gs pos="100000">
              <a:srgbClr val="FF0000">
                <a:lumMod val="70000"/>
              </a:srgbClr>
            </a:gs>
            <a:gs pos="54000">
              <a:schemeClr val="accent1">
                <a:lumMod val="20000"/>
                <a:lumOff val="80000"/>
              </a:schemeClr>
            </a:gs>
          </a:gsLst>
          <a:lin ang="0" scaled="0"/>
          <a:tileRect/>
        </a:gra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pt-BR" sz="1100"/>
            <a:t>     </a:t>
          </a:r>
          <a:r>
            <a:rPr lang="pt-BR" sz="900"/>
            <a:t>OK</a:t>
          </a:r>
          <a:r>
            <a:rPr lang="pt-BR" sz="900" baseline="0"/>
            <a:t>                      OK                 OK Limit          Reproved</a:t>
          </a:r>
          <a:endParaRPr lang="pt-BR" sz="900"/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847725</xdr:colOff>
          <xdr:row>7</xdr:row>
          <xdr:rowOff>9525</xdr:rowOff>
        </xdr:from>
        <xdr:to>
          <xdr:col>3</xdr:col>
          <xdr:colOff>66675</xdr:colOff>
          <xdr:row>7</xdr:row>
          <xdr:rowOff>190500</xdr:rowOff>
        </xdr:to>
        <xdr:sp macro="" textlink="">
          <xdr:nvSpPr>
            <xdr:cNvPr id="224284" name="Check Box 28" hidden="1">
              <a:extLst>
                <a:ext uri="{63B3BB69-23CF-44E3-9099-C40C66FF867C}">
                  <a14:compatExt spid="_x0000_s224284"/>
                </a:ext>
                <a:ext uri="{FF2B5EF4-FFF2-40B4-BE49-F238E27FC236}">
                  <a16:creationId xmlns:a16="http://schemas.microsoft.com/office/drawing/2014/main" id="{00000000-0008-0000-0300-00001C6C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847725</xdr:colOff>
          <xdr:row>8</xdr:row>
          <xdr:rowOff>0</xdr:rowOff>
        </xdr:from>
        <xdr:to>
          <xdr:col>3</xdr:col>
          <xdr:colOff>66675</xdr:colOff>
          <xdr:row>8</xdr:row>
          <xdr:rowOff>171450</xdr:rowOff>
        </xdr:to>
        <xdr:sp macro="" textlink="">
          <xdr:nvSpPr>
            <xdr:cNvPr id="224285" name="Check Box 29" hidden="1">
              <a:extLst>
                <a:ext uri="{63B3BB69-23CF-44E3-9099-C40C66FF867C}">
                  <a14:compatExt spid="_x0000_s224285"/>
                </a:ext>
                <a:ext uri="{FF2B5EF4-FFF2-40B4-BE49-F238E27FC236}">
                  <a16:creationId xmlns:a16="http://schemas.microsoft.com/office/drawing/2014/main" id="{00000000-0008-0000-0300-00001D6C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847725</xdr:colOff>
          <xdr:row>8</xdr:row>
          <xdr:rowOff>171450</xdr:rowOff>
        </xdr:from>
        <xdr:to>
          <xdr:col>3</xdr:col>
          <xdr:colOff>66675</xdr:colOff>
          <xdr:row>9</xdr:row>
          <xdr:rowOff>85725</xdr:rowOff>
        </xdr:to>
        <xdr:sp macro="" textlink="">
          <xdr:nvSpPr>
            <xdr:cNvPr id="224286" name="Check Box 30" hidden="1">
              <a:extLst>
                <a:ext uri="{63B3BB69-23CF-44E3-9099-C40C66FF867C}">
                  <a14:compatExt spid="_x0000_s224286"/>
                </a:ext>
                <a:ext uri="{FF2B5EF4-FFF2-40B4-BE49-F238E27FC236}">
                  <a16:creationId xmlns:a16="http://schemas.microsoft.com/office/drawing/2014/main" id="{00000000-0008-0000-0300-00001E6C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847725</xdr:colOff>
          <xdr:row>9</xdr:row>
          <xdr:rowOff>171450</xdr:rowOff>
        </xdr:from>
        <xdr:to>
          <xdr:col>3</xdr:col>
          <xdr:colOff>66675</xdr:colOff>
          <xdr:row>10</xdr:row>
          <xdr:rowOff>85725</xdr:rowOff>
        </xdr:to>
        <xdr:sp macro="" textlink="">
          <xdr:nvSpPr>
            <xdr:cNvPr id="224287" name="Check Box 31" hidden="1">
              <a:extLst>
                <a:ext uri="{63B3BB69-23CF-44E3-9099-C40C66FF867C}">
                  <a14:compatExt spid="_x0000_s224287"/>
                </a:ext>
                <a:ext uri="{FF2B5EF4-FFF2-40B4-BE49-F238E27FC236}">
                  <a16:creationId xmlns:a16="http://schemas.microsoft.com/office/drawing/2014/main" id="{00000000-0008-0000-0300-00001F6C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790575</xdr:colOff>
          <xdr:row>7</xdr:row>
          <xdr:rowOff>9525</xdr:rowOff>
        </xdr:from>
        <xdr:to>
          <xdr:col>6</xdr:col>
          <xdr:colOff>0</xdr:colOff>
          <xdr:row>7</xdr:row>
          <xdr:rowOff>190500</xdr:rowOff>
        </xdr:to>
        <xdr:sp macro="" textlink="">
          <xdr:nvSpPr>
            <xdr:cNvPr id="224288" name="Check Box 32" hidden="1">
              <a:extLst>
                <a:ext uri="{63B3BB69-23CF-44E3-9099-C40C66FF867C}">
                  <a14:compatExt spid="_x0000_s224288"/>
                </a:ext>
                <a:ext uri="{FF2B5EF4-FFF2-40B4-BE49-F238E27FC236}">
                  <a16:creationId xmlns:a16="http://schemas.microsoft.com/office/drawing/2014/main" id="{00000000-0008-0000-0300-0000206C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790575</xdr:colOff>
          <xdr:row>8</xdr:row>
          <xdr:rowOff>0</xdr:rowOff>
        </xdr:from>
        <xdr:to>
          <xdr:col>6</xdr:col>
          <xdr:colOff>0</xdr:colOff>
          <xdr:row>8</xdr:row>
          <xdr:rowOff>180975</xdr:rowOff>
        </xdr:to>
        <xdr:sp macro="" textlink="">
          <xdr:nvSpPr>
            <xdr:cNvPr id="224289" name="Check Box 33" hidden="1">
              <a:extLst>
                <a:ext uri="{63B3BB69-23CF-44E3-9099-C40C66FF867C}">
                  <a14:compatExt spid="_x0000_s224289"/>
                </a:ext>
                <a:ext uri="{FF2B5EF4-FFF2-40B4-BE49-F238E27FC236}">
                  <a16:creationId xmlns:a16="http://schemas.microsoft.com/office/drawing/2014/main" id="{00000000-0008-0000-0300-0000216C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790575</xdr:colOff>
          <xdr:row>8</xdr:row>
          <xdr:rowOff>171450</xdr:rowOff>
        </xdr:from>
        <xdr:to>
          <xdr:col>6</xdr:col>
          <xdr:colOff>0</xdr:colOff>
          <xdr:row>9</xdr:row>
          <xdr:rowOff>85725</xdr:rowOff>
        </xdr:to>
        <xdr:sp macro="" textlink="">
          <xdr:nvSpPr>
            <xdr:cNvPr id="224290" name="Check Box 34" hidden="1">
              <a:extLst>
                <a:ext uri="{63B3BB69-23CF-44E3-9099-C40C66FF867C}">
                  <a14:compatExt spid="_x0000_s224290"/>
                </a:ext>
                <a:ext uri="{FF2B5EF4-FFF2-40B4-BE49-F238E27FC236}">
                  <a16:creationId xmlns:a16="http://schemas.microsoft.com/office/drawing/2014/main" id="{00000000-0008-0000-0300-0000226C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 editAs="oneCell">
    <xdr:from>
      <xdr:col>0</xdr:col>
      <xdr:colOff>272142</xdr:colOff>
      <xdr:row>1</xdr:row>
      <xdr:rowOff>40822</xdr:rowOff>
    </xdr:from>
    <xdr:to>
      <xdr:col>2</xdr:col>
      <xdr:colOff>46810</xdr:colOff>
      <xdr:row>4</xdr:row>
      <xdr:rowOff>139029</xdr:rowOff>
    </xdr:to>
    <xdr:pic>
      <xdr:nvPicPr>
        <xdr:cNvPr id="3" name="Imagen 2" descr="Imagen que contiene plato, alimentos, dibujo, estacionado&#10;&#10;Descripción generada automáticamente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42" y="272143"/>
          <a:ext cx="1529989" cy="588065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790575</xdr:colOff>
          <xdr:row>7</xdr:row>
          <xdr:rowOff>9525</xdr:rowOff>
        </xdr:from>
        <xdr:to>
          <xdr:col>6</xdr:col>
          <xdr:colOff>0</xdr:colOff>
          <xdr:row>7</xdr:row>
          <xdr:rowOff>190500</xdr:rowOff>
        </xdr:to>
        <xdr:sp macro="" textlink="">
          <xdr:nvSpPr>
            <xdr:cNvPr id="224293" name="Check Box 37" hidden="1">
              <a:extLst>
                <a:ext uri="{63B3BB69-23CF-44E3-9099-C40C66FF867C}">
                  <a14:compatExt spid="_x0000_s224293"/>
                </a:ext>
                <a:ext uri="{FF2B5EF4-FFF2-40B4-BE49-F238E27FC236}">
                  <a16:creationId xmlns:a16="http://schemas.microsoft.com/office/drawing/2014/main" id="{00000000-0008-0000-0300-0000256C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790575</xdr:colOff>
          <xdr:row>8</xdr:row>
          <xdr:rowOff>0</xdr:rowOff>
        </xdr:from>
        <xdr:to>
          <xdr:col>6</xdr:col>
          <xdr:colOff>0</xdr:colOff>
          <xdr:row>8</xdr:row>
          <xdr:rowOff>180975</xdr:rowOff>
        </xdr:to>
        <xdr:sp macro="" textlink="">
          <xdr:nvSpPr>
            <xdr:cNvPr id="224294" name="Check Box 38" hidden="1">
              <a:extLst>
                <a:ext uri="{63B3BB69-23CF-44E3-9099-C40C66FF867C}">
                  <a14:compatExt spid="_x0000_s224294"/>
                </a:ext>
                <a:ext uri="{FF2B5EF4-FFF2-40B4-BE49-F238E27FC236}">
                  <a16:creationId xmlns:a16="http://schemas.microsoft.com/office/drawing/2014/main" id="{00000000-0008-0000-0300-0000266C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790575</xdr:colOff>
          <xdr:row>8</xdr:row>
          <xdr:rowOff>171450</xdr:rowOff>
        </xdr:from>
        <xdr:to>
          <xdr:col>6</xdr:col>
          <xdr:colOff>0</xdr:colOff>
          <xdr:row>9</xdr:row>
          <xdr:rowOff>85725</xdr:rowOff>
        </xdr:to>
        <xdr:sp macro="" textlink="">
          <xdr:nvSpPr>
            <xdr:cNvPr id="224295" name="Check Box 39" hidden="1">
              <a:extLst>
                <a:ext uri="{63B3BB69-23CF-44E3-9099-C40C66FF867C}">
                  <a14:compatExt spid="_x0000_s224295"/>
                </a:ext>
                <a:ext uri="{FF2B5EF4-FFF2-40B4-BE49-F238E27FC236}">
                  <a16:creationId xmlns:a16="http://schemas.microsoft.com/office/drawing/2014/main" id="{00000000-0008-0000-0300-0000276C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 editAs="oneCell">
    <xdr:from>
      <xdr:col>58</xdr:col>
      <xdr:colOff>0</xdr:colOff>
      <xdr:row>14</xdr:row>
      <xdr:rowOff>0</xdr:rowOff>
    </xdr:from>
    <xdr:to>
      <xdr:col>70</xdr:col>
      <xdr:colOff>209550</xdr:colOff>
      <xdr:row>29</xdr:row>
      <xdr:rowOff>47625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280850" y="3171825"/>
          <a:ext cx="7524750" cy="3619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absolute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0</xdr:row>
          <xdr:rowOff>0</xdr:rowOff>
        </xdr:to>
        <xdr:sp macro="" textlink="">
          <xdr:nvSpPr>
            <xdr:cNvPr id="223233" name="Check Box 1" hidden="1">
              <a:extLst>
                <a:ext uri="{63B3BB69-23CF-44E3-9099-C40C66FF867C}">
                  <a14:compatExt spid="_x0000_s223233"/>
                </a:ext>
                <a:ext uri="{FF2B5EF4-FFF2-40B4-BE49-F238E27FC236}">
                  <a16:creationId xmlns:a16="http://schemas.microsoft.com/office/drawing/2014/main" id="{00000000-0008-0000-0400-00000168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0</xdr:row>
          <xdr:rowOff>0</xdr:rowOff>
        </xdr:to>
        <xdr:sp macro="" textlink="">
          <xdr:nvSpPr>
            <xdr:cNvPr id="223234" name="Check Box 2" hidden="1">
              <a:extLst>
                <a:ext uri="{63B3BB69-23CF-44E3-9099-C40C66FF867C}">
                  <a14:compatExt spid="_x0000_s223234"/>
                </a:ext>
                <a:ext uri="{FF2B5EF4-FFF2-40B4-BE49-F238E27FC236}">
                  <a16:creationId xmlns:a16="http://schemas.microsoft.com/office/drawing/2014/main" id="{00000000-0008-0000-0400-00000268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0</xdr:row>
          <xdr:rowOff>0</xdr:rowOff>
        </xdr:to>
        <xdr:sp macro="" textlink="">
          <xdr:nvSpPr>
            <xdr:cNvPr id="223235" name="Check Box 3" hidden="1">
              <a:extLst>
                <a:ext uri="{63B3BB69-23CF-44E3-9099-C40C66FF867C}">
                  <a14:compatExt spid="_x0000_s223235"/>
                </a:ext>
                <a:ext uri="{FF2B5EF4-FFF2-40B4-BE49-F238E27FC236}">
                  <a16:creationId xmlns:a16="http://schemas.microsoft.com/office/drawing/2014/main" id="{00000000-0008-0000-0400-00000368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0</xdr:row>
          <xdr:rowOff>0</xdr:rowOff>
        </xdr:to>
        <xdr:sp macro="" textlink="">
          <xdr:nvSpPr>
            <xdr:cNvPr id="223236" name="Check Box 4" hidden="1">
              <a:extLst>
                <a:ext uri="{63B3BB69-23CF-44E3-9099-C40C66FF867C}">
                  <a14:compatExt spid="_x0000_s223236"/>
                </a:ext>
                <a:ext uri="{FF2B5EF4-FFF2-40B4-BE49-F238E27FC236}">
                  <a16:creationId xmlns:a16="http://schemas.microsoft.com/office/drawing/2014/main" id="{00000000-0008-0000-0400-00000468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0</xdr:row>
          <xdr:rowOff>0</xdr:rowOff>
        </xdr:to>
        <xdr:sp macro="" textlink="">
          <xdr:nvSpPr>
            <xdr:cNvPr id="223237" name="Check Box 5" hidden="1">
              <a:extLst>
                <a:ext uri="{63B3BB69-23CF-44E3-9099-C40C66FF867C}">
                  <a14:compatExt spid="_x0000_s223237"/>
                </a:ext>
                <a:ext uri="{FF2B5EF4-FFF2-40B4-BE49-F238E27FC236}">
                  <a16:creationId xmlns:a16="http://schemas.microsoft.com/office/drawing/2014/main" id="{00000000-0008-0000-0400-00000568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0</xdr:row>
          <xdr:rowOff>0</xdr:rowOff>
        </xdr:to>
        <xdr:sp macro="" textlink="">
          <xdr:nvSpPr>
            <xdr:cNvPr id="223238" name="Check Box 6" hidden="1">
              <a:extLst>
                <a:ext uri="{63B3BB69-23CF-44E3-9099-C40C66FF867C}">
                  <a14:compatExt spid="_x0000_s223238"/>
                </a:ext>
                <a:ext uri="{FF2B5EF4-FFF2-40B4-BE49-F238E27FC236}">
                  <a16:creationId xmlns:a16="http://schemas.microsoft.com/office/drawing/2014/main" id="{00000000-0008-0000-0400-00000668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0</xdr:row>
          <xdr:rowOff>0</xdr:rowOff>
        </xdr:to>
        <xdr:sp macro="" textlink="">
          <xdr:nvSpPr>
            <xdr:cNvPr id="223239" name="Check Box 7" hidden="1">
              <a:extLst>
                <a:ext uri="{63B3BB69-23CF-44E3-9099-C40C66FF867C}">
                  <a14:compatExt spid="_x0000_s223239"/>
                </a:ext>
                <a:ext uri="{FF2B5EF4-FFF2-40B4-BE49-F238E27FC236}">
                  <a16:creationId xmlns:a16="http://schemas.microsoft.com/office/drawing/2014/main" id="{00000000-0008-0000-0400-00000768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219075</xdr:colOff>
          <xdr:row>6</xdr:row>
          <xdr:rowOff>9525</xdr:rowOff>
        </xdr:from>
        <xdr:to>
          <xdr:col>4</xdr:col>
          <xdr:colOff>0</xdr:colOff>
          <xdr:row>7</xdr:row>
          <xdr:rowOff>0</xdr:rowOff>
        </xdr:to>
        <xdr:sp macro="" textlink="">
          <xdr:nvSpPr>
            <xdr:cNvPr id="223255" name="Check Box 23" hidden="1">
              <a:extLst>
                <a:ext uri="{63B3BB69-23CF-44E3-9099-C40C66FF867C}">
                  <a14:compatExt spid="_x0000_s223255"/>
                </a:ext>
                <a:ext uri="{FF2B5EF4-FFF2-40B4-BE49-F238E27FC236}">
                  <a16:creationId xmlns:a16="http://schemas.microsoft.com/office/drawing/2014/main" id="{00000000-0008-0000-0400-00001768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219075</xdr:colOff>
          <xdr:row>7</xdr:row>
          <xdr:rowOff>9525</xdr:rowOff>
        </xdr:from>
        <xdr:to>
          <xdr:col>4</xdr:col>
          <xdr:colOff>0</xdr:colOff>
          <xdr:row>8</xdr:row>
          <xdr:rowOff>0</xdr:rowOff>
        </xdr:to>
        <xdr:sp macro="" textlink="">
          <xdr:nvSpPr>
            <xdr:cNvPr id="223256" name="Check Box 24" hidden="1">
              <a:extLst>
                <a:ext uri="{63B3BB69-23CF-44E3-9099-C40C66FF867C}">
                  <a14:compatExt spid="_x0000_s223256"/>
                </a:ext>
                <a:ext uri="{FF2B5EF4-FFF2-40B4-BE49-F238E27FC236}">
                  <a16:creationId xmlns:a16="http://schemas.microsoft.com/office/drawing/2014/main" id="{00000000-0008-0000-0400-00001868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219075</xdr:colOff>
          <xdr:row>8</xdr:row>
          <xdr:rowOff>0</xdr:rowOff>
        </xdr:from>
        <xdr:to>
          <xdr:col>3</xdr:col>
          <xdr:colOff>400050</xdr:colOff>
          <xdr:row>8</xdr:row>
          <xdr:rowOff>180975</xdr:rowOff>
        </xdr:to>
        <xdr:sp macro="" textlink="">
          <xdr:nvSpPr>
            <xdr:cNvPr id="223257" name="Check Box 25" hidden="1">
              <a:extLst>
                <a:ext uri="{63B3BB69-23CF-44E3-9099-C40C66FF867C}">
                  <a14:compatExt spid="_x0000_s223257"/>
                </a:ext>
                <a:ext uri="{FF2B5EF4-FFF2-40B4-BE49-F238E27FC236}">
                  <a16:creationId xmlns:a16="http://schemas.microsoft.com/office/drawing/2014/main" id="{00000000-0008-0000-0400-00001968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219075</xdr:colOff>
          <xdr:row>9</xdr:row>
          <xdr:rowOff>0</xdr:rowOff>
        </xdr:from>
        <xdr:to>
          <xdr:col>3</xdr:col>
          <xdr:colOff>400050</xdr:colOff>
          <xdr:row>9</xdr:row>
          <xdr:rowOff>180975</xdr:rowOff>
        </xdr:to>
        <xdr:sp macro="" textlink="">
          <xdr:nvSpPr>
            <xdr:cNvPr id="223258" name="Check Box 26" hidden="1">
              <a:extLst>
                <a:ext uri="{63B3BB69-23CF-44E3-9099-C40C66FF867C}">
                  <a14:compatExt spid="_x0000_s223258"/>
                </a:ext>
                <a:ext uri="{FF2B5EF4-FFF2-40B4-BE49-F238E27FC236}">
                  <a16:creationId xmlns:a16="http://schemas.microsoft.com/office/drawing/2014/main" id="{00000000-0008-0000-0400-00001A68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657225</xdr:colOff>
          <xdr:row>6</xdr:row>
          <xdr:rowOff>9525</xdr:rowOff>
        </xdr:from>
        <xdr:to>
          <xdr:col>12</xdr:col>
          <xdr:colOff>0</xdr:colOff>
          <xdr:row>7</xdr:row>
          <xdr:rowOff>0</xdr:rowOff>
        </xdr:to>
        <xdr:sp macro="" textlink="">
          <xdr:nvSpPr>
            <xdr:cNvPr id="223259" name="Check Box 27" hidden="1">
              <a:extLst>
                <a:ext uri="{63B3BB69-23CF-44E3-9099-C40C66FF867C}">
                  <a14:compatExt spid="_x0000_s223259"/>
                </a:ext>
                <a:ext uri="{FF2B5EF4-FFF2-40B4-BE49-F238E27FC236}">
                  <a16:creationId xmlns:a16="http://schemas.microsoft.com/office/drawing/2014/main" id="{00000000-0008-0000-0400-00001B68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657225</xdr:colOff>
          <xdr:row>7</xdr:row>
          <xdr:rowOff>9525</xdr:rowOff>
        </xdr:from>
        <xdr:to>
          <xdr:col>12</xdr:col>
          <xdr:colOff>0</xdr:colOff>
          <xdr:row>8</xdr:row>
          <xdr:rowOff>0</xdr:rowOff>
        </xdr:to>
        <xdr:sp macro="" textlink="">
          <xdr:nvSpPr>
            <xdr:cNvPr id="223260" name="Check Box 28" hidden="1">
              <a:extLst>
                <a:ext uri="{63B3BB69-23CF-44E3-9099-C40C66FF867C}">
                  <a14:compatExt spid="_x0000_s223260"/>
                </a:ext>
                <a:ext uri="{FF2B5EF4-FFF2-40B4-BE49-F238E27FC236}">
                  <a16:creationId xmlns:a16="http://schemas.microsoft.com/office/drawing/2014/main" id="{00000000-0008-0000-0400-00001C68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657225</xdr:colOff>
          <xdr:row>8</xdr:row>
          <xdr:rowOff>0</xdr:rowOff>
        </xdr:from>
        <xdr:to>
          <xdr:col>12</xdr:col>
          <xdr:colOff>0</xdr:colOff>
          <xdr:row>8</xdr:row>
          <xdr:rowOff>180975</xdr:rowOff>
        </xdr:to>
        <xdr:sp macro="" textlink="">
          <xdr:nvSpPr>
            <xdr:cNvPr id="223261" name="Check Box 29" hidden="1">
              <a:extLst>
                <a:ext uri="{63B3BB69-23CF-44E3-9099-C40C66FF867C}">
                  <a14:compatExt spid="_x0000_s223261"/>
                </a:ext>
                <a:ext uri="{FF2B5EF4-FFF2-40B4-BE49-F238E27FC236}">
                  <a16:creationId xmlns:a16="http://schemas.microsoft.com/office/drawing/2014/main" id="{00000000-0008-0000-0400-00001D68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 editAs="oneCell">
    <xdr:from>
      <xdr:col>0</xdr:col>
      <xdr:colOff>142876</xdr:colOff>
      <xdr:row>1</xdr:row>
      <xdr:rowOff>23812</xdr:rowOff>
    </xdr:from>
    <xdr:to>
      <xdr:col>2</xdr:col>
      <xdr:colOff>89334</xdr:colOff>
      <xdr:row>2</xdr:row>
      <xdr:rowOff>254689</xdr:rowOff>
    </xdr:to>
    <xdr:pic>
      <xdr:nvPicPr>
        <xdr:cNvPr id="3" name="Imagen 2" descr="Imagen que contiene plato, alimentos, dibujo, estacionado&#10;&#10;Descripción generada automáticamente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2876" y="273843"/>
          <a:ext cx="1529989" cy="588065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219075</xdr:colOff>
          <xdr:row>6</xdr:row>
          <xdr:rowOff>9525</xdr:rowOff>
        </xdr:from>
        <xdr:to>
          <xdr:col>4</xdr:col>
          <xdr:colOff>0</xdr:colOff>
          <xdr:row>7</xdr:row>
          <xdr:rowOff>0</xdr:rowOff>
        </xdr:to>
        <xdr:sp macro="" textlink="">
          <xdr:nvSpPr>
            <xdr:cNvPr id="223268" name="Check Box 36" hidden="1">
              <a:extLst>
                <a:ext uri="{63B3BB69-23CF-44E3-9099-C40C66FF867C}">
                  <a14:compatExt spid="_x0000_s223268"/>
                </a:ext>
                <a:ext uri="{FF2B5EF4-FFF2-40B4-BE49-F238E27FC236}">
                  <a16:creationId xmlns:a16="http://schemas.microsoft.com/office/drawing/2014/main" id="{00000000-0008-0000-0400-00002468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219075</xdr:colOff>
          <xdr:row>7</xdr:row>
          <xdr:rowOff>9525</xdr:rowOff>
        </xdr:from>
        <xdr:to>
          <xdr:col>4</xdr:col>
          <xdr:colOff>0</xdr:colOff>
          <xdr:row>8</xdr:row>
          <xdr:rowOff>0</xdr:rowOff>
        </xdr:to>
        <xdr:sp macro="" textlink="">
          <xdr:nvSpPr>
            <xdr:cNvPr id="223269" name="Check Box 37" hidden="1">
              <a:extLst>
                <a:ext uri="{63B3BB69-23CF-44E3-9099-C40C66FF867C}">
                  <a14:compatExt spid="_x0000_s223269"/>
                </a:ext>
                <a:ext uri="{FF2B5EF4-FFF2-40B4-BE49-F238E27FC236}">
                  <a16:creationId xmlns:a16="http://schemas.microsoft.com/office/drawing/2014/main" id="{00000000-0008-0000-0400-00002568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657225</xdr:colOff>
          <xdr:row>6</xdr:row>
          <xdr:rowOff>9525</xdr:rowOff>
        </xdr:from>
        <xdr:to>
          <xdr:col>12</xdr:col>
          <xdr:colOff>0</xdr:colOff>
          <xdr:row>7</xdr:row>
          <xdr:rowOff>0</xdr:rowOff>
        </xdr:to>
        <xdr:sp macro="" textlink="">
          <xdr:nvSpPr>
            <xdr:cNvPr id="223270" name="Check Box 38" hidden="1">
              <a:extLst>
                <a:ext uri="{63B3BB69-23CF-44E3-9099-C40C66FF867C}">
                  <a14:compatExt spid="_x0000_s223270"/>
                </a:ext>
                <a:ext uri="{FF2B5EF4-FFF2-40B4-BE49-F238E27FC236}">
                  <a16:creationId xmlns:a16="http://schemas.microsoft.com/office/drawing/2014/main" id="{00000000-0008-0000-0400-00002668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657225</xdr:colOff>
          <xdr:row>7</xdr:row>
          <xdr:rowOff>9525</xdr:rowOff>
        </xdr:from>
        <xdr:to>
          <xdr:col>12</xdr:col>
          <xdr:colOff>0</xdr:colOff>
          <xdr:row>8</xdr:row>
          <xdr:rowOff>0</xdr:rowOff>
        </xdr:to>
        <xdr:sp macro="" textlink="">
          <xdr:nvSpPr>
            <xdr:cNvPr id="223271" name="Check Box 39" hidden="1">
              <a:extLst>
                <a:ext uri="{63B3BB69-23CF-44E3-9099-C40C66FF867C}">
                  <a14:compatExt spid="_x0000_s223271"/>
                </a:ext>
                <a:ext uri="{FF2B5EF4-FFF2-40B4-BE49-F238E27FC236}">
                  <a16:creationId xmlns:a16="http://schemas.microsoft.com/office/drawing/2014/main" id="{00000000-0008-0000-0400-00002768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657225</xdr:colOff>
          <xdr:row>8</xdr:row>
          <xdr:rowOff>0</xdr:rowOff>
        </xdr:from>
        <xdr:to>
          <xdr:col>12</xdr:col>
          <xdr:colOff>0</xdr:colOff>
          <xdr:row>8</xdr:row>
          <xdr:rowOff>180975</xdr:rowOff>
        </xdr:to>
        <xdr:sp macro="" textlink="">
          <xdr:nvSpPr>
            <xdr:cNvPr id="223272" name="Check Box 40" hidden="1">
              <a:extLst>
                <a:ext uri="{63B3BB69-23CF-44E3-9099-C40C66FF867C}">
                  <a14:compatExt spid="_x0000_s223272"/>
                </a:ext>
                <a:ext uri="{FF2B5EF4-FFF2-40B4-BE49-F238E27FC236}">
                  <a16:creationId xmlns:a16="http://schemas.microsoft.com/office/drawing/2014/main" id="{00000000-0008-0000-0400-00002868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 editAs="oneCell">
    <xdr:from>
      <xdr:col>58</xdr:col>
      <xdr:colOff>0</xdr:colOff>
      <xdr:row>14</xdr:row>
      <xdr:rowOff>0</xdr:rowOff>
    </xdr:from>
    <xdr:to>
      <xdr:col>67</xdr:col>
      <xdr:colOff>666750</xdr:colOff>
      <xdr:row>27</xdr:row>
      <xdr:rowOff>66675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109775" y="3190875"/>
          <a:ext cx="7524750" cy="3619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209550</xdr:colOff>
          <xdr:row>6</xdr:row>
          <xdr:rowOff>9525</xdr:rowOff>
        </xdr:from>
        <xdr:to>
          <xdr:col>3</xdr:col>
          <xdr:colOff>390525</xdr:colOff>
          <xdr:row>7</xdr:row>
          <xdr:rowOff>0</xdr:rowOff>
        </xdr:to>
        <xdr:sp macro="" textlink="">
          <xdr:nvSpPr>
            <xdr:cNvPr id="226319" name="Check Box 15" hidden="1">
              <a:extLst>
                <a:ext uri="{63B3BB69-23CF-44E3-9099-C40C66FF867C}">
                  <a14:compatExt spid="_x0000_s226319"/>
                </a:ext>
                <a:ext uri="{FF2B5EF4-FFF2-40B4-BE49-F238E27FC236}">
                  <a16:creationId xmlns:a16="http://schemas.microsoft.com/office/drawing/2014/main" id="{00000000-0008-0000-0500-00000F74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209550</xdr:colOff>
          <xdr:row>7</xdr:row>
          <xdr:rowOff>9525</xdr:rowOff>
        </xdr:from>
        <xdr:to>
          <xdr:col>3</xdr:col>
          <xdr:colOff>390525</xdr:colOff>
          <xdr:row>8</xdr:row>
          <xdr:rowOff>0</xdr:rowOff>
        </xdr:to>
        <xdr:sp macro="" textlink="">
          <xdr:nvSpPr>
            <xdr:cNvPr id="226320" name="Check Box 16" hidden="1">
              <a:extLst>
                <a:ext uri="{63B3BB69-23CF-44E3-9099-C40C66FF867C}">
                  <a14:compatExt spid="_x0000_s226320"/>
                </a:ext>
                <a:ext uri="{FF2B5EF4-FFF2-40B4-BE49-F238E27FC236}">
                  <a16:creationId xmlns:a16="http://schemas.microsoft.com/office/drawing/2014/main" id="{00000000-0008-0000-0500-00001074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209550</xdr:colOff>
          <xdr:row>8</xdr:row>
          <xdr:rowOff>9525</xdr:rowOff>
        </xdr:from>
        <xdr:to>
          <xdr:col>3</xdr:col>
          <xdr:colOff>390525</xdr:colOff>
          <xdr:row>9</xdr:row>
          <xdr:rowOff>0</xdr:rowOff>
        </xdr:to>
        <xdr:sp macro="" textlink="">
          <xdr:nvSpPr>
            <xdr:cNvPr id="226321" name="Check Box 17" hidden="1">
              <a:extLst>
                <a:ext uri="{63B3BB69-23CF-44E3-9099-C40C66FF867C}">
                  <a14:compatExt spid="_x0000_s226321"/>
                </a:ext>
                <a:ext uri="{FF2B5EF4-FFF2-40B4-BE49-F238E27FC236}">
                  <a16:creationId xmlns:a16="http://schemas.microsoft.com/office/drawing/2014/main" id="{00000000-0008-0000-0500-00001174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209550</xdr:colOff>
          <xdr:row>9</xdr:row>
          <xdr:rowOff>9525</xdr:rowOff>
        </xdr:from>
        <xdr:to>
          <xdr:col>3</xdr:col>
          <xdr:colOff>390525</xdr:colOff>
          <xdr:row>10</xdr:row>
          <xdr:rowOff>0</xdr:rowOff>
        </xdr:to>
        <xdr:sp macro="" textlink="">
          <xdr:nvSpPr>
            <xdr:cNvPr id="226322" name="Check Box 18" hidden="1">
              <a:extLst>
                <a:ext uri="{63B3BB69-23CF-44E3-9099-C40C66FF867C}">
                  <a14:compatExt spid="_x0000_s226322"/>
                </a:ext>
                <a:ext uri="{FF2B5EF4-FFF2-40B4-BE49-F238E27FC236}">
                  <a16:creationId xmlns:a16="http://schemas.microsoft.com/office/drawing/2014/main" id="{00000000-0008-0000-0500-00001274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609600</xdr:colOff>
          <xdr:row>6</xdr:row>
          <xdr:rowOff>9525</xdr:rowOff>
        </xdr:from>
        <xdr:to>
          <xdr:col>11</xdr:col>
          <xdr:colOff>800100</xdr:colOff>
          <xdr:row>7</xdr:row>
          <xdr:rowOff>0</xdr:rowOff>
        </xdr:to>
        <xdr:sp macro="" textlink="">
          <xdr:nvSpPr>
            <xdr:cNvPr id="226323" name="Check Box 19" hidden="1">
              <a:extLst>
                <a:ext uri="{63B3BB69-23CF-44E3-9099-C40C66FF867C}">
                  <a14:compatExt spid="_x0000_s226323"/>
                </a:ext>
                <a:ext uri="{FF2B5EF4-FFF2-40B4-BE49-F238E27FC236}">
                  <a16:creationId xmlns:a16="http://schemas.microsoft.com/office/drawing/2014/main" id="{00000000-0008-0000-0500-00001374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609600</xdr:colOff>
          <xdr:row>7</xdr:row>
          <xdr:rowOff>9525</xdr:rowOff>
        </xdr:from>
        <xdr:to>
          <xdr:col>11</xdr:col>
          <xdr:colOff>800100</xdr:colOff>
          <xdr:row>8</xdr:row>
          <xdr:rowOff>0</xdr:rowOff>
        </xdr:to>
        <xdr:sp macro="" textlink="">
          <xdr:nvSpPr>
            <xdr:cNvPr id="226324" name="Check Box 20" hidden="1">
              <a:extLst>
                <a:ext uri="{63B3BB69-23CF-44E3-9099-C40C66FF867C}">
                  <a14:compatExt spid="_x0000_s226324"/>
                </a:ext>
                <a:ext uri="{FF2B5EF4-FFF2-40B4-BE49-F238E27FC236}">
                  <a16:creationId xmlns:a16="http://schemas.microsoft.com/office/drawing/2014/main" id="{00000000-0008-0000-0500-00001474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609600</xdr:colOff>
          <xdr:row>8</xdr:row>
          <xdr:rowOff>9525</xdr:rowOff>
        </xdr:from>
        <xdr:to>
          <xdr:col>11</xdr:col>
          <xdr:colOff>790575</xdr:colOff>
          <xdr:row>9</xdr:row>
          <xdr:rowOff>0</xdr:rowOff>
        </xdr:to>
        <xdr:sp macro="" textlink="">
          <xdr:nvSpPr>
            <xdr:cNvPr id="226325" name="Check Box 21" hidden="1">
              <a:extLst>
                <a:ext uri="{63B3BB69-23CF-44E3-9099-C40C66FF867C}">
                  <a14:compatExt spid="_x0000_s226325"/>
                </a:ext>
                <a:ext uri="{FF2B5EF4-FFF2-40B4-BE49-F238E27FC236}">
                  <a16:creationId xmlns:a16="http://schemas.microsoft.com/office/drawing/2014/main" id="{00000000-0008-0000-0500-00001574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 editAs="oneCell">
    <xdr:from>
      <xdr:col>2</xdr:col>
      <xdr:colOff>150003</xdr:colOff>
      <xdr:row>12</xdr:row>
      <xdr:rowOff>71173</xdr:rowOff>
    </xdr:from>
    <xdr:to>
      <xdr:col>12</xdr:col>
      <xdr:colOff>771508</xdr:colOff>
      <xdr:row>26</xdr:row>
      <xdr:rowOff>124810</xdr:rowOff>
    </xdr:to>
    <xdr:pic>
      <xdr:nvPicPr>
        <xdr:cNvPr id="5" name="Imagen 4" descr="Diagrama&#10;&#10;Descripción generada automáticamente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49155" y="2663630"/>
          <a:ext cx="4994723" cy="2521854"/>
        </a:xfrm>
        <a:prstGeom prst="rect">
          <a:avLst/>
        </a:prstGeom>
      </xdr:spPr>
    </xdr:pic>
    <xdr:clientData/>
  </xdr:twoCellAnchor>
  <xdr:twoCellAnchor editAs="oneCell">
    <xdr:from>
      <xdr:col>2</xdr:col>
      <xdr:colOff>105103</xdr:colOff>
      <xdr:row>30</xdr:row>
      <xdr:rowOff>142803</xdr:rowOff>
    </xdr:from>
    <xdr:to>
      <xdr:col>12</xdr:col>
      <xdr:colOff>811087</xdr:colOff>
      <xdr:row>44</xdr:row>
      <xdr:rowOff>116527</xdr:rowOff>
    </xdr:to>
    <xdr:pic>
      <xdr:nvPicPr>
        <xdr:cNvPr id="7" name="Imagen 6" descr="Diagrama&#10;&#10;Descripción generada automáticamente">
          <a:extLst>
            <a:ext uri="{FF2B5EF4-FFF2-40B4-BE49-F238E27FC236}">
              <a16:creationId xmlns:a16="http://schemas.microsoft.com/office/drawing/2014/main" id="{00000000-0008-0000-05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04255" y="5915781"/>
          <a:ext cx="5079202" cy="2557898"/>
        </a:xfrm>
        <a:prstGeom prst="rect">
          <a:avLst/>
        </a:prstGeom>
      </xdr:spPr>
    </xdr:pic>
    <xdr:clientData/>
  </xdr:twoCellAnchor>
  <xdr:twoCellAnchor>
    <xdr:from>
      <xdr:col>3</xdr:col>
      <xdr:colOff>72258</xdr:colOff>
      <xdr:row>38</xdr:row>
      <xdr:rowOff>98535</xdr:rowOff>
    </xdr:from>
    <xdr:to>
      <xdr:col>4</xdr:col>
      <xdr:colOff>281950</xdr:colOff>
      <xdr:row>39</xdr:row>
      <xdr:rowOff>52340</xdr:rowOff>
    </xdr:to>
    <xdr:sp macro="" textlink="">
      <xdr:nvSpPr>
        <xdr:cNvPr id="3" name="5 CuadroTexto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SpPr txBox="1"/>
      </xdr:nvSpPr>
      <xdr:spPr>
        <a:xfrm>
          <a:off x="2187465" y="7462345"/>
          <a:ext cx="616968" cy="14430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CO" sz="700"/>
            <a:t>27,6</a:t>
          </a:r>
        </a:p>
      </xdr:txBody>
    </xdr:sp>
    <xdr:clientData/>
  </xdr:twoCellAnchor>
  <xdr:twoCellAnchor>
    <xdr:from>
      <xdr:col>8</xdr:col>
      <xdr:colOff>211520</xdr:colOff>
      <xdr:row>33</xdr:row>
      <xdr:rowOff>73573</xdr:rowOff>
    </xdr:from>
    <xdr:to>
      <xdr:col>10</xdr:col>
      <xdr:colOff>217574</xdr:colOff>
      <xdr:row>34</xdr:row>
      <xdr:rowOff>47085</xdr:rowOff>
    </xdr:to>
    <xdr:sp macro="" textlink="">
      <xdr:nvSpPr>
        <xdr:cNvPr id="4" name="5 CuadroTexto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SpPr txBox="1"/>
      </xdr:nvSpPr>
      <xdr:spPr>
        <a:xfrm>
          <a:off x="4179175" y="6524297"/>
          <a:ext cx="616968" cy="14430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CO" sz="700"/>
            <a:t>254,5</a:t>
          </a:r>
        </a:p>
      </xdr:txBody>
    </xdr:sp>
    <xdr:clientData/>
  </xdr:twoCellAnchor>
  <xdr:twoCellAnchor>
    <xdr:from>
      <xdr:col>12</xdr:col>
      <xdr:colOff>331075</xdr:colOff>
      <xdr:row>38</xdr:row>
      <xdr:rowOff>74887</xdr:rowOff>
    </xdr:from>
    <xdr:to>
      <xdr:col>13</xdr:col>
      <xdr:colOff>80939</xdr:colOff>
      <xdr:row>39</xdr:row>
      <xdr:rowOff>28692</xdr:rowOff>
    </xdr:to>
    <xdr:sp macro="" textlink="">
      <xdr:nvSpPr>
        <xdr:cNvPr id="6" name="5 CuadroTexto"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SpPr txBox="1"/>
      </xdr:nvSpPr>
      <xdr:spPr>
        <a:xfrm>
          <a:off x="6203730" y="7438697"/>
          <a:ext cx="616968" cy="14430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CO" sz="700"/>
            <a:t>27,5</a:t>
          </a:r>
        </a:p>
      </xdr:txBody>
    </xdr:sp>
    <xdr:clientData/>
  </xdr:twoCellAnchor>
  <xdr:twoCellAnchor>
    <xdr:from>
      <xdr:col>8</xdr:col>
      <xdr:colOff>261938</xdr:colOff>
      <xdr:row>41</xdr:row>
      <xdr:rowOff>115615</xdr:rowOff>
    </xdr:from>
    <xdr:to>
      <xdr:col>10</xdr:col>
      <xdr:colOff>187356</xdr:colOff>
      <xdr:row>42</xdr:row>
      <xdr:rowOff>69420</xdr:rowOff>
    </xdr:to>
    <xdr:sp macro="" textlink="">
      <xdr:nvSpPr>
        <xdr:cNvPr id="8" name="5 CuadroTexto">
          <a:extLst>
            <a:ext uri="{FF2B5EF4-FFF2-40B4-BE49-F238E27FC236}">
              <a16:creationId xmlns:a16="http://schemas.microsoft.com/office/drawing/2014/main" id="{00000000-0008-0000-0500-000008000000}"/>
            </a:ext>
          </a:extLst>
        </xdr:cNvPr>
        <xdr:cNvSpPr txBox="1"/>
      </xdr:nvSpPr>
      <xdr:spPr>
        <a:xfrm>
          <a:off x="4232672" y="8080896"/>
          <a:ext cx="532637" cy="14430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CO" sz="700"/>
            <a:t>97,8</a:t>
          </a:r>
        </a:p>
      </xdr:txBody>
    </xdr:sp>
    <xdr:clientData/>
  </xdr:twoCellAnchor>
  <xdr:twoCellAnchor>
    <xdr:from>
      <xdr:col>8</xdr:col>
      <xdr:colOff>156571</xdr:colOff>
      <xdr:row>14</xdr:row>
      <xdr:rowOff>44897</xdr:rowOff>
    </xdr:from>
    <xdr:to>
      <xdr:col>10</xdr:col>
      <xdr:colOff>162625</xdr:colOff>
      <xdr:row>15</xdr:row>
      <xdr:rowOff>18409</xdr:rowOff>
    </xdr:to>
    <xdr:sp macro="" textlink="">
      <xdr:nvSpPr>
        <xdr:cNvPr id="9" name="5 CuadroTexto">
          <a:extLst>
            <a:ext uri="{FF2B5EF4-FFF2-40B4-BE49-F238E27FC236}">
              <a16:creationId xmlns:a16="http://schemas.microsoft.com/office/drawing/2014/main" id="{00000000-0008-0000-0500-000009000000}"/>
            </a:ext>
          </a:extLst>
        </xdr:cNvPr>
        <xdr:cNvSpPr txBox="1"/>
      </xdr:nvSpPr>
      <xdr:spPr>
        <a:xfrm>
          <a:off x="4124226" y="3230845"/>
          <a:ext cx="616968" cy="14430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CO" sz="700"/>
            <a:t>83.8</a:t>
          </a:r>
        </a:p>
      </xdr:txBody>
    </xdr:sp>
    <xdr:clientData/>
  </xdr:twoCellAnchor>
  <xdr:twoCellAnchor>
    <xdr:from>
      <xdr:col>3</xdr:col>
      <xdr:colOff>71174</xdr:colOff>
      <xdr:row>19</xdr:row>
      <xdr:rowOff>33073</xdr:rowOff>
    </xdr:from>
    <xdr:to>
      <xdr:col>4</xdr:col>
      <xdr:colOff>280866</xdr:colOff>
      <xdr:row>20</xdr:row>
      <xdr:rowOff>6585</xdr:rowOff>
    </xdr:to>
    <xdr:sp macro="" textlink="">
      <xdr:nvSpPr>
        <xdr:cNvPr id="10" name="5 CuadroTexto">
          <a:extLst>
            <a:ext uri="{FF2B5EF4-FFF2-40B4-BE49-F238E27FC236}">
              <a16:creationId xmlns:a16="http://schemas.microsoft.com/office/drawing/2014/main" id="{00000000-0008-0000-0500-00000A000000}"/>
            </a:ext>
          </a:extLst>
        </xdr:cNvPr>
        <xdr:cNvSpPr txBox="1"/>
      </xdr:nvSpPr>
      <xdr:spPr>
        <a:xfrm>
          <a:off x="2183003" y="4093444"/>
          <a:ext cx="617906" cy="14768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CO" sz="700"/>
            <a:t>50,8</a:t>
          </a:r>
        </a:p>
      </xdr:txBody>
    </xdr:sp>
    <xdr:clientData/>
  </xdr:twoCellAnchor>
  <xdr:twoCellAnchor>
    <xdr:from>
      <xdr:col>8</xdr:col>
      <xdr:colOff>163305</xdr:colOff>
      <xdr:row>22</xdr:row>
      <xdr:rowOff>66000</xdr:rowOff>
    </xdr:from>
    <xdr:to>
      <xdr:col>10</xdr:col>
      <xdr:colOff>169359</xdr:colOff>
      <xdr:row>23</xdr:row>
      <xdr:rowOff>39512</xdr:rowOff>
    </xdr:to>
    <xdr:sp macro="" textlink="">
      <xdr:nvSpPr>
        <xdr:cNvPr id="11" name="5 CuadroTexto">
          <a:extLst>
            <a:ext uri="{FF2B5EF4-FFF2-40B4-BE49-F238E27FC236}">
              <a16:creationId xmlns:a16="http://schemas.microsoft.com/office/drawing/2014/main" id="{00000000-0008-0000-0500-00000B000000}"/>
            </a:ext>
          </a:extLst>
        </xdr:cNvPr>
        <xdr:cNvSpPr txBox="1"/>
      </xdr:nvSpPr>
      <xdr:spPr>
        <a:xfrm>
          <a:off x="4134039" y="4626094"/>
          <a:ext cx="613273" cy="14615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CO" sz="700"/>
            <a:t>162,23</a:t>
          </a:r>
        </a:p>
      </xdr:txBody>
    </xdr:sp>
    <xdr:clientData/>
  </xdr:twoCellAnchor>
  <xdr:twoCellAnchor>
    <xdr:from>
      <xdr:col>12</xdr:col>
      <xdr:colOff>206496</xdr:colOff>
      <xdr:row>19</xdr:row>
      <xdr:rowOff>42270</xdr:rowOff>
    </xdr:from>
    <xdr:to>
      <xdr:col>12</xdr:col>
      <xdr:colOff>823464</xdr:colOff>
      <xdr:row>20</xdr:row>
      <xdr:rowOff>15782</xdr:rowOff>
    </xdr:to>
    <xdr:sp macro="" textlink="">
      <xdr:nvSpPr>
        <xdr:cNvPr id="12" name="5 CuadroTexto">
          <a:extLst>
            <a:ext uri="{FF2B5EF4-FFF2-40B4-BE49-F238E27FC236}">
              <a16:creationId xmlns:a16="http://schemas.microsoft.com/office/drawing/2014/main" id="{00000000-0008-0000-0500-00000C000000}"/>
            </a:ext>
          </a:extLst>
        </xdr:cNvPr>
        <xdr:cNvSpPr txBox="1"/>
      </xdr:nvSpPr>
      <xdr:spPr>
        <a:xfrm>
          <a:off x="6079151" y="4082184"/>
          <a:ext cx="616968" cy="14430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CO" sz="700"/>
            <a:t>50,6</a:t>
          </a:r>
        </a:p>
      </xdr:txBody>
    </xdr:sp>
    <xdr:clientData/>
  </xdr:twoCellAnchor>
  <xdr:twoCellAnchor editAs="oneCell">
    <xdr:from>
      <xdr:col>0</xdr:col>
      <xdr:colOff>111673</xdr:colOff>
      <xdr:row>1</xdr:row>
      <xdr:rowOff>45982</xdr:rowOff>
    </xdr:from>
    <xdr:to>
      <xdr:col>2</xdr:col>
      <xdr:colOff>137369</xdr:colOff>
      <xdr:row>2</xdr:row>
      <xdr:rowOff>279323</xdr:rowOff>
    </xdr:to>
    <xdr:pic>
      <xdr:nvPicPr>
        <xdr:cNvPr id="13" name="Imagen 12" descr="Imagen que contiene plato, alimentos, dibujo, estacionado&#10;&#10;Descripción generada automáticamente">
          <a:extLst>
            <a:ext uri="{FF2B5EF4-FFF2-40B4-BE49-F238E27FC236}">
              <a16:creationId xmlns:a16="http://schemas.microsoft.com/office/drawing/2014/main" id="{00000000-0008-0000-05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1673" y="295603"/>
          <a:ext cx="1529989" cy="588065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609600</xdr:colOff>
          <xdr:row>6</xdr:row>
          <xdr:rowOff>9525</xdr:rowOff>
        </xdr:from>
        <xdr:to>
          <xdr:col>11</xdr:col>
          <xdr:colOff>800100</xdr:colOff>
          <xdr:row>7</xdr:row>
          <xdr:rowOff>0</xdr:rowOff>
        </xdr:to>
        <xdr:sp macro="" textlink="">
          <xdr:nvSpPr>
            <xdr:cNvPr id="226327" name="Check Box 23" hidden="1">
              <a:extLst>
                <a:ext uri="{63B3BB69-23CF-44E3-9099-C40C66FF867C}">
                  <a14:compatExt spid="_x0000_s226327"/>
                </a:ext>
                <a:ext uri="{FF2B5EF4-FFF2-40B4-BE49-F238E27FC236}">
                  <a16:creationId xmlns:a16="http://schemas.microsoft.com/office/drawing/2014/main" id="{00000000-0008-0000-0500-00001774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609600</xdr:colOff>
          <xdr:row>7</xdr:row>
          <xdr:rowOff>9525</xdr:rowOff>
        </xdr:from>
        <xdr:to>
          <xdr:col>11</xdr:col>
          <xdr:colOff>800100</xdr:colOff>
          <xdr:row>8</xdr:row>
          <xdr:rowOff>0</xdr:rowOff>
        </xdr:to>
        <xdr:sp macro="" textlink="">
          <xdr:nvSpPr>
            <xdr:cNvPr id="226328" name="Check Box 24" hidden="1">
              <a:extLst>
                <a:ext uri="{63B3BB69-23CF-44E3-9099-C40C66FF867C}">
                  <a14:compatExt spid="_x0000_s226328"/>
                </a:ext>
                <a:ext uri="{FF2B5EF4-FFF2-40B4-BE49-F238E27FC236}">
                  <a16:creationId xmlns:a16="http://schemas.microsoft.com/office/drawing/2014/main" id="{00000000-0008-0000-0500-00001874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609600</xdr:colOff>
          <xdr:row>8</xdr:row>
          <xdr:rowOff>9525</xdr:rowOff>
        </xdr:from>
        <xdr:to>
          <xdr:col>11</xdr:col>
          <xdr:colOff>790575</xdr:colOff>
          <xdr:row>9</xdr:row>
          <xdr:rowOff>0</xdr:rowOff>
        </xdr:to>
        <xdr:sp macro="" textlink="">
          <xdr:nvSpPr>
            <xdr:cNvPr id="226329" name="Check Box 25" hidden="1">
              <a:extLst>
                <a:ext uri="{63B3BB69-23CF-44E3-9099-C40C66FF867C}">
                  <a14:compatExt spid="_x0000_s226329"/>
                </a:ext>
                <a:ext uri="{FF2B5EF4-FFF2-40B4-BE49-F238E27FC236}">
                  <a16:creationId xmlns:a16="http://schemas.microsoft.com/office/drawing/2014/main" id="{00000000-0008-0000-0500-00001974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 editAs="oneCell">
    <xdr:from>
      <xdr:col>58</xdr:col>
      <xdr:colOff>0</xdr:colOff>
      <xdr:row>14</xdr:row>
      <xdr:rowOff>0</xdr:rowOff>
    </xdr:from>
    <xdr:to>
      <xdr:col>67</xdr:col>
      <xdr:colOff>666750</xdr:colOff>
      <xdr:row>35</xdr:row>
      <xdr:rowOff>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062150" y="3181350"/>
          <a:ext cx="7524750" cy="3619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209550</xdr:colOff>
          <xdr:row>6</xdr:row>
          <xdr:rowOff>9525</xdr:rowOff>
        </xdr:from>
        <xdr:to>
          <xdr:col>3</xdr:col>
          <xdr:colOff>390525</xdr:colOff>
          <xdr:row>7</xdr:row>
          <xdr:rowOff>0</xdr:rowOff>
        </xdr:to>
        <xdr:sp macro="" textlink="">
          <xdr:nvSpPr>
            <xdr:cNvPr id="231425" name="Check Box 1" hidden="1">
              <a:extLst>
                <a:ext uri="{63B3BB69-23CF-44E3-9099-C40C66FF867C}">
                  <a14:compatExt spid="_x0000_s231425"/>
                </a:ext>
                <a:ext uri="{FF2B5EF4-FFF2-40B4-BE49-F238E27FC236}">
                  <a16:creationId xmlns:a16="http://schemas.microsoft.com/office/drawing/2014/main" id="{00000000-0008-0000-0600-00000188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209550</xdr:colOff>
          <xdr:row>7</xdr:row>
          <xdr:rowOff>9525</xdr:rowOff>
        </xdr:from>
        <xdr:to>
          <xdr:col>3</xdr:col>
          <xdr:colOff>390525</xdr:colOff>
          <xdr:row>8</xdr:row>
          <xdr:rowOff>0</xdr:rowOff>
        </xdr:to>
        <xdr:sp macro="" textlink="">
          <xdr:nvSpPr>
            <xdr:cNvPr id="231426" name="Check Box 2" hidden="1">
              <a:extLst>
                <a:ext uri="{63B3BB69-23CF-44E3-9099-C40C66FF867C}">
                  <a14:compatExt spid="_x0000_s231426"/>
                </a:ext>
                <a:ext uri="{FF2B5EF4-FFF2-40B4-BE49-F238E27FC236}">
                  <a16:creationId xmlns:a16="http://schemas.microsoft.com/office/drawing/2014/main" id="{00000000-0008-0000-0600-00000288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209550</xdr:colOff>
          <xdr:row>8</xdr:row>
          <xdr:rowOff>9525</xdr:rowOff>
        </xdr:from>
        <xdr:to>
          <xdr:col>3</xdr:col>
          <xdr:colOff>390525</xdr:colOff>
          <xdr:row>9</xdr:row>
          <xdr:rowOff>0</xdr:rowOff>
        </xdr:to>
        <xdr:sp macro="" textlink="">
          <xdr:nvSpPr>
            <xdr:cNvPr id="231427" name="Check Box 3" hidden="1">
              <a:extLst>
                <a:ext uri="{63B3BB69-23CF-44E3-9099-C40C66FF867C}">
                  <a14:compatExt spid="_x0000_s231427"/>
                </a:ext>
                <a:ext uri="{FF2B5EF4-FFF2-40B4-BE49-F238E27FC236}">
                  <a16:creationId xmlns:a16="http://schemas.microsoft.com/office/drawing/2014/main" id="{00000000-0008-0000-0600-00000388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209550</xdr:colOff>
          <xdr:row>9</xdr:row>
          <xdr:rowOff>9525</xdr:rowOff>
        </xdr:from>
        <xdr:to>
          <xdr:col>3</xdr:col>
          <xdr:colOff>390525</xdr:colOff>
          <xdr:row>10</xdr:row>
          <xdr:rowOff>0</xdr:rowOff>
        </xdr:to>
        <xdr:sp macro="" textlink="">
          <xdr:nvSpPr>
            <xdr:cNvPr id="231428" name="Check Box 4" hidden="1">
              <a:extLst>
                <a:ext uri="{63B3BB69-23CF-44E3-9099-C40C66FF867C}">
                  <a14:compatExt spid="_x0000_s231428"/>
                </a:ext>
                <a:ext uri="{FF2B5EF4-FFF2-40B4-BE49-F238E27FC236}">
                  <a16:creationId xmlns:a16="http://schemas.microsoft.com/office/drawing/2014/main" id="{00000000-0008-0000-0600-00000488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609600</xdr:colOff>
          <xdr:row>6</xdr:row>
          <xdr:rowOff>9525</xdr:rowOff>
        </xdr:from>
        <xdr:to>
          <xdr:col>11</xdr:col>
          <xdr:colOff>790575</xdr:colOff>
          <xdr:row>7</xdr:row>
          <xdr:rowOff>0</xdr:rowOff>
        </xdr:to>
        <xdr:sp macro="" textlink="">
          <xdr:nvSpPr>
            <xdr:cNvPr id="231429" name="Check Box 5" hidden="1">
              <a:extLst>
                <a:ext uri="{63B3BB69-23CF-44E3-9099-C40C66FF867C}">
                  <a14:compatExt spid="_x0000_s231429"/>
                </a:ext>
                <a:ext uri="{FF2B5EF4-FFF2-40B4-BE49-F238E27FC236}">
                  <a16:creationId xmlns:a16="http://schemas.microsoft.com/office/drawing/2014/main" id="{00000000-0008-0000-0600-00000588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609600</xdr:colOff>
          <xdr:row>7</xdr:row>
          <xdr:rowOff>9525</xdr:rowOff>
        </xdr:from>
        <xdr:to>
          <xdr:col>11</xdr:col>
          <xdr:colOff>790575</xdr:colOff>
          <xdr:row>8</xdr:row>
          <xdr:rowOff>0</xdr:rowOff>
        </xdr:to>
        <xdr:sp macro="" textlink="">
          <xdr:nvSpPr>
            <xdr:cNvPr id="231430" name="Check Box 6" hidden="1">
              <a:extLst>
                <a:ext uri="{63B3BB69-23CF-44E3-9099-C40C66FF867C}">
                  <a14:compatExt spid="_x0000_s231430"/>
                </a:ext>
                <a:ext uri="{FF2B5EF4-FFF2-40B4-BE49-F238E27FC236}">
                  <a16:creationId xmlns:a16="http://schemas.microsoft.com/office/drawing/2014/main" id="{00000000-0008-0000-0600-00000688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609600</xdr:colOff>
          <xdr:row>8</xdr:row>
          <xdr:rowOff>9525</xdr:rowOff>
        </xdr:from>
        <xdr:to>
          <xdr:col>11</xdr:col>
          <xdr:colOff>790575</xdr:colOff>
          <xdr:row>9</xdr:row>
          <xdr:rowOff>0</xdr:rowOff>
        </xdr:to>
        <xdr:sp macro="" textlink="">
          <xdr:nvSpPr>
            <xdr:cNvPr id="231431" name="Check Box 7" hidden="1">
              <a:extLst>
                <a:ext uri="{63B3BB69-23CF-44E3-9099-C40C66FF867C}">
                  <a14:compatExt spid="_x0000_s231431"/>
                </a:ext>
                <a:ext uri="{FF2B5EF4-FFF2-40B4-BE49-F238E27FC236}">
                  <a16:creationId xmlns:a16="http://schemas.microsoft.com/office/drawing/2014/main" id="{00000000-0008-0000-0600-00000788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 editAs="oneCell">
    <xdr:from>
      <xdr:col>0</xdr:col>
      <xdr:colOff>117725</xdr:colOff>
      <xdr:row>1</xdr:row>
      <xdr:rowOff>32107</xdr:rowOff>
    </xdr:from>
    <xdr:to>
      <xdr:col>2</xdr:col>
      <xdr:colOff>63781</xdr:colOff>
      <xdr:row>2</xdr:row>
      <xdr:rowOff>266998</xdr:rowOff>
    </xdr:to>
    <xdr:pic>
      <xdr:nvPicPr>
        <xdr:cNvPr id="3" name="Imagen 2" descr="Imagen que contiene plato, alimentos, dibujo, estacionado&#10;&#10;Descripción generada automáticamente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7725" y="278259"/>
          <a:ext cx="1529989" cy="588065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609600</xdr:colOff>
          <xdr:row>6</xdr:row>
          <xdr:rowOff>9525</xdr:rowOff>
        </xdr:from>
        <xdr:to>
          <xdr:col>11</xdr:col>
          <xdr:colOff>790575</xdr:colOff>
          <xdr:row>7</xdr:row>
          <xdr:rowOff>0</xdr:rowOff>
        </xdr:to>
        <xdr:sp macro="" textlink="">
          <xdr:nvSpPr>
            <xdr:cNvPr id="231433" name="Check Box 9" hidden="1">
              <a:extLst>
                <a:ext uri="{63B3BB69-23CF-44E3-9099-C40C66FF867C}">
                  <a14:compatExt spid="_x0000_s231433"/>
                </a:ext>
                <a:ext uri="{FF2B5EF4-FFF2-40B4-BE49-F238E27FC236}">
                  <a16:creationId xmlns:a16="http://schemas.microsoft.com/office/drawing/2014/main" id="{00000000-0008-0000-0600-00000988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609600</xdr:colOff>
          <xdr:row>7</xdr:row>
          <xdr:rowOff>9525</xdr:rowOff>
        </xdr:from>
        <xdr:to>
          <xdr:col>11</xdr:col>
          <xdr:colOff>790575</xdr:colOff>
          <xdr:row>8</xdr:row>
          <xdr:rowOff>0</xdr:rowOff>
        </xdr:to>
        <xdr:sp macro="" textlink="">
          <xdr:nvSpPr>
            <xdr:cNvPr id="231434" name="Check Box 10" hidden="1">
              <a:extLst>
                <a:ext uri="{63B3BB69-23CF-44E3-9099-C40C66FF867C}">
                  <a14:compatExt spid="_x0000_s231434"/>
                </a:ext>
                <a:ext uri="{FF2B5EF4-FFF2-40B4-BE49-F238E27FC236}">
                  <a16:creationId xmlns:a16="http://schemas.microsoft.com/office/drawing/2014/main" id="{00000000-0008-0000-0600-00000A88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609600</xdr:colOff>
          <xdr:row>8</xdr:row>
          <xdr:rowOff>9525</xdr:rowOff>
        </xdr:from>
        <xdr:to>
          <xdr:col>11</xdr:col>
          <xdr:colOff>790575</xdr:colOff>
          <xdr:row>9</xdr:row>
          <xdr:rowOff>0</xdr:rowOff>
        </xdr:to>
        <xdr:sp macro="" textlink="">
          <xdr:nvSpPr>
            <xdr:cNvPr id="231435" name="Check Box 11" hidden="1">
              <a:extLst>
                <a:ext uri="{63B3BB69-23CF-44E3-9099-C40C66FF867C}">
                  <a14:compatExt spid="_x0000_s231435"/>
                </a:ext>
                <a:ext uri="{FF2B5EF4-FFF2-40B4-BE49-F238E27FC236}">
                  <a16:creationId xmlns:a16="http://schemas.microsoft.com/office/drawing/2014/main" id="{00000000-0008-0000-0600-00000B88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 editAs="oneCell">
    <xdr:from>
      <xdr:col>58</xdr:col>
      <xdr:colOff>0</xdr:colOff>
      <xdr:row>14</xdr:row>
      <xdr:rowOff>0</xdr:rowOff>
    </xdr:from>
    <xdr:to>
      <xdr:col>67</xdr:col>
      <xdr:colOff>666750</xdr:colOff>
      <xdr:row>35</xdr:row>
      <xdr:rowOff>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309800" y="3190875"/>
          <a:ext cx="7524750" cy="3619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400050</xdr:colOff>
          <xdr:row>6</xdr:row>
          <xdr:rowOff>9525</xdr:rowOff>
        </xdr:from>
        <xdr:to>
          <xdr:col>2</xdr:col>
          <xdr:colOff>581025</xdr:colOff>
          <xdr:row>7</xdr:row>
          <xdr:rowOff>0</xdr:rowOff>
        </xdr:to>
        <xdr:sp macro="" textlink="">
          <xdr:nvSpPr>
            <xdr:cNvPr id="229425" name="Check Box 49" hidden="1">
              <a:extLst>
                <a:ext uri="{63B3BB69-23CF-44E3-9099-C40C66FF867C}">
                  <a14:compatExt spid="_x0000_s229425"/>
                </a:ext>
                <a:ext uri="{FF2B5EF4-FFF2-40B4-BE49-F238E27FC236}">
                  <a16:creationId xmlns:a16="http://schemas.microsoft.com/office/drawing/2014/main" id="{00000000-0008-0000-0700-00003180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400050</xdr:colOff>
          <xdr:row>7</xdr:row>
          <xdr:rowOff>9525</xdr:rowOff>
        </xdr:from>
        <xdr:to>
          <xdr:col>2</xdr:col>
          <xdr:colOff>581025</xdr:colOff>
          <xdr:row>8</xdr:row>
          <xdr:rowOff>0</xdr:rowOff>
        </xdr:to>
        <xdr:sp macro="" textlink="">
          <xdr:nvSpPr>
            <xdr:cNvPr id="229427" name="Check Box 51" hidden="1">
              <a:extLst>
                <a:ext uri="{63B3BB69-23CF-44E3-9099-C40C66FF867C}">
                  <a14:compatExt spid="_x0000_s229427"/>
                </a:ext>
                <a:ext uri="{FF2B5EF4-FFF2-40B4-BE49-F238E27FC236}">
                  <a16:creationId xmlns:a16="http://schemas.microsoft.com/office/drawing/2014/main" id="{00000000-0008-0000-0700-00003380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400050</xdr:colOff>
          <xdr:row>8</xdr:row>
          <xdr:rowOff>9525</xdr:rowOff>
        </xdr:from>
        <xdr:to>
          <xdr:col>2</xdr:col>
          <xdr:colOff>581025</xdr:colOff>
          <xdr:row>9</xdr:row>
          <xdr:rowOff>0</xdr:rowOff>
        </xdr:to>
        <xdr:sp macro="" textlink="">
          <xdr:nvSpPr>
            <xdr:cNvPr id="229428" name="Check Box 52" hidden="1">
              <a:extLst>
                <a:ext uri="{63B3BB69-23CF-44E3-9099-C40C66FF867C}">
                  <a14:compatExt spid="_x0000_s229428"/>
                </a:ext>
                <a:ext uri="{FF2B5EF4-FFF2-40B4-BE49-F238E27FC236}">
                  <a16:creationId xmlns:a16="http://schemas.microsoft.com/office/drawing/2014/main" id="{00000000-0008-0000-0700-00003480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400050</xdr:colOff>
          <xdr:row>9</xdr:row>
          <xdr:rowOff>9525</xdr:rowOff>
        </xdr:from>
        <xdr:to>
          <xdr:col>2</xdr:col>
          <xdr:colOff>581025</xdr:colOff>
          <xdr:row>10</xdr:row>
          <xdr:rowOff>0</xdr:rowOff>
        </xdr:to>
        <xdr:sp macro="" textlink="">
          <xdr:nvSpPr>
            <xdr:cNvPr id="229429" name="Check Box 53" hidden="1">
              <a:extLst>
                <a:ext uri="{63B3BB69-23CF-44E3-9099-C40C66FF867C}">
                  <a14:compatExt spid="_x0000_s229429"/>
                </a:ext>
                <a:ext uri="{FF2B5EF4-FFF2-40B4-BE49-F238E27FC236}">
                  <a16:creationId xmlns:a16="http://schemas.microsoft.com/office/drawing/2014/main" id="{00000000-0008-0000-0700-00003580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381000</xdr:colOff>
          <xdr:row>6</xdr:row>
          <xdr:rowOff>0</xdr:rowOff>
        </xdr:from>
        <xdr:to>
          <xdr:col>8</xdr:col>
          <xdr:colOff>561975</xdr:colOff>
          <xdr:row>6</xdr:row>
          <xdr:rowOff>180975</xdr:rowOff>
        </xdr:to>
        <xdr:sp macro="" textlink="">
          <xdr:nvSpPr>
            <xdr:cNvPr id="229430" name="Check Box 54" hidden="1">
              <a:extLst>
                <a:ext uri="{63B3BB69-23CF-44E3-9099-C40C66FF867C}">
                  <a14:compatExt spid="_x0000_s229430"/>
                </a:ext>
                <a:ext uri="{FF2B5EF4-FFF2-40B4-BE49-F238E27FC236}">
                  <a16:creationId xmlns:a16="http://schemas.microsoft.com/office/drawing/2014/main" id="{00000000-0008-0000-0700-00003680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381000</xdr:colOff>
          <xdr:row>7</xdr:row>
          <xdr:rowOff>0</xdr:rowOff>
        </xdr:from>
        <xdr:to>
          <xdr:col>8</xdr:col>
          <xdr:colOff>561975</xdr:colOff>
          <xdr:row>7</xdr:row>
          <xdr:rowOff>180975</xdr:rowOff>
        </xdr:to>
        <xdr:sp macro="" textlink="">
          <xdr:nvSpPr>
            <xdr:cNvPr id="229431" name="Check Box 55" hidden="1">
              <a:extLst>
                <a:ext uri="{63B3BB69-23CF-44E3-9099-C40C66FF867C}">
                  <a14:compatExt spid="_x0000_s229431"/>
                </a:ext>
                <a:ext uri="{FF2B5EF4-FFF2-40B4-BE49-F238E27FC236}">
                  <a16:creationId xmlns:a16="http://schemas.microsoft.com/office/drawing/2014/main" id="{00000000-0008-0000-0700-00003780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381000</xdr:colOff>
          <xdr:row>8</xdr:row>
          <xdr:rowOff>0</xdr:rowOff>
        </xdr:from>
        <xdr:to>
          <xdr:col>8</xdr:col>
          <xdr:colOff>561975</xdr:colOff>
          <xdr:row>8</xdr:row>
          <xdr:rowOff>180975</xdr:rowOff>
        </xdr:to>
        <xdr:sp macro="" textlink="">
          <xdr:nvSpPr>
            <xdr:cNvPr id="229432" name="Check Box 56" hidden="1">
              <a:extLst>
                <a:ext uri="{63B3BB69-23CF-44E3-9099-C40C66FF867C}">
                  <a14:compatExt spid="_x0000_s229432"/>
                </a:ext>
                <a:ext uri="{FF2B5EF4-FFF2-40B4-BE49-F238E27FC236}">
                  <a16:creationId xmlns:a16="http://schemas.microsoft.com/office/drawing/2014/main" id="{00000000-0008-0000-0700-00003880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 editAs="oneCell">
    <xdr:from>
      <xdr:col>0</xdr:col>
      <xdr:colOff>99392</xdr:colOff>
      <xdr:row>1</xdr:row>
      <xdr:rowOff>41413</xdr:rowOff>
    </xdr:from>
    <xdr:to>
      <xdr:col>2</xdr:col>
      <xdr:colOff>121946</xdr:colOff>
      <xdr:row>2</xdr:row>
      <xdr:rowOff>273326</xdr:rowOff>
    </xdr:to>
    <xdr:pic>
      <xdr:nvPicPr>
        <xdr:cNvPr id="3" name="Imagen 2" descr="Imagen que contiene plato, alimentos, dibujo, estacionado&#10;&#10;Descripción generada automáticamente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392" y="289891"/>
          <a:ext cx="1529989" cy="588065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381000</xdr:colOff>
          <xdr:row>6</xdr:row>
          <xdr:rowOff>0</xdr:rowOff>
        </xdr:from>
        <xdr:to>
          <xdr:col>8</xdr:col>
          <xdr:colOff>561975</xdr:colOff>
          <xdr:row>6</xdr:row>
          <xdr:rowOff>180975</xdr:rowOff>
        </xdr:to>
        <xdr:sp macro="" textlink="">
          <xdr:nvSpPr>
            <xdr:cNvPr id="229435" name="Check Box 59" hidden="1">
              <a:extLst>
                <a:ext uri="{63B3BB69-23CF-44E3-9099-C40C66FF867C}">
                  <a14:compatExt spid="_x0000_s229435"/>
                </a:ext>
                <a:ext uri="{FF2B5EF4-FFF2-40B4-BE49-F238E27FC236}">
                  <a16:creationId xmlns:a16="http://schemas.microsoft.com/office/drawing/2014/main" id="{00000000-0008-0000-0700-00003B80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381000</xdr:colOff>
          <xdr:row>7</xdr:row>
          <xdr:rowOff>0</xdr:rowOff>
        </xdr:from>
        <xdr:to>
          <xdr:col>8</xdr:col>
          <xdr:colOff>561975</xdr:colOff>
          <xdr:row>7</xdr:row>
          <xdr:rowOff>180975</xdr:rowOff>
        </xdr:to>
        <xdr:sp macro="" textlink="">
          <xdr:nvSpPr>
            <xdr:cNvPr id="229436" name="Check Box 60" hidden="1">
              <a:extLst>
                <a:ext uri="{63B3BB69-23CF-44E3-9099-C40C66FF867C}">
                  <a14:compatExt spid="_x0000_s229436"/>
                </a:ext>
                <a:ext uri="{FF2B5EF4-FFF2-40B4-BE49-F238E27FC236}">
                  <a16:creationId xmlns:a16="http://schemas.microsoft.com/office/drawing/2014/main" id="{00000000-0008-0000-0700-00003C80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381000</xdr:colOff>
          <xdr:row>8</xdr:row>
          <xdr:rowOff>0</xdr:rowOff>
        </xdr:from>
        <xdr:to>
          <xdr:col>8</xdr:col>
          <xdr:colOff>561975</xdr:colOff>
          <xdr:row>8</xdr:row>
          <xdr:rowOff>180975</xdr:rowOff>
        </xdr:to>
        <xdr:sp macro="" textlink="">
          <xdr:nvSpPr>
            <xdr:cNvPr id="229437" name="Check Box 61" hidden="1">
              <a:extLst>
                <a:ext uri="{63B3BB69-23CF-44E3-9099-C40C66FF867C}">
                  <a14:compatExt spid="_x0000_s229437"/>
                </a:ext>
                <a:ext uri="{FF2B5EF4-FFF2-40B4-BE49-F238E27FC236}">
                  <a16:creationId xmlns:a16="http://schemas.microsoft.com/office/drawing/2014/main" id="{00000000-0008-0000-0700-00003D80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 editAs="oneCell">
    <xdr:from>
      <xdr:col>58</xdr:col>
      <xdr:colOff>0</xdr:colOff>
      <xdr:row>14</xdr:row>
      <xdr:rowOff>0</xdr:rowOff>
    </xdr:from>
    <xdr:to>
      <xdr:col>67</xdr:col>
      <xdr:colOff>666750</xdr:colOff>
      <xdr:row>35</xdr:row>
      <xdr:rowOff>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452800" y="3190875"/>
          <a:ext cx="7524750" cy="3619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324970</xdr:colOff>
      <xdr:row>11</xdr:row>
      <xdr:rowOff>44823</xdr:rowOff>
    </xdr:from>
    <xdr:to>
      <xdr:col>9</xdr:col>
      <xdr:colOff>20615</xdr:colOff>
      <xdr:row>31</xdr:row>
      <xdr:rowOff>41635</xdr:rowOff>
    </xdr:to>
    <xdr:pic>
      <xdr:nvPicPr>
        <xdr:cNvPr id="4" name="Imagen 1" descr="Un dibujo de un mapa&#10;&#10;Descripción generada automáticamente con confianza media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4778" y="2675188"/>
          <a:ext cx="4758549" cy="3455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1040852</xdr:colOff>
      <xdr:row>17</xdr:row>
      <xdr:rowOff>64761</xdr:rowOff>
    </xdr:from>
    <xdr:to>
      <xdr:col>1</xdr:col>
      <xdr:colOff>1242147</xdr:colOff>
      <xdr:row>18</xdr:row>
      <xdr:rowOff>90890</xdr:rowOff>
    </xdr:to>
    <xdr:sp macro="" textlink="">
      <xdr:nvSpPr>
        <xdr:cNvPr id="5" name="CuadroTexto 4">
          <a:extLst>
            <a:ext uri="{FF2B5EF4-FFF2-40B4-BE49-F238E27FC236}">
              <a16:creationId xmlns:a16="http://schemas.microsoft.com/office/drawing/2014/main" id="{00000000-0008-0000-0700-000005000000}"/>
            </a:ext>
          </a:extLst>
        </xdr:cNvPr>
        <xdr:cNvSpPr txBox="1"/>
      </xdr:nvSpPr>
      <xdr:spPr>
        <a:xfrm>
          <a:off x="1264970" y="3504967"/>
          <a:ext cx="201295" cy="194217"/>
        </a:xfrm>
        <a:prstGeom prst="rect">
          <a:avLst/>
        </a:prstGeom>
        <a:ln/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CO" sz="1100">
              <a:ln>
                <a:solidFill>
                  <a:schemeClr val="tx1"/>
                </a:solidFill>
              </a:ln>
            </a:rPr>
            <a:t>A</a:t>
          </a:r>
        </a:p>
      </xdr:txBody>
    </xdr:sp>
    <xdr:clientData/>
  </xdr:twoCellAnchor>
  <xdr:twoCellAnchor>
    <xdr:from>
      <xdr:col>1</xdr:col>
      <xdr:colOff>826592</xdr:colOff>
      <xdr:row>22</xdr:row>
      <xdr:rowOff>73168</xdr:rowOff>
    </xdr:from>
    <xdr:to>
      <xdr:col>1</xdr:col>
      <xdr:colOff>1017092</xdr:colOff>
      <xdr:row>23</xdr:row>
      <xdr:rowOff>103661</xdr:rowOff>
    </xdr:to>
    <xdr:sp macro="" textlink="">
      <xdr:nvSpPr>
        <xdr:cNvPr id="6" name="CuadroTexto 5">
          <a:extLst>
            <a:ext uri="{FF2B5EF4-FFF2-40B4-BE49-F238E27FC236}">
              <a16:creationId xmlns:a16="http://schemas.microsoft.com/office/drawing/2014/main" id="{00000000-0008-0000-0700-000006000000}"/>
            </a:ext>
          </a:extLst>
        </xdr:cNvPr>
        <xdr:cNvSpPr txBox="1"/>
      </xdr:nvSpPr>
      <xdr:spPr>
        <a:xfrm>
          <a:off x="1050710" y="4353815"/>
          <a:ext cx="190500" cy="198581"/>
        </a:xfrm>
        <a:prstGeom prst="rect">
          <a:avLst/>
        </a:prstGeom>
        <a:ln/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CO" sz="1100">
              <a:ln>
                <a:solidFill>
                  <a:schemeClr val="tx1"/>
                </a:solidFill>
              </a:ln>
            </a:rPr>
            <a:t>B</a:t>
          </a:r>
        </a:p>
      </xdr:txBody>
    </xdr:sp>
    <xdr:clientData/>
  </xdr:twoCellAnchor>
  <xdr:twoCellAnchor>
    <xdr:from>
      <xdr:col>7</xdr:col>
      <xdr:colOff>345989</xdr:colOff>
      <xdr:row>16</xdr:row>
      <xdr:rowOff>145901</xdr:rowOff>
    </xdr:from>
    <xdr:to>
      <xdr:col>8</xdr:col>
      <xdr:colOff>90153</xdr:colOff>
      <xdr:row>18</xdr:row>
      <xdr:rowOff>48942</xdr:rowOff>
    </xdr:to>
    <xdr:sp macro="" textlink="">
      <xdr:nvSpPr>
        <xdr:cNvPr id="7" name="CuadroTexto 6">
          <a:extLst>
            <a:ext uri="{FF2B5EF4-FFF2-40B4-BE49-F238E27FC236}">
              <a16:creationId xmlns:a16="http://schemas.microsoft.com/office/drawing/2014/main" id="{00000000-0008-0000-0700-000007000000}"/>
            </a:ext>
          </a:extLst>
        </xdr:cNvPr>
        <xdr:cNvSpPr txBox="1"/>
      </xdr:nvSpPr>
      <xdr:spPr>
        <a:xfrm>
          <a:off x="4492165" y="3418019"/>
          <a:ext cx="192400" cy="239217"/>
        </a:xfrm>
        <a:prstGeom prst="rect">
          <a:avLst/>
        </a:prstGeom>
        <a:ln/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CO" sz="1100">
              <a:ln>
                <a:solidFill>
                  <a:schemeClr val="tx1"/>
                </a:solidFill>
              </a:ln>
            </a:rPr>
            <a:t>C</a:t>
          </a:r>
        </a:p>
      </xdr:txBody>
    </xdr:sp>
    <xdr:clientData/>
  </xdr:twoCellAnchor>
  <xdr:twoCellAnchor>
    <xdr:from>
      <xdr:col>8</xdr:col>
      <xdr:colOff>41396</xdr:colOff>
      <xdr:row>22</xdr:row>
      <xdr:rowOff>13262</xdr:rowOff>
    </xdr:from>
    <xdr:to>
      <xdr:col>8</xdr:col>
      <xdr:colOff>259013</xdr:colOff>
      <xdr:row>23</xdr:row>
      <xdr:rowOff>77484</xdr:rowOff>
    </xdr:to>
    <xdr:sp macro="" textlink="">
      <xdr:nvSpPr>
        <xdr:cNvPr id="8" name="CuadroTexto 7">
          <a:extLst>
            <a:ext uri="{FF2B5EF4-FFF2-40B4-BE49-F238E27FC236}">
              <a16:creationId xmlns:a16="http://schemas.microsoft.com/office/drawing/2014/main" id="{00000000-0008-0000-0700-000008000000}"/>
            </a:ext>
          </a:extLst>
        </xdr:cNvPr>
        <xdr:cNvSpPr txBox="1"/>
      </xdr:nvSpPr>
      <xdr:spPr>
        <a:xfrm>
          <a:off x="4635808" y="4293909"/>
          <a:ext cx="217617" cy="232310"/>
        </a:xfrm>
        <a:prstGeom prst="rect">
          <a:avLst/>
        </a:prstGeom>
        <a:ln/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CO" sz="1100">
              <a:ln>
                <a:solidFill>
                  <a:schemeClr val="tx1"/>
                </a:solidFill>
              </a:ln>
            </a:rPr>
            <a:t>D</a:t>
          </a:r>
        </a:p>
      </xdr:txBody>
    </xdr:sp>
    <xdr:clientData/>
  </xdr:twoCellAnchor>
  <xdr:twoCellAnchor editAs="oneCell">
    <xdr:from>
      <xdr:col>9</xdr:col>
      <xdr:colOff>149578</xdr:colOff>
      <xdr:row>16</xdr:row>
      <xdr:rowOff>142216</xdr:rowOff>
    </xdr:from>
    <xdr:to>
      <xdr:col>11</xdr:col>
      <xdr:colOff>122928</xdr:colOff>
      <xdr:row>25</xdr:row>
      <xdr:rowOff>160754</xdr:rowOff>
    </xdr:to>
    <xdr:pic>
      <xdr:nvPicPr>
        <xdr:cNvPr id="10" name="Imagen 2" descr="Gráfico en cascada&#10;&#10;Descripción generada automáticamente">
          <a:extLst>
            <a:ext uri="{FF2B5EF4-FFF2-40B4-BE49-F238E27FC236}">
              <a16:creationId xmlns:a16="http://schemas.microsoft.com/office/drawing/2014/main" id="{00000000-0008-0000-07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49960" y="3414334"/>
          <a:ext cx="1368483" cy="153133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209550</xdr:colOff>
          <xdr:row>6</xdr:row>
          <xdr:rowOff>9525</xdr:rowOff>
        </xdr:from>
        <xdr:to>
          <xdr:col>3</xdr:col>
          <xdr:colOff>390525</xdr:colOff>
          <xdr:row>7</xdr:row>
          <xdr:rowOff>0</xdr:rowOff>
        </xdr:to>
        <xdr:sp macro="" textlink="">
          <xdr:nvSpPr>
            <xdr:cNvPr id="233473" name="Check Box 1" hidden="1">
              <a:extLst>
                <a:ext uri="{63B3BB69-23CF-44E3-9099-C40C66FF867C}">
                  <a14:compatExt spid="_x0000_s233473"/>
                </a:ext>
                <a:ext uri="{FF2B5EF4-FFF2-40B4-BE49-F238E27FC236}">
                  <a16:creationId xmlns:a16="http://schemas.microsoft.com/office/drawing/2014/main" id="{00000000-0008-0000-0800-00000190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209550</xdr:colOff>
          <xdr:row>7</xdr:row>
          <xdr:rowOff>9525</xdr:rowOff>
        </xdr:from>
        <xdr:to>
          <xdr:col>3</xdr:col>
          <xdr:colOff>390525</xdr:colOff>
          <xdr:row>8</xdr:row>
          <xdr:rowOff>0</xdr:rowOff>
        </xdr:to>
        <xdr:sp macro="" textlink="">
          <xdr:nvSpPr>
            <xdr:cNvPr id="233474" name="Check Box 2" hidden="1">
              <a:extLst>
                <a:ext uri="{63B3BB69-23CF-44E3-9099-C40C66FF867C}">
                  <a14:compatExt spid="_x0000_s233474"/>
                </a:ext>
                <a:ext uri="{FF2B5EF4-FFF2-40B4-BE49-F238E27FC236}">
                  <a16:creationId xmlns:a16="http://schemas.microsoft.com/office/drawing/2014/main" id="{00000000-0008-0000-0800-00000290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209550</xdr:colOff>
          <xdr:row>8</xdr:row>
          <xdr:rowOff>9525</xdr:rowOff>
        </xdr:from>
        <xdr:to>
          <xdr:col>3</xdr:col>
          <xdr:colOff>390525</xdr:colOff>
          <xdr:row>9</xdr:row>
          <xdr:rowOff>0</xdr:rowOff>
        </xdr:to>
        <xdr:sp macro="" textlink="">
          <xdr:nvSpPr>
            <xdr:cNvPr id="233475" name="Check Box 3" hidden="1">
              <a:extLst>
                <a:ext uri="{63B3BB69-23CF-44E3-9099-C40C66FF867C}">
                  <a14:compatExt spid="_x0000_s233475"/>
                </a:ext>
                <a:ext uri="{FF2B5EF4-FFF2-40B4-BE49-F238E27FC236}">
                  <a16:creationId xmlns:a16="http://schemas.microsoft.com/office/drawing/2014/main" id="{00000000-0008-0000-0800-00000390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209550</xdr:colOff>
          <xdr:row>9</xdr:row>
          <xdr:rowOff>9525</xdr:rowOff>
        </xdr:from>
        <xdr:to>
          <xdr:col>3</xdr:col>
          <xdr:colOff>390525</xdr:colOff>
          <xdr:row>10</xdr:row>
          <xdr:rowOff>0</xdr:rowOff>
        </xdr:to>
        <xdr:sp macro="" textlink="">
          <xdr:nvSpPr>
            <xdr:cNvPr id="233476" name="Check Box 4" hidden="1">
              <a:extLst>
                <a:ext uri="{63B3BB69-23CF-44E3-9099-C40C66FF867C}">
                  <a14:compatExt spid="_x0000_s233476"/>
                </a:ext>
                <a:ext uri="{FF2B5EF4-FFF2-40B4-BE49-F238E27FC236}">
                  <a16:creationId xmlns:a16="http://schemas.microsoft.com/office/drawing/2014/main" id="{00000000-0008-0000-0800-00000490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600075</xdr:colOff>
          <xdr:row>6</xdr:row>
          <xdr:rowOff>9525</xdr:rowOff>
        </xdr:from>
        <xdr:to>
          <xdr:col>10</xdr:col>
          <xdr:colOff>790575</xdr:colOff>
          <xdr:row>7</xdr:row>
          <xdr:rowOff>0</xdr:rowOff>
        </xdr:to>
        <xdr:sp macro="" textlink="">
          <xdr:nvSpPr>
            <xdr:cNvPr id="233477" name="Check Box 5" hidden="1">
              <a:extLst>
                <a:ext uri="{63B3BB69-23CF-44E3-9099-C40C66FF867C}">
                  <a14:compatExt spid="_x0000_s233477"/>
                </a:ext>
                <a:ext uri="{FF2B5EF4-FFF2-40B4-BE49-F238E27FC236}">
                  <a16:creationId xmlns:a16="http://schemas.microsoft.com/office/drawing/2014/main" id="{00000000-0008-0000-0800-00000590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600075</xdr:colOff>
          <xdr:row>7</xdr:row>
          <xdr:rowOff>9525</xdr:rowOff>
        </xdr:from>
        <xdr:to>
          <xdr:col>10</xdr:col>
          <xdr:colOff>790575</xdr:colOff>
          <xdr:row>8</xdr:row>
          <xdr:rowOff>0</xdr:rowOff>
        </xdr:to>
        <xdr:sp macro="" textlink="">
          <xdr:nvSpPr>
            <xdr:cNvPr id="233478" name="Check Box 6" hidden="1">
              <a:extLst>
                <a:ext uri="{63B3BB69-23CF-44E3-9099-C40C66FF867C}">
                  <a14:compatExt spid="_x0000_s233478"/>
                </a:ext>
                <a:ext uri="{FF2B5EF4-FFF2-40B4-BE49-F238E27FC236}">
                  <a16:creationId xmlns:a16="http://schemas.microsoft.com/office/drawing/2014/main" id="{00000000-0008-0000-0800-00000690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600075</xdr:colOff>
          <xdr:row>8</xdr:row>
          <xdr:rowOff>9525</xdr:rowOff>
        </xdr:from>
        <xdr:to>
          <xdr:col>10</xdr:col>
          <xdr:colOff>790575</xdr:colOff>
          <xdr:row>9</xdr:row>
          <xdr:rowOff>0</xdr:rowOff>
        </xdr:to>
        <xdr:sp macro="" textlink="">
          <xdr:nvSpPr>
            <xdr:cNvPr id="233479" name="Check Box 7" hidden="1">
              <a:extLst>
                <a:ext uri="{63B3BB69-23CF-44E3-9099-C40C66FF867C}">
                  <a14:compatExt spid="_x0000_s233479"/>
                </a:ext>
                <a:ext uri="{FF2B5EF4-FFF2-40B4-BE49-F238E27FC236}">
                  <a16:creationId xmlns:a16="http://schemas.microsoft.com/office/drawing/2014/main" id="{00000000-0008-0000-0800-00000790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 editAs="oneCell">
    <xdr:from>
      <xdr:col>0</xdr:col>
      <xdr:colOff>77529</xdr:colOff>
      <xdr:row>1</xdr:row>
      <xdr:rowOff>44302</xdr:rowOff>
    </xdr:from>
    <xdr:to>
      <xdr:col>2</xdr:col>
      <xdr:colOff>101239</xdr:colOff>
      <xdr:row>2</xdr:row>
      <xdr:rowOff>277949</xdr:rowOff>
    </xdr:to>
    <xdr:pic>
      <xdr:nvPicPr>
        <xdr:cNvPr id="3" name="Imagen 2" descr="Imagen que contiene plato, alimentos, dibujo, estacionado&#10;&#10;Descripción generada automáticamente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529" y="287965"/>
          <a:ext cx="1529989" cy="588065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600075</xdr:colOff>
          <xdr:row>6</xdr:row>
          <xdr:rowOff>9525</xdr:rowOff>
        </xdr:from>
        <xdr:to>
          <xdr:col>10</xdr:col>
          <xdr:colOff>790575</xdr:colOff>
          <xdr:row>7</xdr:row>
          <xdr:rowOff>0</xdr:rowOff>
        </xdr:to>
        <xdr:sp macro="" textlink="">
          <xdr:nvSpPr>
            <xdr:cNvPr id="233482" name="Check Box 10" hidden="1">
              <a:extLst>
                <a:ext uri="{63B3BB69-23CF-44E3-9099-C40C66FF867C}">
                  <a14:compatExt spid="_x0000_s233482"/>
                </a:ext>
                <a:ext uri="{FF2B5EF4-FFF2-40B4-BE49-F238E27FC236}">
                  <a16:creationId xmlns:a16="http://schemas.microsoft.com/office/drawing/2014/main" id="{00000000-0008-0000-0800-00000A90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600075</xdr:colOff>
          <xdr:row>7</xdr:row>
          <xdr:rowOff>9525</xdr:rowOff>
        </xdr:from>
        <xdr:to>
          <xdr:col>10</xdr:col>
          <xdr:colOff>790575</xdr:colOff>
          <xdr:row>8</xdr:row>
          <xdr:rowOff>0</xdr:rowOff>
        </xdr:to>
        <xdr:sp macro="" textlink="">
          <xdr:nvSpPr>
            <xdr:cNvPr id="233483" name="Check Box 11" hidden="1">
              <a:extLst>
                <a:ext uri="{63B3BB69-23CF-44E3-9099-C40C66FF867C}">
                  <a14:compatExt spid="_x0000_s233483"/>
                </a:ext>
                <a:ext uri="{FF2B5EF4-FFF2-40B4-BE49-F238E27FC236}">
                  <a16:creationId xmlns:a16="http://schemas.microsoft.com/office/drawing/2014/main" id="{00000000-0008-0000-0800-00000B90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600075</xdr:colOff>
          <xdr:row>8</xdr:row>
          <xdr:rowOff>9525</xdr:rowOff>
        </xdr:from>
        <xdr:to>
          <xdr:col>10</xdr:col>
          <xdr:colOff>790575</xdr:colOff>
          <xdr:row>9</xdr:row>
          <xdr:rowOff>0</xdr:rowOff>
        </xdr:to>
        <xdr:sp macro="" textlink="">
          <xdr:nvSpPr>
            <xdr:cNvPr id="233484" name="Check Box 12" hidden="1">
              <a:extLst>
                <a:ext uri="{63B3BB69-23CF-44E3-9099-C40C66FF867C}">
                  <a14:compatExt spid="_x0000_s233484"/>
                </a:ext>
                <a:ext uri="{FF2B5EF4-FFF2-40B4-BE49-F238E27FC236}">
                  <a16:creationId xmlns:a16="http://schemas.microsoft.com/office/drawing/2014/main" id="{00000000-0008-0000-0800-00000C90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10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209550</xdr:colOff>
          <xdr:row>6</xdr:row>
          <xdr:rowOff>9525</xdr:rowOff>
        </xdr:from>
        <xdr:to>
          <xdr:col>3</xdr:col>
          <xdr:colOff>390525</xdr:colOff>
          <xdr:row>7</xdr:row>
          <xdr:rowOff>0</xdr:rowOff>
        </xdr:to>
        <xdr:sp macro="" textlink="">
          <xdr:nvSpPr>
            <xdr:cNvPr id="249857" name="Check Box 1" hidden="1">
              <a:extLst>
                <a:ext uri="{63B3BB69-23CF-44E3-9099-C40C66FF867C}">
                  <a14:compatExt spid="_x0000_s249857"/>
                </a:ext>
                <a:ext uri="{FF2B5EF4-FFF2-40B4-BE49-F238E27FC236}">
                  <a16:creationId xmlns:a16="http://schemas.microsoft.com/office/drawing/2014/main" id="{00000000-0008-0000-0900-000001D0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209550</xdr:colOff>
          <xdr:row>7</xdr:row>
          <xdr:rowOff>9525</xdr:rowOff>
        </xdr:from>
        <xdr:to>
          <xdr:col>3</xdr:col>
          <xdr:colOff>390525</xdr:colOff>
          <xdr:row>8</xdr:row>
          <xdr:rowOff>0</xdr:rowOff>
        </xdr:to>
        <xdr:sp macro="" textlink="">
          <xdr:nvSpPr>
            <xdr:cNvPr id="249858" name="Check Box 2" hidden="1">
              <a:extLst>
                <a:ext uri="{63B3BB69-23CF-44E3-9099-C40C66FF867C}">
                  <a14:compatExt spid="_x0000_s249858"/>
                </a:ext>
                <a:ext uri="{FF2B5EF4-FFF2-40B4-BE49-F238E27FC236}">
                  <a16:creationId xmlns:a16="http://schemas.microsoft.com/office/drawing/2014/main" id="{00000000-0008-0000-0900-000002D0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209550</xdr:colOff>
          <xdr:row>8</xdr:row>
          <xdr:rowOff>9525</xdr:rowOff>
        </xdr:from>
        <xdr:to>
          <xdr:col>3</xdr:col>
          <xdr:colOff>390525</xdr:colOff>
          <xdr:row>9</xdr:row>
          <xdr:rowOff>0</xdr:rowOff>
        </xdr:to>
        <xdr:sp macro="" textlink="">
          <xdr:nvSpPr>
            <xdr:cNvPr id="249859" name="Check Box 3" hidden="1">
              <a:extLst>
                <a:ext uri="{63B3BB69-23CF-44E3-9099-C40C66FF867C}">
                  <a14:compatExt spid="_x0000_s249859"/>
                </a:ext>
                <a:ext uri="{FF2B5EF4-FFF2-40B4-BE49-F238E27FC236}">
                  <a16:creationId xmlns:a16="http://schemas.microsoft.com/office/drawing/2014/main" id="{00000000-0008-0000-0900-000003D0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209550</xdr:colOff>
          <xdr:row>9</xdr:row>
          <xdr:rowOff>9525</xdr:rowOff>
        </xdr:from>
        <xdr:to>
          <xdr:col>3</xdr:col>
          <xdr:colOff>390525</xdr:colOff>
          <xdr:row>10</xdr:row>
          <xdr:rowOff>0</xdr:rowOff>
        </xdr:to>
        <xdr:sp macro="" textlink="">
          <xdr:nvSpPr>
            <xdr:cNvPr id="249860" name="Check Box 4" hidden="1">
              <a:extLst>
                <a:ext uri="{63B3BB69-23CF-44E3-9099-C40C66FF867C}">
                  <a14:compatExt spid="_x0000_s249860"/>
                </a:ext>
                <a:ext uri="{FF2B5EF4-FFF2-40B4-BE49-F238E27FC236}">
                  <a16:creationId xmlns:a16="http://schemas.microsoft.com/office/drawing/2014/main" id="{00000000-0008-0000-0900-000004D0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600075</xdr:colOff>
          <xdr:row>6</xdr:row>
          <xdr:rowOff>9525</xdr:rowOff>
        </xdr:from>
        <xdr:to>
          <xdr:col>10</xdr:col>
          <xdr:colOff>790575</xdr:colOff>
          <xdr:row>7</xdr:row>
          <xdr:rowOff>0</xdr:rowOff>
        </xdr:to>
        <xdr:sp macro="" textlink="">
          <xdr:nvSpPr>
            <xdr:cNvPr id="249861" name="Check Box 5" hidden="1">
              <a:extLst>
                <a:ext uri="{63B3BB69-23CF-44E3-9099-C40C66FF867C}">
                  <a14:compatExt spid="_x0000_s249861"/>
                </a:ext>
                <a:ext uri="{FF2B5EF4-FFF2-40B4-BE49-F238E27FC236}">
                  <a16:creationId xmlns:a16="http://schemas.microsoft.com/office/drawing/2014/main" id="{00000000-0008-0000-0900-000005D0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600075</xdr:colOff>
          <xdr:row>7</xdr:row>
          <xdr:rowOff>9525</xdr:rowOff>
        </xdr:from>
        <xdr:to>
          <xdr:col>10</xdr:col>
          <xdr:colOff>790575</xdr:colOff>
          <xdr:row>8</xdr:row>
          <xdr:rowOff>0</xdr:rowOff>
        </xdr:to>
        <xdr:sp macro="" textlink="">
          <xdr:nvSpPr>
            <xdr:cNvPr id="249862" name="Check Box 6" hidden="1">
              <a:extLst>
                <a:ext uri="{63B3BB69-23CF-44E3-9099-C40C66FF867C}">
                  <a14:compatExt spid="_x0000_s249862"/>
                </a:ext>
                <a:ext uri="{FF2B5EF4-FFF2-40B4-BE49-F238E27FC236}">
                  <a16:creationId xmlns:a16="http://schemas.microsoft.com/office/drawing/2014/main" id="{00000000-0008-0000-0900-000006D0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600075</xdr:colOff>
          <xdr:row>8</xdr:row>
          <xdr:rowOff>9525</xdr:rowOff>
        </xdr:from>
        <xdr:to>
          <xdr:col>10</xdr:col>
          <xdr:colOff>790575</xdr:colOff>
          <xdr:row>9</xdr:row>
          <xdr:rowOff>0</xdr:rowOff>
        </xdr:to>
        <xdr:sp macro="" textlink="">
          <xdr:nvSpPr>
            <xdr:cNvPr id="249863" name="Check Box 7" hidden="1">
              <a:extLst>
                <a:ext uri="{63B3BB69-23CF-44E3-9099-C40C66FF867C}">
                  <a14:compatExt spid="_x0000_s249863"/>
                </a:ext>
                <a:ext uri="{FF2B5EF4-FFF2-40B4-BE49-F238E27FC236}">
                  <a16:creationId xmlns:a16="http://schemas.microsoft.com/office/drawing/2014/main" id="{00000000-0008-0000-0900-000007D0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 editAs="oneCell">
    <xdr:from>
      <xdr:col>0</xdr:col>
      <xdr:colOff>114300</xdr:colOff>
      <xdr:row>1</xdr:row>
      <xdr:rowOff>9525</xdr:rowOff>
    </xdr:from>
    <xdr:to>
      <xdr:col>2</xdr:col>
      <xdr:colOff>148864</xdr:colOff>
      <xdr:row>2</xdr:row>
      <xdr:rowOff>245165</xdr:rowOff>
    </xdr:to>
    <xdr:pic>
      <xdr:nvPicPr>
        <xdr:cNvPr id="2" name="Imagen 1" descr="Imagen que contiene plato, alimentos, dibujo, estacionado&#10;&#10;Descripción generada automáticamente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" y="257175"/>
          <a:ext cx="1529989" cy="588065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600075</xdr:colOff>
          <xdr:row>6</xdr:row>
          <xdr:rowOff>9525</xdr:rowOff>
        </xdr:from>
        <xdr:to>
          <xdr:col>10</xdr:col>
          <xdr:colOff>790575</xdr:colOff>
          <xdr:row>7</xdr:row>
          <xdr:rowOff>0</xdr:rowOff>
        </xdr:to>
        <xdr:sp macro="" textlink="">
          <xdr:nvSpPr>
            <xdr:cNvPr id="249865" name="Check Box 9" hidden="1">
              <a:extLst>
                <a:ext uri="{63B3BB69-23CF-44E3-9099-C40C66FF867C}">
                  <a14:compatExt spid="_x0000_s249865"/>
                </a:ext>
                <a:ext uri="{FF2B5EF4-FFF2-40B4-BE49-F238E27FC236}">
                  <a16:creationId xmlns:a16="http://schemas.microsoft.com/office/drawing/2014/main" id="{00000000-0008-0000-0900-000009D0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600075</xdr:colOff>
          <xdr:row>7</xdr:row>
          <xdr:rowOff>9525</xdr:rowOff>
        </xdr:from>
        <xdr:to>
          <xdr:col>10</xdr:col>
          <xdr:colOff>790575</xdr:colOff>
          <xdr:row>8</xdr:row>
          <xdr:rowOff>0</xdr:rowOff>
        </xdr:to>
        <xdr:sp macro="" textlink="">
          <xdr:nvSpPr>
            <xdr:cNvPr id="249866" name="Check Box 10" hidden="1">
              <a:extLst>
                <a:ext uri="{63B3BB69-23CF-44E3-9099-C40C66FF867C}">
                  <a14:compatExt spid="_x0000_s249866"/>
                </a:ext>
                <a:ext uri="{FF2B5EF4-FFF2-40B4-BE49-F238E27FC236}">
                  <a16:creationId xmlns:a16="http://schemas.microsoft.com/office/drawing/2014/main" id="{00000000-0008-0000-0900-00000AD0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600075</xdr:colOff>
          <xdr:row>8</xdr:row>
          <xdr:rowOff>9525</xdr:rowOff>
        </xdr:from>
        <xdr:to>
          <xdr:col>10</xdr:col>
          <xdr:colOff>790575</xdr:colOff>
          <xdr:row>9</xdr:row>
          <xdr:rowOff>0</xdr:rowOff>
        </xdr:to>
        <xdr:sp macro="" textlink="">
          <xdr:nvSpPr>
            <xdr:cNvPr id="249867" name="Check Box 11" hidden="1">
              <a:extLst>
                <a:ext uri="{63B3BB69-23CF-44E3-9099-C40C66FF867C}">
                  <a14:compatExt spid="_x0000_s249867"/>
                </a:ext>
                <a:ext uri="{FF2B5EF4-FFF2-40B4-BE49-F238E27FC236}">
                  <a16:creationId xmlns:a16="http://schemas.microsoft.com/office/drawing/2014/main" id="{00000000-0008-0000-0900-00000BD0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1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209550</xdr:colOff>
          <xdr:row>6</xdr:row>
          <xdr:rowOff>9525</xdr:rowOff>
        </xdr:from>
        <xdr:to>
          <xdr:col>3</xdr:col>
          <xdr:colOff>390525</xdr:colOff>
          <xdr:row>7</xdr:row>
          <xdr:rowOff>0</xdr:rowOff>
        </xdr:to>
        <xdr:sp macro="" textlink="">
          <xdr:nvSpPr>
            <xdr:cNvPr id="236545" name="Check Box 1" hidden="1">
              <a:extLst>
                <a:ext uri="{63B3BB69-23CF-44E3-9099-C40C66FF867C}">
                  <a14:compatExt spid="_x0000_s236545"/>
                </a:ext>
                <a:ext uri="{FF2B5EF4-FFF2-40B4-BE49-F238E27FC236}">
                  <a16:creationId xmlns:a16="http://schemas.microsoft.com/office/drawing/2014/main" id="{00000000-0008-0000-0A00-0000019C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209550</xdr:colOff>
          <xdr:row>7</xdr:row>
          <xdr:rowOff>9525</xdr:rowOff>
        </xdr:from>
        <xdr:to>
          <xdr:col>3</xdr:col>
          <xdr:colOff>390525</xdr:colOff>
          <xdr:row>8</xdr:row>
          <xdr:rowOff>0</xdr:rowOff>
        </xdr:to>
        <xdr:sp macro="" textlink="">
          <xdr:nvSpPr>
            <xdr:cNvPr id="236546" name="Check Box 2" hidden="1">
              <a:extLst>
                <a:ext uri="{63B3BB69-23CF-44E3-9099-C40C66FF867C}">
                  <a14:compatExt spid="_x0000_s236546"/>
                </a:ext>
                <a:ext uri="{FF2B5EF4-FFF2-40B4-BE49-F238E27FC236}">
                  <a16:creationId xmlns:a16="http://schemas.microsoft.com/office/drawing/2014/main" id="{00000000-0008-0000-0A00-0000029C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209550</xdr:colOff>
          <xdr:row>8</xdr:row>
          <xdr:rowOff>9525</xdr:rowOff>
        </xdr:from>
        <xdr:to>
          <xdr:col>3</xdr:col>
          <xdr:colOff>390525</xdr:colOff>
          <xdr:row>9</xdr:row>
          <xdr:rowOff>0</xdr:rowOff>
        </xdr:to>
        <xdr:sp macro="" textlink="">
          <xdr:nvSpPr>
            <xdr:cNvPr id="236547" name="Check Box 3" hidden="1">
              <a:extLst>
                <a:ext uri="{63B3BB69-23CF-44E3-9099-C40C66FF867C}">
                  <a14:compatExt spid="_x0000_s236547"/>
                </a:ext>
                <a:ext uri="{FF2B5EF4-FFF2-40B4-BE49-F238E27FC236}">
                  <a16:creationId xmlns:a16="http://schemas.microsoft.com/office/drawing/2014/main" id="{00000000-0008-0000-0A00-0000039C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209550</xdr:colOff>
          <xdr:row>9</xdr:row>
          <xdr:rowOff>9525</xdr:rowOff>
        </xdr:from>
        <xdr:to>
          <xdr:col>3</xdr:col>
          <xdr:colOff>390525</xdr:colOff>
          <xdr:row>10</xdr:row>
          <xdr:rowOff>0</xdr:rowOff>
        </xdr:to>
        <xdr:sp macro="" textlink="">
          <xdr:nvSpPr>
            <xdr:cNvPr id="236548" name="Check Box 4" hidden="1">
              <a:extLst>
                <a:ext uri="{63B3BB69-23CF-44E3-9099-C40C66FF867C}">
                  <a14:compatExt spid="_x0000_s236548"/>
                </a:ext>
                <a:ext uri="{FF2B5EF4-FFF2-40B4-BE49-F238E27FC236}">
                  <a16:creationId xmlns:a16="http://schemas.microsoft.com/office/drawing/2014/main" id="{00000000-0008-0000-0A00-0000049C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600075</xdr:colOff>
          <xdr:row>6</xdr:row>
          <xdr:rowOff>9525</xdr:rowOff>
        </xdr:from>
        <xdr:to>
          <xdr:col>10</xdr:col>
          <xdr:colOff>790575</xdr:colOff>
          <xdr:row>7</xdr:row>
          <xdr:rowOff>0</xdr:rowOff>
        </xdr:to>
        <xdr:sp macro="" textlink="">
          <xdr:nvSpPr>
            <xdr:cNvPr id="236549" name="Check Box 5" hidden="1">
              <a:extLst>
                <a:ext uri="{63B3BB69-23CF-44E3-9099-C40C66FF867C}">
                  <a14:compatExt spid="_x0000_s236549"/>
                </a:ext>
                <a:ext uri="{FF2B5EF4-FFF2-40B4-BE49-F238E27FC236}">
                  <a16:creationId xmlns:a16="http://schemas.microsoft.com/office/drawing/2014/main" id="{00000000-0008-0000-0A00-0000059C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600075</xdr:colOff>
          <xdr:row>7</xdr:row>
          <xdr:rowOff>9525</xdr:rowOff>
        </xdr:from>
        <xdr:to>
          <xdr:col>10</xdr:col>
          <xdr:colOff>790575</xdr:colOff>
          <xdr:row>8</xdr:row>
          <xdr:rowOff>0</xdr:rowOff>
        </xdr:to>
        <xdr:sp macro="" textlink="">
          <xdr:nvSpPr>
            <xdr:cNvPr id="236550" name="Check Box 6" hidden="1">
              <a:extLst>
                <a:ext uri="{63B3BB69-23CF-44E3-9099-C40C66FF867C}">
                  <a14:compatExt spid="_x0000_s236550"/>
                </a:ext>
                <a:ext uri="{FF2B5EF4-FFF2-40B4-BE49-F238E27FC236}">
                  <a16:creationId xmlns:a16="http://schemas.microsoft.com/office/drawing/2014/main" id="{00000000-0008-0000-0A00-0000069C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600075</xdr:colOff>
          <xdr:row>8</xdr:row>
          <xdr:rowOff>9525</xdr:rowOff>
        </xdr:from>
        <xdr:to>
          <xdr:col>10</xdr:col>
          <xdr:colOff>790575</xdr:colOff>
          <xdr:row>9</xdr:row>
          <xdr:rowOff>0</xdr:rowOff>
        </xdr:to>
        <xdr:sp macro="" textlink="">
          <xdr:nvSpPr>
            <xdr:cNvPr id="236551" name="Check Box 7" hidden="1">
              <a:extLst>
                <a:ext uri="{63B3BB69-23CF-44E3-9099-C40C66FF867C}">
                  <a14:compatExt spid="_x0000_s236551"/>
                </a:ext>
                <a:ext uri="{FF2B5EF4-FFF2-40B4-BE49-F238E27FC236}">
                  <a16:creationId xmlns:a16="http://schemas.microsoft.com/office/drawing/2014/main" id="{00000000-0008-0000-0A00-0000079C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 editAs="oneCell">
    <xdr:from>
      <xdr:col>0</xdr:col>
      <xdr:colOff>104775</xdr:colOff>
      <xdr:row>1</xdr:row>
      <xdr:rowOff>0</xdr:rowOff>
    </xdr:from>
    <xdr:to>
      <xdr:col>2</xdr:col>
      <xdr:colOff>139339</xdr:colOff>
      <xdr:row>2</xdr:row>
      <xdr:rowOff>235640</xdr:rowOff>
    </xdr:to>
    <xdr:pic>
      <xdr:nvPicPr>
        <xdr:cNvPr id="3" name="Imagen 2" descr="Imagen que contiene plato, alimentos, dibujo, estacionado&#10;&#10;Descripción generada automáticamente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775" y="247650"/>
          <a:ext cx="1529989" cy="588065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600075</xdr:colOff>
          <xdr:row>6</xdr:row>
          <xdr:rowOff>9525</xdr:rowOff>
        </xdr:from>
        <xdr:to>
          <xdr:col>10</xdr:col>
          <xdr:colOff>790575</xdr:colOff>
          <xdr:row>7</xdr:row>
          <xdr:rowOff>0</xdr:rowOff>
        </xdr:to>
        <xdr:sp macro="" textlink="">
          <xdr:nvSpPr>
            <xdr:cNvPr id="236553" name="Check Box 9" hidden="1">
              <a:extLst>
                <a:ext uri="{63B3BB69-23CF-44E3-9099-C40C66FF867C}">
                  <a14:compatExt spid="_x0000_s236553"/>
                </a:ext>
                <a:ext uri="{FF2B5EF4-FFF2-40B4-BE49-F238E27FC236}">
                  <a16:creationId xmlns:a16="http://schemas.microsoft.com/office/drawing/2014/main" id="{00000000-0008-0000-0A00-0000099C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600075</xdr:colOff>
          <xdr:row>7</xdr:row>
          <xdr:rowOff>9525</xdr:rowOff>
        </xdr:from>
        <xdr:to>
          <xdr:col>10</xdr:col>
          <xdr:colOff>790575</xdr:colOff>
          <xdr:row>8</xdr:row>
          <xdr:rowOff>0</xdr:rowOff>
        </xdr:to>
        <xdr:sp macro="" textlink="">
          <xdr:nvSpPr>
            <xdr:cNvPr id="236554" name="Check Box 10" hidden="1">
              <a:extLst>
                <a:ext uri="{63B3BB69-23CF-44E3-9099-C40C66FF867C}">
                  <a14:compatExt spid="_x0000_s236554"/>
                </a:ext>
                <a:ext uri="{FF2B5EF4-FFF2-40B4-BE49-F238E27FC236}">
                  <a16:creationId xmlns:a16="http://schemas.microsoft.com/office/drawing/2014/main" id="{00000000-0008-0000-0A00-00000A9C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600075</xdr:colOff>
          <xdr:row>8</xdr:row>
          <xdr:rowOff>9525</xdr:rowOff>
        </xdr:from>
        <xdr:to>
          <xdr:col>10</xdr:col>
          <xdr:colOff>790575</xdr:colOff>
          <xdr:row>9</xdr:row>
          <xdr:rowOff>0</xdr:rowOff>
        </xdr:to>
        <xdr:sp macro="" textlink="">
          <xdr:nvSpPr>
            <xdr:cNvPr id="236555" name="Check Box 11" hidden="1">
              <a:extLst>
                <a:ext uri="{63B3BB69-23CF-44E3-9099-C40C66FF867C}">
                  <a14:compatExt spid="_x0000_s236555"/>
                </a:ext>
                <a:ext uri="{FF2B5EF4-FFF2-40B4-BE49-F238E27FC236}">
                  <a16:creationId xmlns:a16="http://schemas.microsoft.com/office/drawing/2014/main" id="{00000000-0008-0000-0A00-00000B9C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 editAs="oneCell">
    <xdr:from>
      <xdr:col>58</xdr:col>
      <xdr:colOff>0</xdr:colOff>
      <xdr:row>14</xdr:row>
      <xdr:rowOff>0</xdr:rowOff>
    </xdr:from>
    <xdr:to>
      <xdr:col>67</xdr:col>
      <xdr:colOff>666750</xdr:colOff>
      <xdr:row>34</xdr:row>
      <xdr:rowOff>95250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052750" y="3190875"/>
          <a:ext cx="7524750" cy="3619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2065020</xdr:colOff>
      <xdr:row>22</xdr:row>
      <xdr:rowOff>144780</xdr:rowOff>
    </xdr:from>
    <xdr:to>
      <xdr:col>0</xdr:col>
      <xdr:colOff>2143125</xdr:colOff>
      <xdr:row>24</xdr:row>
      <xdr:rowOff>22859</xdr:rowOff>
    </xdr:to>
    <xdr:sp macro="" textlink="">
      <xdr:nvSpPr>
        <xdr:cNvPr id="209229" name="Text Box 1">
          <a:extLst>
            <a:ext uri="{FF2B5EF4-FFF2-40B4-BE49-F238E27FC236}">
              <a16:creationId xmlns:a16="http://schemas.microsoft.com/office/drawing/2014/main" id="{00000000-0008-0000-0E00-00004D310300}"/>
            </a:ext>
          </a:extLst>
        </xdr:cNvPr>
        <xdr:cNvSpPr txBox="1">
          <a:spLocks noChangeArrowheads="1"/>
        </xdr:cNvSpPr>
      </xdr:nvSpPr>
      <xdr:spPr bwMode="auto">
        <a:xfrm>
          <a:off x="2065020" y="3832860"/>
          <a:ext cx="83820" cy="2133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jgomez\Documents\PC%20JSG\02.%20BMW\Excel\09.%20DESPACHO%20SEPTIEMBRE\0923200400.xlsx" TargetMode="External"/><Relationship Id="rId1" Type="http://schemas.openxmlformats.org/officeDocument/2006/relationships/externalLinkPath" Target="/Users/jgomez/Documents/PC%20JSG/02.%20BMW/Excel/09.%20DESPACHO%20SEPTIEMBRE/092320040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ATOS"/>
      <sheetName val="TERMO"/>
      <sheetName val="DISTORSION"/>
      <sheetName val="DOBLE IMAGEN"/>
      <sheetName val="ACCESSORIES"/>
      <sheetName val="BN"/>
      <sheetName val="SERIGRAFIA"/>
      <sheetName val="TNT"/>
      <sheetName val="PC"/>
      <sheetName val="TORKER"/>
      <sheetName val="STICKER ADUANA"/>
      <sheetName val="Lista Defeitos"/>
      <sheetName val="VARIABLES"/>
      <sheetName val="POSICIONES"/>
      <sheetName val="parametros"/>
    </sheetNames>
    <sheetDataSet>
      <sheetData sheetId="0">
        <row r="7">
          <cell r="E7" t="str">
            <v>BENTELER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Elber Vasquez" id="{A6B1B80C-3D04-4E4D-AE2C-2C3A15EE1C1B}" userId="S-1-5-21-1042139306-1338496682-969212184-14389" providerId="AD"/>
  <person displayName="Lina Tovar Bermudez" id="{EA7C790B-C8CE-48E7-A960-D351C524536D}" userId="S::ltovar@agpglass.com::27c3f586-05c4-410d-8473-73388aaa4a51" providerId="AD"/>
  <person displayName="Elber Vasquez" id="{DFB80E5C-8A1E-4419-B5E4-80A84F92D14D}" userId="S::evasquez@agpglass.com::7f2cd546-2552-4dd0-9d58-69ac778954db" providerId="AD"/>
</personList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7" dT="2023-11-29T14:43:00.25" personId="{EA7C790B-C8CE-48E7-A960-D351C524536D}" id="{525BF156-5564-49AD-84BF-8F00BD68B04E}">
    <text>Traer de SAP</text>
  </threadedComment>
  <threadedComment ref="AE7" dT="2023-11-29T14:41:33.90" personId="{EA7C790B-C8CE-48E7-A960-D351C524536D}" id="{A57F0B58-B0BA-43A9-AEF1-902C63764605}">
    <text>Traer de SAP</text>
  </threadedComment>
  <threadedComment ref="AR7" dT="2023-11-29T14:40:25.55" personId="{EA7C790B-C8CE-48E7-A960-D351C524536D}" id="{DA4FFC63-4874-49E3-824A-F180980FA8A7}">
    <text>Traer de SAP</text>
  </threadedComment>
  <threadedComment ref="E8" dT="2023-11-29T14:43:38.72" personId="{EA7C790B-C8CE-48E7-A960-D351C524536D}" id="{883CB1AA-BE4F-4EEF-916B-67C588C7F61F}">
    <text>Traer de SAP</text>
  </threadedComment>
  <threadedComment ref="AE8" dT="2023-11-29T14:41:45.61" personId="{EA7C790B-C8CE-48E7-A960-D351C524536D}" id="{8298787D-E719-48D3-B286-15AED031DD92}">
    <text>Traer de SAP</text>
  </threadedComment>
  <threadedComment ref="AR8" dT="2023-11-29T14:40:33.28" personId="{EA7C790B-C8CE-48E7-A960-D351C524536D}" id="{6FBDC7AE-92E2-48E2-82C8-23ABFAB983F7}">
    <text>Traer de sap</text>
  </threadedComment>
  <threadedComment ref="E9" dT="2023-11-29T14:43:38.72" personId="{EA7C790B-C8CE-48E7-A960-D351C524536D}" id="{5AF988A6-57AC-411B-8013-8D43C796FD01}">
    <text>Traer de SAP</text>
  </threadedComment>
  <threadedComment ref="AR9" dT="2023-11-29T14:40:48.45" personId="{EA7C790B-C8CE-48E7-A960-D351C524536D}" id="{22E98CE0-AEF8-4756-BAC1-2535CF3C2CCC}">
    <text xml:space="preserve">Traer de GORDON
</text>
  </threadedComment>
  <threadedComment ref="B11" dT="2024-01-04T19:19:42.18" personId="{A6B1B80C-3D04-4E4D-AE2C-2C3A15EE1C1B}" id="{1C2ADDC1-DC53-4B67-8F7E-94FCF707A4E9}">
    <text xml:space="preserve">Colocar la imagen en la celda J14
</text>
  </threadedComment>
  <threadedComment ref="AR49" dT="2024-01-04T19:12:38.46" personId="{A6B1B80C-3D04-4E4D-AE2C-2C3A15EE1C1B}" id="{1D323E19-D5B9-4CE6-945E-A95AA8B42D89}">
    <text>Cambiar el Dt y poner IT</text>
  </threadedComment>
  <threadedComment ref="K63" dT="2024-01-04T19:07:12.20" personId="{A6B1B80C-3D04-4E4D-AE2C-2C3A15EE1C1B}" id="{BEE125A6-9B1C-4BEA-BF6C-463A22EB5C3E}">
    <text xml:space="preserve">Poner X </text>
  </threadedComment>
  <threadedComment ref="K63" dT="2024-01-29T17:06:40.97" personId="{DFB80E5C-8A1E-4419-B5E4-80A84F92D14D}" id="{D9D3144F-14F8-418C-B675-985179FF8891}" parentId="{BEE125A6-9B1C-4BEA-BF6C-463A22EB5C3E}">
    <text>ID 322</text>
  </threadedComment>
  <threadedComment ref="AL63" dT="2024-01-04T19:11:41.39" personId="{A6B1B80C-3D04-4E4D-AE2C-2C3A15EE1C1B}" id="{8A4A1073-28C5-43B1-B329-05445F7B6C62}">
    <text>Poner X</text>
  </threadedComment>
  <threadedComment ref="K67" dT="2024-01-04T19:06:51.16" personId="{A6B1B80C-3D04-4E4D-AE2C-2C3A15EE1C1B}" id="{BEC35A51-3949-46A4-BB8A-76C23C6D724C}">
    <text>Pasar la info de Sap y un ¨+Promedio de los espesores ¨</text>
  </threadedComment>
  <threadedComment ref="K67" dT="2024-01-29T17:09:28.14" personId="{DFB80E5C-8A1E-4419-B5E4-80A84F92D14D}" id="{77AED81A-4943-4FFA-8E0B-DA04ADE4EC12}" parentId="{BEC35A51-3949-46A4-BB8A-76C23C6D724C}">
    <text xml:space="preserve">ID 297 </text>
  </threadedComment>
  <threadedComment ref="N83" dT="2023-11-29T14:44:44.35" personId="{EA7C790B-C8CE-48E7-A960-D351C524536D}" id="{B407E35D-DF81-4883-A34E-C7E9A4E2743F}">
    <text xml:space="preserve">NOMBRE INSPECTOR QUE GENERA CERTIFICADO </text>
  </threadedComment>
  <threadedComment ref="AS84" dT="2024-01-04T19:04:26.78" personId="{A6B1B80C-3D04-4E4D-AE2C-2C3A15EE1C1B}" id="{8866DAFD-E6E7-473B-B1DA-7C6B79B9A2E7}">
    <text xml:space="preserve">Combinar las celdas AS ; AT ; AU y poner la fecha  </text>
  </threadedComment>
  <threadedComment ref="AV86" dT="2024-01-04T19:22:45.26" personId="{A6B1B80C-3D04-4E4D-AE2C-2C3A15EE1C1B}" id="{17455E46-8131-4942-884F-14D739E6F39C}">
    <text>Ajustar el tema de  pagina  a 11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M4" dT="2024-01-04T19:36:01.64" personId="{A6B1B80C-3D04-4E4D-AE2C-2C3A15EE1C1B}" id="{EEABE908-BC67-494E-9FAF-AF1B2AAF9A73}">
    <text xml:space="preserve">Vincular la fecha a  "=DATOS!AS84" </text>
  </threadedComment>
  <threadedComment ref="M18" dT="2023-11-30T22:58:52.66" personId="{EA7C790B-C8CE-48E7-A960-D351C524536D}" id="{5ABB52E6-1E93-47E4-BE54-3732A0CFF979}">
    <text>NUEVO DATO, PONER PARAMETRO DE GORDON 726</text>
  </threadedComment>
  <threadedComment ref="B20" dT="2024-01-04T19:29:24.16" personId="{A6B1B80C-3D04-4E4D-AE2C-2C3A15EE1C1B}" id="{4A3F4F91-AED1-4BA6-99B7-4DDF079A2557}">
    <text xml:space="preserve">Poner imagen en celda B21
</text>
  </threadedComment>
  <threadedComment ref="B20" dT="2024-01-29T17:14:28.52" personId="{DFB80E5C-8A1E-4419-B5E4-80A84F92D14D}" id="{8673FEB1-C08D-4292-A723-5C565CAF5805}" parentId="{4A3F4F91-AED1-4BA6-99B7-4DDF079A2557}">
    <text xml:space="preserve">ID 329 </text>
  </threadedComment>
  <threadedComment ref="E20" dT="2024-01-04T19:30:24.47" personId="{A6B1B80C-3D04-4E4D-AE2C-2C3A15EE1C1B}" id="{7D2E42AE-0CBC-49C6-ABF8-AD79B28FE1C6}">
    <text xml:space="preserve">Parametro de gordon , colocar imagen en la celda F21 </text>
  </threadedComment>
  <threadedComment ref="E20" dT="2024-01-29T17:14:43.37" personId="{DFB80E5C-8A1E-4419-B5E4-80A84F92D14D}" id="{0289B935-ECC1-4E5C-8BDD-132BCB759257}" parentId="{7D2E42AE-0CBC-49C6-ABF8-AD79B28FE1C6}">
    <text xml:space="preserve">ID 330 </text>
  </threadedComment>
  <threadedComment ref="L20" dT="2024-01-04T19:31:58.55" personId="{A6B1B80C-3D04-4E4D-AE2C-2C3A15EE1C1B}" id="{68727FB5-5D41-4DE5-8F98-117E8B812B11}">
    <text xml:space="preserve">Parametro gordon 369 , Colocar imagen en la celda  M21  </text>
  </threadedComment>
  <threadedComment ref="B34" dT="2024-01-04T19:32:28.04" personId="{A6B1B80C-3D04-4E4D-AE2C-2C3A15EE1C1B}" id="{422FFF4E-9287-415C-A4C8-74C8F1377951}">
    <text>Colocar imagen celda B34</text>
  </threadedComment>
  <threadedComment ref="E34" dT="2024-01-04T19:32:47.79" personId="{A6B1B80C-3D04-4E4D-AE2C-2C3A15EE1C1B}" id="{3B6BFCD7-6FA1-456C-BC3C-FCF110F94B80}">
    <text>Colocar imagen en la celda F 34</text>
  </threadedComment>
  <threadedComment ref="L34" dT="2024-01-04T19:33:05.38" personId="{A6B1B80C-3D04-4E4D-AE2C-2C3A15EE1C1B}" id="{F963049A-B2C9-4351-8480-128D17140A3D}">
    <text>Colocar imagen en la celda L34</text>
  </threadedComment>
  <threadedComment ref="F38" dT="2023-11-29T14:52:36.12" personId="{EA7C790B-C8CE-48E7-A960-D351C524536D}" id="{C3AA824A-643D-4C6F-A278-7EF4E5CB7E23}">
    <text>Traer nombre inspector de gordon</text>
  </threadedComment>
  <threadedComment ref="N42" dT="2024-01-04T19:33:31.56" personId="{A6B1B80C-3D04-4E4D-AE2C-2C3A15EE1C1B}" id="{EF97E2BC-673A-4293-A1D0-C94D703410CD}">
    <text>Colocar el rango hasta 11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H6" dT="2024-01-04T19:36:33.64" personId="{A6B1B80C-3D04-4E4D-AE2C-2C3A15EE1C1B}" id="{5BCBDD42-751A-4634-9823-976B3A3F5BC4}">
    <text>Vincular la fecha a  "=DATOS!AS84"</text>
  </threadedComment>
  <threadedComment ref="B25" dT="2024-01-04T19:42:04.35" personId="{A6B1B80C-3D04-4E4D-AE2C-2C3A15EE1C1B}" id="{46CC3FE2-3FE3-4E44-ACED-D029DD86F20D}">
    <text>Ocultar las filas desde la 26 hasta la 37</text>
  </threadedComment>
  <threadedComment ref="B41" dT="2024-01-04T19:43:09.72" personId="{A6B1B80C-3D04-4E4D-AE2C-2C3A15EE1C1B}" id="{D59A924B-C446-4C76-A8DF-94BB66AED466}">
    <text>Centrar imagen en la celda B42</text>
  </threadedComment>
  <threadedComment ref="E41" dT="2024-01-04T19:44:00.60" personId="{A6B1B80C-3D04-4E4D-AE2C-2C3A15EE1C1B}" id="{BDFDB8F0-322B-4CAA-B650-9C19617843CA}">
    <text>Traer la imagen de Gordon "Distorsión sin cebra " y Centrar imagen  en la celda E42</text>
  </threadedComment>
  <threadedComment ref="E41" dT="2024-01-29T19:20:36.06" personId="{DFB80E5C-8A1E-4419-B5E4-80A84F92D14D}" id="{DA09A710-7C2C-42D3-9623-EBCBB5B0DC19}" parentId="{BDFDB8F0-322B-4CAA-B650-9C19617843CA}">
    <text xml:space="preserve">ID 269
</text>
  </threadedComment>
  <threadedComment ref="G41" dT="2024-01-04T19:44:19.96" personId="{A6B1B80C-3D04-4E4D-AE2C-2C3A15EE1C1B}" id="{EBA6F145-8A1A-4D86-8B6D-0B2686F7DE4C}">
    <text>Centrar imagen  en la celda G42</text>
  </threadedComment>
  <threadedComment ref="B52" dT="2024-01-04T19:44:44.77" personId="{A6B1B80C-3D04-4E4D-AE2C-2C3A15EE1C1B}" id="{4F9DAA5F-47C4-4FCC-B8DF-D78FDA1FE0C3}">
    <text xml:space="preserve">Centrar imagen  en la celda B53
</text>
  </threadedComment>
  <threadedComment ref="E52" dT="2024-01-04T19:45:19.22" personId="{A6B1B80C-3D04-4E4D-AE2C-2C3A15EE1C1B}" id="{79392F61-AC3E-4A15-932C-9AD173C2139C}">
    <text>Traer la imagen de Gordon "Foto de distorsión con paisaje "y centrar imagen  en la celda E53</text>
  </threadedComment>
  <threadedComment ref="E52" dT="2024-01-29T19:20:23.77" personId="{DFB80E5C-8A1E-4419-B5E4-80A84F92D14D}" id="{27A74157-2523-4ACC-ABD9-1E0AA0CDB3E1}" parentId="{79392F61-AC3E-4A15-932C-9AD173C2139C}">
    <text xml:space="preserve">ID  365
</text>
  </threadedComment>
  <threadedComment ref="G52" dT="2024-01-04T19:45:40.05" personId="{A6B1B80C-3D04-4E4D-AE2C-2C3A15EE1C1B}" id="{B04B031D-9DE0-4737-8669-DE424B653309}">
    <text>Centrar imagen  en la celda G53</text>
  </threadedComment>
  <threadedComment ref="E66" dT="2023-11-29T14:53:30.95" personId="{EA7C790B-C8CE-48E7-A960-D351C524536D}" id="{09877ADC-E117-4A3E-991F-1D5EE4F8931D}">
    <text>Traer nombre inspector gordon</text>
  </threadedComment>
  <threadedComment ref="H69" dT="2024-01-04T19:46:20.21" personId="{A6B1B80C-3D04-4E4D-AE2C-2C3A15EE1C1B}" id="{017C7FE8-4885-4C36-9B4D-16B69A84B609}">
    <text>Revisar que sea hasta 11</text>
  </threadedComment>
</ThreadedComments>
</file>

<file path=xl/threadedComments/threadedComment4.xml><?xml version="1.0" encoding="utf-8"?>
<ThreadedComments xmlns="http://schemas.microsoft.com/office/spreadsheetml/2018/threadedcomments" xmlns:x="http://schemas.openxmlformats.org/spreadsheetml/2006/main">
  <threadedComment ref="G6" dT="2024-01-04T19:36:47.66" personId="{A6B1B80C-3D04-4E4D-AE2C-2C3A15EE1C1B}" id="{DA7C0314-2F99-4D6A-A387-2ABB14D75F40}">
    <text>Vincular la fecha a  "=DATOS!AS84"</text>
  </threadedComment>
  <threadedComment ref="D26" dT="2024-01-04T19:47:00.44" personId="{A6B1B80C-3D04-4E4D-AE2C-2C3A15EE1C1B}" id="{84609E7F-19D3-4362-A4E1-446EAA3C31A3}">
    <text>Centrar imagen  en la celda D27</text>
  </threadedComment>
  <threadedComment ref="D40" dT="2023-11-29T14:53:30.95" personId="{EA7C790B-C8CE-48E7-A960-D351C524536D}" id="{C8F3FC1A-6172-4762-B4CD-E8128192535B}">
    <text>Traer nombre inspector gordon</text>
  </threadedComment>
  <threadedComment ref="G44" dT="2024-01-04T19:47:31.86" personId="{A6B1B80C-3D04-4E4D-AE2C-2C3A15EE1C1B}" id="{293F4416-0E41-4E45-9DE7-887404D732AE}">
    <text>Revisar que sea hasta 11</text>
  </threadedComment>
</ThreadedComments>
</file>

<file path=xl/threadedComments/threadedComment5.xml><?xml version="1.0" encoding="utf-8"?>
<ThreadedComments xmlns="http://schemas.microsoft.com/office/spreadsheetml/2018/threadedcomments" xmlns:x="http://schemas.openxmlformats.org/spreadsheetml/2006/main">
  <threadedComment ref="M4" dT="2024-01-04T19:37:01.31" personId="{A6B1B80C-3D04-4E4D-AE2C-2C3A15EE1C1B}" id="{A95AFC13-282D-46CB-AC43-2C33EE167C1F}">
    <text>Vincular la fecha a  "=DATOS!AS84"</text>
  </threadedComment>
  <threadedComment ref="B15" dT="2024-01-04T19:48:47.77" personId="{A6B1B80C-3D04-4E4D-AE2C-2C3A15EE1C1B}" id="{F4B1C23E-FFD6-4391-A505-A3FF6284C0AA}">
    <text xml:space="preserve">Ajustar imagen en celda B15  </text>
  </threadedComment>
  <threadedComment ref="D15" dT="2024-01-04T19:49:15.41" personId="{A6B1B80C-3D04-4E4D-AE2C-2C3A15EE1C1B}" id="{DE5A6B02-6C62-48AC-A92F-6AF294249EDD}">
    <text xml:space="preserve">Ajustar imagen en celda E15  </text>
  </threadedComment>
  <threadedComment ref="I15" dT="2024-01-04T19:49:21.30" personId="{A6B1B80C-3D04-4E4D-AE2C-2C3A15EE1C1B}" id="{8CA18744-234A-49AE-BB19-CD2F8CD686F7}">
    <text xml:space="preserve">Ajustar imagen en celda J15  </text>
  </threadedComment>
  <threadedComment ref="M15" dT="2024-01-04T19:49:29.37" personId="{A6B1B80C-3D04-4E4D-AE2C-2C3A15EE1C1B}" id="{2E1CB8E2-EAF7-40A4-BCD9-55C9E849DD51}">
    <text xml:space="preserve">Ajustar imagen en celda M15  
</text>
  </threadedComment>
  <threadedComment ref="C27" dT="2024-01-04T19:55:10.48" personId="{A6B1B80C-3D04-4E4D-AE2C-2C3A15EE1C1B}" id="{57552779-C27C-4C60-9B90-90BD9FEE79E9}">
    <text>Ajustar imagen a celda C27</text>
  </threadedComment>
  <threadedComment ref="G27" dT="2024-01-04T19:55:33.27" personId="{A6B1B80C-3D04-4E4D-AE2C-2C3A15EE1C1B}" id="{FC38A818-04C9-438A-800A-2E961E782874}">
    <text>Ajustar imagen a celda H27</text>
  </threadedComment>
  <threadedComment ref="L27" dT="2024-01-04T19:55:48.47" personId="{A6B1B80C-3D04-4E4D-AE2C-2C3A15EE1C1B}" id="{F7E8CCBA-FED2-4DAB-88E0-3E5BF123649F}">
    <text>Ajustar imagen a celda L27</text>
  </threadedComment>
  <threadedComment ref="D32" dT="2024-01-04T19:58:44.62" personId="{A6B1B80C-3D04-4E4D-AE2C-2C3A15EE1C1B}" id="{3062B805-AD28-4F99-A016-A5E7A769AEF2}">
    <text>Traer imagen de gordon "
Soporte de camara"</text>
  </threadedComment>
  <threadedComment ref="D32" dT="2024-01-29T19:19:32.10" personId="{DFB80E5C-8A1E-4419-B5E4-80A84F92D14D}" id="{60D146B3-0D12-436A-B645-6CAA8F9445D9}" parentId="{3062B805-AD28-4F99-A016-A5E7A769AEF2}">
    <text xml:space="preserve">ID 703
</text>
  </threadedComment>
  <threadedComment ref="I32" dT="2023-12-01T16:52:21.45" personId="{EA7C790B-C8CE-48E7-A960-D351C524536D}" id="{D65E6004-8491-4115-B992-1ECF70C2F50A}">
    <text>Parámetro 701</text>
  </threadedComment>
  <threadedComment ref="M32" dT="2023-12-01T16:52:42.05" personId="{EA7C790B-C8CE-48E7-A960-D351C524536D}" id="{2AE0B57A-9399-479B-9720-D3BF6447AE82}">
    <text>Parámetro 725</text>
  </threadedComment>
  <threadedComment ref="F42" dT="2023-11-29T14:53:30.95" personId="{EA7C790B-C8CE-48E7-A960-D351C524536D}" id="{EE08F66F-4E13-49BA-ADE5-ED1B0A9C2059}">
    <text>Traer nombre inspector gordon</text>
  </threadedComment>
</ThreadedComments>
</file>

<file path=xl/threadedComments/threadedComment6.xml><?xml version="1.0" encoding="utf-8"?>
<ThreadedComments xmlns="http://schemas.microsoft.com/office/spreadsheetml/2018/threadedcomments" xmlns:x="http://schemas.openxmlformats.org/spreadsheetml/2006/main">
  <threadedComment ref="M4" dT="2024-01-04T19:37:08.37" personId="{A6B1B80C-3D04-4E4D-AE2C-2C3A15EE1C1B}" id="{1F2CF18A-50DE-4D4D-A21A-F48819257A45}">
    <text>Vincular la fecha a  "=DATOS!AS84"</text>
  </threadedComment>
  <threadedComment ref="F48" dT="2023-11-29T14:53:30.95" personId="{EA7C790B-C8CE-48E7-A960-D351C524536D}" id="{A5D03B66-D295-40E1-8AA4-EFF1D7679B6B}" done="1">
    <text>Traer nombre inspector gordon</text>
  </threadedComment>
  <threadedComment ref="N52" dT="2024-01-04T19:59:14.74" personId="{A6B1B80C-3D04-4E4D-AE2C-2C3A15EE1C1B}" id="{A05D0B1B-AD90-4F49-B304-43747AB0D8EA}">
    <text>Revisar que sea 11</text>
  </threadedComment>
</ThreadedComments>
</file>

<file path=xl/threadedComments/threadedComment7.xml><?xml version="1.0" encoding="utf-8"?>
<ThreadedComments xmlns="http://schemas.microsoft.com/office/spreadsheetml/2018/threadedcomments" xmlns:x="http://schemas.openxmlformats.org/spreadsheetml/2006/main">
  <threadedComment ref="M4" dT="2024-01-04T19:37:16.99" personId="{A6B1B80C-3D04-4E4D-AE2C-2C3A15EE1C1B}" id="{23A6599F-DC89-4CC3-89C4-D31A23DE5A67}">
    <text>Vincular la fecha a  "=DATOS!AS84"</text>
  </threadedComment>
  <threadedComment ref="B13" dT="2024-01-04T20:01:03.15" personId="{A6B1B80C-3D04-4E4D-AE2C-2C3A15EE1C1B}" id="{021F1C69-CBE6-4259-8AED-49A09F05FF94}">
    <text>Ajustar imagen a el B14</text>
  </threadedComment>
  <threadedComment ref="K13" dT="2024-01-04T20:01:19.34" personId="{A6B1B80C-3D04-4E4D-AE2C-2C3A15EE1C1B}" id="{9CCA2F78-8F2C-430A-9526-A08818079513}">
    <text>Ajustar imagen al L14</text>
  </threadedComment>
  <threadedComment ref="B31" dT="2024-01-04T20:02:35.12" personId="{A6B1B80C-3D04-4E4D-AE2C-2C3A15EE1C1B}" id="{F3DD52AB-AD6E-4C0F-8079-A9441B189CAA}">
    <text>Ajustar la imagen a la celda B32</text>
  </threadedComment>
  <threadedComment ref="K31" dT="2024-01-04T20:01:43.64" personId="{A6B1B80C-3D04-4E4D-AE2C-2C3A15EE1C1B}" id="{4152BC86-F98F-4832-AA8B-9FB496B01B5C}">
    <text>Ajustar imagen a la celda L33</text>
  </threadedComment>
  <threadedComment ref="F48" dT="2023-11-29T14:53:30.95" personId="{EA7C790B-C8CE-48E7-A960-D351C524536D}" id="{5D6C5F1E-7D1F-48DE-82E8-0685AD7432CA}">
    <text>Traer nombre inspector gordon</text>
  </threadedComment>
  <threadedComment ref="N52" dT="2024-01-04T20:02:54.66" personId="{A6B1B80C-3D04-4E4D-AE2C-2C3A15EE1C1B}" id="{EBDC6EE1-1F72-4DAF-AF16-B4416A54DD68}">
    <text>Revisar que sea 11</text>
  </threadedComment>
</ThreadedComments>
</file>

<file path=xl/threadedComments/threadedComment8.xml><?xml version="1.0" encoding="utf-8"?>
<ThreadedComments xmlns="http://schemas.microsoft.com/office/spreadsheetml/2018/threadedcomments" xmlns:x="http://schemas.openxmlformats.org/spreadsheetml/2006/main">
  <threadedComment ref="J4" dT="2024-01-04T19:37:24.81" personId="{A6B1B80C-3D04-4E4D-AE2C-2C3A15EE1C1B}" id="{D22A0012-483B-4699-9225-D11B2AF0247B}">
    <text>Vincular la fecha a  "=DATOS!AS84"</text>
  </threadedComment>
  <threadedComment ref="E47" dT="2023-11-29T14:57:36.96" personId="{EA7C790B-C8CE-48E7-A960-D351C524536D}" id="{1B50C7BC-C0C2-4E23-9B08-3250DD0733B7}">
    <text>TRAER NOMBRE INSPECTOR DE SAP</text>
  </threadedComment>
  <threadedComment ref="K51" dT="2024-01-04T20:03:36.14" personId="{A6B1B80C-3D04-4E4D-AE2C-2C3A15EE1C1B}" id="{BBE767F6-6362-47BD-9582-645DEA86E2F3}">
    <text>Verificar que la cantidad sea 11</text>
  </threadedComment>
</ThreadedComments>
</file>

<file path=xl/threadedComments/threadedComment9.xml><?xml version="1.0" encoding="utf-8"?>
<ThreadedComments xmlns="http://schemas.microsoft.com/office/spreadsheetml/2018/threadedcomments" xmlns:x="http://schemas.openxmlformats.org/spreadsheetml/2006/main">
  <threadedComment ref="L4" dT="2024-01-04T19:37:31.29" personId="{A6B1B80C-3D04-4E4D-AE2C-2C3A15EE1C1B}" id="{26E7A48D-4660-47E6-9DCC-E7F9D8F80144}">
    <text>Vincular la fecha a  "=DATOS!AS84"</text>
  </threadedComment>
  <threadedComment ref="C13" dT="2024-01-04T20:06:31.49" personId="{A6B1B80C-3D04-4E4D-AE2C-2C3A15EE1C1B}" id="{4F8120D7-5027-4658-B236-EA135FFFEC11}">
    <text>Ajustar imagen a celda D14</text>
  </threadedComment>
  <threadedComment ref="C31" dT="2024-01-04T20:05:54.90" personId="{A6B1B80C-3D04-4E4D-AE2C-2C3A15EE1C1B}" id="{CFEB368C-1E0F-43ED-A47C-CD29A0C1997D}">
    <text>Ajustar imagen a celda D32</text>
  </threadedComment>
  <threadedComment ref="F48" dT="2023-11-29T14:58:17.08" personId="{EA7C790B-C8CE-48E7-A960-D351C524536D}" id="{44DD6273-3E8B-4424-B77A-BCB653B09E26}">
    <text xml:space="preserve">TRAER NOMBRE INSPECTOR DE SAP </text>
  </threadedComment>
  <threadedComment ref="M52" dT="2024-01-04T20:05:31.35" personId="{A6B1B80C-3D04-4E4D-AE2C-2C3A15EE1C1B}" id="{6BB70863-5B22-462C-8FC2-8EB9E1D6F914}">
    <text>Ajustar que si sea 11</text>
  </threadedComment>
</ThreadedComments>
</file>

<file path=xl/threadedComments/threadedComment10.xml><?xml version="1.0" encoding="utf-8"?>
<ThreadedComments xmlns="http://schemas.microsoft.com/office/spreadsheetml/2018/threadedcomments" xmlns:x="http://schemas.openxmlformats.org/spreadsheetml/2006/main">
  <threadedComment ref="L4" dT="2024-01-04T19:37:49.09" personId="{A6B1B80C-3D04-4E4D-AE2C-2C3A15EE1C1B}" id="{8C029C6A-57CB-483D-BAA4-D67F38AAC57B}">
    <text>Vincular la fecha a  "=DATOS!AS84"</text>
  </threadedComment>
  <threadedComment ref="C27" dT="2024-01-04T20:08:42.91" personId="{A6B1B80C-3D04-4E4D-AE2C-2C3A15EE1C1B}" id="{9D6C20A4-A201-48EE-AEA1-8B2A00C0CB22}">
    <text>Traer imagen de Gordon "Prueba de torque 2 " y ajustar a celda D28</text>
  </threadedComment>
  <threadedComment ref="C27" dT="2024-01-29T19:14:29.13" personId="{DFB80E5C-8A1E-4419-B5E4-80A84F92D14D}" id="{9B193B9F-7544-4C9B-98A6-92AF3CF2BE19}" parentId="{9D6C20A4-A201-48EE-AEA1-8B2A00C0CB22}">
    <text xml:space="preserve">ID 704
</text>
  </threadedComment>
  <threadedComment ref="C40" dT="2024-01-04T20:10:35.17" personId="{A6B1B80C-3D04-4E4D-AE2C-2C3A15EE1C1B}" id="{5351DD5D-65CA-4385-8D2D-EF887B01C7D4}">
    <text>Traer de gordon</text>
  </threadedComment>
  <threadedComment ref="L40" dT="2024-01-04T20:10:21.51" personId="{A6B1B80C-3D04-4E4D-AE2C-2C3A15EE1C1B}" id="{C1AEAF32-BD30-42DF-BDCD-CD35A6A9CDCC}">
    <text>Traer el dato de gordon</text>
  </threadedComment>
  <threadedComment ref="F43" dT="2023-11-29T15:00:54.38" personId="{EA7C790B-C8CE-48E7-A960-D351C524536D}" id="{A3DA0935-446E-40AC-B25E-493BEF58595D}">
    <text>TRAER INSPECTOR GORDON</text>
  </threadedComment>
  <threadedComment ref="M47" dT="2024-01-04T20:09:46.83" personId="{A6B1B80C-3D04-4E4D-AE2C-2C3A15EE1C1B}" id="{94922709-CBC6-4C7F-9A61-67E78ECAD9EF}">
    <text>Verificar que este primero la hoja de torque antes que la de aduana , revisar que si sean 11</text>
  </threadedComment>
</ThreadedComments>
</file>

<file path=xl/threadedComments/threadedComment11.xml><?xml version="1.0" encoding="utf-8"?>
<ThreadedComments xmlns="http://schemas.microsoft.com/office/spreadsheetml/2018/threadedcomments" xmlns:x="http://schemas.openxmlformats.org/spreadsheetml/2006/main">
  <threadedComment ref="L4" dT="2024-01-04T19:37:54.92" personId="{A6B1B80C-3D04-4E4D-AE2C-2C3A15EE1C1B}" id="{FF92D742-0600-4388-837F-7966D915D4AE}">
    <text>Vincular la fecha a  "=DATOS!AS84"</text>
  </threadedComment>
  <threadedComment ref="C13" dT="2024-01-29T19:17:05.86" personId="{DFB80E5C-8A1E-4419-B5E4-80A84F92D14D}" id="{7BC4C25A-16C8-47DC-943E-890E08013FFD}">
    <text xml:space="preserve">ID 388 colocar imagen celda D14 </text>
  </threadedComment>
  <threadedComment ref="F32" dT="2023-11-29T15:01:31.76" personId="{EA7C790B-C8CE-48E7-A960-D351C524536D}" id="{6E779F64-2E22-4697-98C0-5DA757879074}">
    <text>TRAER INSPECTOR DE SAP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.xml"/><Relationship Id="rId13" Type="http://schemas.openxmlformats.org/officeDocument/2006/relationships/ctrlProp" Target="../ctrlProps/ctrlProp10.xml"/><Relationship Id="rId18" Type="http://schemas.openxmlformats.org/officeDocument/2006/relationships/ctrlProp" Target="../ctrlProps/ctrlProp15.xml"/><Relationship Id="rId3" Type="http://schemas.openxmlformats.org/officeDocument/2006/relationships/vmlDrawing" Target="../drawings/vmlDrawing2.vml"/><Relationship Id="rId21" Type="http://schemas.openxmlformats.org/officeDocument/2006/relationships/ctrlProp" Target="../ctrlProps/ctrlProp18.xml"/><Relationship Id="rId7" Type="http://schemas.openxmlformats.org/officeDocument/2006/relationships/ctrlProp" Target="../ctrlProps/ctrlProp4.xml"/><Relationship Id="rId12" Type="http://schemas.openxmlformats.org/officeDocument/2006/relationships/ctrlProp" Target="../ctrlProps/ctrlProp9.xml"/><Relationship Id="rId17" Type="http://schemas.openxmlformats.org/officeDocument/2006/relationships/ctrlProp" Target="../ctrlProps/ctrlProp14.xml"/><Relationship Id="rId25" Type="http://schemas.microsoft.com/office/2017/10/relationships/threadedComment" Target="../threadedComments/threadedComment2.xml"/><Relationship Id="rId2" Type="http://schemas.openxmlformats.org/officeDocument/2006/relationships/drawing" Target="../drawings/drawing2.xml"/><Relationship Id="rId16" Type="http://schemas.openxmlformats.org/officeDocument/2006/relationships/ctrlProp" Target="../ctrlProps/ctrlProp13.xml"/><Relationship Id="rId20" Type="http://schemas.openxmlformats.org/officeDocument/2006/relationships/ctrlProp" Target="../ctrlProps/ctrlProp17.xml"/><Relationship Id="rId1" Type="http://schemas.openxmlformats.org/officeDocument/2006/relationships/printerSettings" Target="../printerSettings/printerSettings2.bin"/><Relationship Id="rId6" Type="http://schemas.openxmlformats.org/officeDocument/2006/relationships/ctrlProp" Target="../ctrlProps/ctrlProp3.xml"/><Relationship Id="rId11" Type="http://schemas.openxmlformats.org/officeDocument/2006/relationships/ctrlProp" Target="../ctrlProps/ctrlProp8.xml"/><Relationship Id="rId24" Type="http://schemas.openxmlformats.org/officeDocument/2006/relationships/comments" Target="../comments2.xml"/><Relationship Id="rId5" Type="http://schemas.openxmlformats.org/officeDocument/2006/relationships/ctrlProp" Target="../ctrlProps/ctrlProp2.xml"/><Relationship Id="rId15" Type="http://schemas.openxmlformats.org/officeDocument/2006/relationships/ctrlProp" Target="../ctrlProps/ctrlProp12.xml"/><Relationship Id="rId23" Type="http://schemas.openxmlformats.org/officeDocument/2006/relationships/ctrlProp" Target="../ctrlProps/ctrlProp20.xml"/><Relationship Id="rId10" Type="http://schemas.openxmlformats.org/officeDocument/2006/relationships/ctrlProp" Target="../ctrlProps/ctrlProp7.xml"/><Relationship Id="rId19" Type="http://schemas.openxmlformats.org/officeDocument/2006/relationships/ctrlProp" Target="../ctrlProps/ctrlProp16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Relationship Id="rId14" Type="http://schemas.openxmlformats.org/officeDocument/2006/relationships/ctrlProp" Target="../ctrlProps/ctrlProp11.xml"/><Relationship Id="rId22" Type="http://schemas.openxmlformats.org/officeDocument/2006/relationships/ctrlProp" Target="../ctrlProps/ctrlProp19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25.xml"/><Relationship Id="rId13" Type="http://schemas.microsoft.com/office/2017/10/relationships/threadedComment" Target="../threadedComments/threadedComment3.xml"/><Relationship Id="rId3" Type="http://schemas.openxmlformats.org/officeDocument/2006/relationships/vmlDrawing" Target="../drawings/vmlDrawing3.vml"/><Relationship Id="rId7" Type="http://schemas.openxmlformats.org/officeDocument/2006/relationships/ctrlProp" Target="../ctrlProps/ctrlProp24.xml"/><Relationship Id="rId12" Type="http://schemas.openxmlformats.org/officeDocument/2006/relationships/comments" Target="../comments3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6" Type="http://schemas.openxmlformats.org/officeDocument/2006/relationships/ctrlProp" Target="../ctrlProps/ctrlProp23.xml"/><Relationship Id="rId11" Type="http://schemas.openxmlformats.org/officeDocument/2006/relationships/ctrlProp" Target="../ctrlProps/ctrlProp28.xml"/><Relationship Id="rId5" Type="http://schemas.openxmlformats.org/officeDocument/2006/relationships/ctrlProp" Target="../ctrlProps/ctrlProp22.xml"/><Relationship Id="rId10" Type="http://schemas.openxmlformats.org/officeDocument/2006/relationships/ctrlProp" Target="../ctrlProps/ctrlProp27.xml"/><Relationship Id="rId4" Type="http://schemas.openxmlformats.org/officeDocument/2006/relationships/ctrlProp" Target="../ctrlProps/ctrlProp21.xml"/><Relationship Id="rId9" Type="http://schemas.openxmlformats.org/officeDocument/2006/relationships/ctrlProp" Target="../ctrlProps/ctrlProp26.xm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33.xml"/><Relationship Id="rId13" Type="http://schemas.openxmlformats.org/officeDocument/2006/relationships/ctrlProp" Target="../ctrlProps/ctrlProp38.xml"/><Relationship Id="rId3" Type="http://schemas.openxmlformats.org/officeDocument/2006/relationships/vmlDrawing" Target="../drawings/vmlDrawing4.vml"/><Relationship Id="rId7" Type="http://schemas.openxmlformats.org/officeDocument/2006/relationships/ctrlProp" Target="../ctrlProps/ctrlProp32.xml"/><Relationship Id="rId12" Type="http://schemas.openxmlformats.org/officeDocument/2006/relationships/ctrlProp" Target="../ctrlProps/ctrlProp37.x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Relationship Id="rId6" Type="http://schemas.openxmlformats.org/officeDocument/2006/relationships/ctrlProp" Target="../ctrlProps/ctrlProp31.xml"/><Relationship Id="rId11" Type="http://schemas.openxmlformats.org/officeDocument/2006/relationships/ctrlProp" Target="../ctrlProps/ctrlProp36.xml"/><Relationship Id="rId5" Type="http://schemas.openxmlformats.org/officeDocument/2006/relationships/ctrlProp" Target="../ctrlProps/ctrlProp30.xml"/><Relationship Id="rId15" Type="http://schemas.microsoft.com/office/2017/10/relationships/threadedComment" Target="../threadedComments/threadedComment4.xml"/><Relationship Id="rId10" Type="http://schemas.openxmlformats.org/officeDocument/2006/relationships/ctrlProp" Target="../ctrlProps/ctrlProp35.xml"/><Relationship Id="rId4" Type="http://schemas.openxmlformats.org/officeDocument/2006/relationships/ctrlProp" Target="../ctrlProps/ctrlProp29.xml"/><Relationship Id="rId9" Type="http://schemas.openxmlformats.org/officeDocument/2006/relationships/ctrlProp" Target="../ctrlProps/ctrlProp34.xml"/><Relationship Id="rId14" Type="http://schemas.openxmlformats.org/officeDocument/2006/relationships/comments" Target="../comments4.xm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43.xml"/><Relationship Id="rId13" Type="http://schemas.openxmlformats.org/officeDocument/2006/relationships/ctrlProp" Target="../ctrlProps/ctrlProp48.xml"/><Relationship Id="rId18" Type="http://schemas.openxmlformats.org/officeDocument/2006/relationships/ctrlProp" Target="../ctrlProps/ctrlProp53.xml"/><Relationship Id="rId3" Type="http://schemas.openxmlformats.org/officeDocument/2006/relationships/vmlDrawing" Target="../drawings/vmlDrawing5.vml"/><Relationship Id="rId21" Type="http://schemas.openxmlformats.org/officeDocument/2006/relationships/ctrlProp" Target="../ctrlProps/ctrlProp56.xml"/><Relationship Id="rId7" Type="http://schemas.openxmlformats.org/officeDocument/2006/relationships/ctrlProp" Target="../ctrlProps/ctrlProp42.xml"/><Relationship Id="rId12" Type="http://schemas.openxmlformats.org/officeDocument/2006/relationships/ctrlProp" Target="../ctrlProps/ctrlProp47.xml"/><Relationship Id="rId17" Type="http://schemas.openxmlformats.org/officeDocument/2006/relationships/ctrlProp" Target="../ctrlProps/ctrlProp52.xml"/><Relationship Id="rId2" Type="http://schemas.openxmlformats.org/officeDocument/2006/relationships/drawing" Target="../drawings/drawing5.xml"/><Relationship Id="rId16" Type="http://schemas.openxmlformats.org/officeDocument/2006/relationships/ctrlProp" Target="../ctrlProps/ctrlProp51.xml"/><Relationship Id="rId20" Type="http://schemas.openxmlformats.org/officeDocument/2006/relationships/ctrlProp" Target="../ctrlProps/ctrlProp55.xml"/><Relationship Id="rId1" Type="http://schemas.openxmlformats.org/officeDocument/2006/relationships/printerSettings" Target="../printerSettings/printerSettings5.bin"/><Relationship Id="rId6" Type="http://schemas.openxmlformats.org/officeDocument/2006/relationships/ctrlProp" Target="../ctrlProps/ctrlProp41.xml"/><Relationship Id="rId11" Type="http://schemas.openxmlformats.org/officeDocument/2006/relationships/ctrlProp" Target="../ctrlProps/ctrlProp46.xml"/><Relationship Id="rId24" Type="http://schemas.microsoft.com/office/2017/10/relationships/threadedComment" Target="../threadedComments/threadedComment5.xml"/><Relationship Id="rId5" Type="http://schemas.openxmlformats.org/officeDocument/2006/relationships/ctrlProp" Target="../ctrlProps/ctrlProp40.xml"/><Relationship Id="rId15" Type="http://schemas.openxmlformats.org/officeDocument/2006/relationships/ctrlProp" Target="../ctrlProps/ctrlProp50.xml"/><Relationship Id="rId23" Type="http://schemas.openxmlformats.org/officeDocument/2006/relationships/comments" Target="../comments5.xml"/><Relationship Id="rId10" Type="http://schemas.openxmlformats.org/officeDocument/2006/relationships/ctrlProp" Target="../ctrlProps/ctrlProp45.xml"/><Relationship Id="rId19" Type="http://schemas.openxmlformats.org/officeDocument/2006/relationships/ctrlProp" Target="../ctrlProps/ctrlProp54.xml"/><Relationship Id="rId4" Type="http://schemas.openxmlformats.org/officeDocument/2006/relationships/ctrlProp" Target="../ctrlProps/ctrlProp39.xml"/><Relationship Id="rId9" Type="http://schemas.openxmlformats.org/officeDocument/2006/relationships/ctrlProp" Target="../ctrlProps/ctrlProp44.xml"/><Relationship Id="rId14" Type="http://schemas.openxmlformats.org/officeDocument/2006/relationships/ctrlProp" Target="../ctrlProps/ctrlProp49.xml"/><Relationship Id="rId22" Type="http://schemas.openxmlformats.org/officeDocument/2006/relationships/ctrlProp" Target="../ctrlProps/ctrlProp57.xml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62.xml"/><Relationship Id="rId13" Type="http://schemas.openxmlformats.org/officeDocument/2006/relationships/ctrlProp" Target="../ctrlProps/ctrlProp67.xml"/><Relationship Id="rId3" Type="http://schemas.openxmlformats.org/officeDocument/2006/relationships/vmlDrawing" Target="../drawings/vmlDrawing6.vml"/><Relationship Id="rId7" Type="http://schemas.openxmlformats.org/officeDocument/2006/relationships/ctrlProp" Target="../ctrlProps/ctrlProp61.xml"/><Relationship Id="rId12" Type="http://schemas.openxmlformats.org/officeDocument/2006/relationships/ctrlProp" Target="../ctrlProps/ctrlProp66.x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Relationship Id="rId6" Type="http://schemas.openxmlformats.org/officeDocument/2006/relationships/ctrlProp" Target="../ctrlProps/ctrlProp60.xml"/><Relationship Id="rId11" Type="http://schemas.openxmlformats.org/officeDocument/2006/relationships/ctrlProp" Target="../ctrlProps/ctrlProp65.xml"/><Relationship Id="rId5" Type="http://schemas.openxmlformats.org/officeDocument/2006/relationships/ctrlProp" Target="../ctrlProps/ctrlProp59.xml"/><Relationship Id="rId15" Type="http://schemas.microsoft.com/office/2017/10/relationships/threadedComment" Target="../threadedComments/threadedComment6.xml"/><Relationship Id="rId10" Type="http://schemas.openxmlformats.org/officeDocument/2006/relationships/ctrlProp" Target="../ctrlProps/ctrlProp64.xml"/><Relationship Id="rId4" Type="http://schemas.openxmlformats.org/officeDocument/2006/relationships/ctrlProp" Target="../ctrlProps/ctrlProp58.xml"/><Relationship Id="rId9" Type="http://schemas.openxmlformats.org/officeDocument/2006/relationships/ctrlProp" Target="../ctrlProps/ctrlProp63.xml"/><Relationship Id="rId14" Type="http://schemas.openxmlformats.org/officeDocument/2006/relationships/comments" Target="../comments6.xml"/></Relationships>
</file>

<file path=xl/worksheets/_rels/sheet7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72.xml"/><Relationship Id="rId13" Type="http://schemas.openxmlformats.org/officeDocument/2006/relationships/ctrlProp" Target="../ctrlProps/ctrlProp77.xml"/><Relationship Id="rId3" Type="http://schemas.openxmlformats.org/officeDocument/2006/relationships/vmlDrawing" Target="../drawings/vmlDrawing7.vml"/><Relationship Id="rId7" Type="http://schemas.openxmlformats.org/officeDocument/2006/relationships/ctrlProp" Target="../ctrlProps/ctrlProp71.xml"/><Relationship Id="rId12" Type="http://schemas.openxmlformats.org/officeDocument/2006/relationships/ctrlProp" Target="../ctrlProps/ctrlProp76.xml"/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Relationship Id="rId6" Type="http://schemas.openxmlformats.org/officeDocument/2006/relationships/ctrlProp" Target="../ctrlProps/ctrlProp70.xml"/><Relationship Id="rId11" Type="http://schemas.openxmlformats.org/officeDocument/2006/relationships/ctrlProp" Target="../ctrlProps/ctrlProp75.xml"/><Relationship Id="rId5" Type="http://schemas.openxmlformats.org/officeDocument/2006/relationships/ctrlProp" Target="../ctrlProps/ctrlProp69.xml"/><Relationship Id="rId15" Type="http://schemas.microsoft.com/office/2017/10/relationships/threadedComment" Target="../threadedComments/threadedComment7.xml"/><Relationship Id="rId10" Type="http://schemas.openxmlformats.org/officeDocument/2006/relationships/ctrlProp" Target="../ctrlProps/ctrlProp74.xml"/><Relationship Id="rId4" Type="http://schemas.openxmlformats.org/officeDocument/2006/relationships/ctrlProp" Target="../ctrlProps/ctrlProp68.xml"/><Relationship Id="rId9" Type="http://schemas.openxmlformats.org/officeDocument/2006/relationships/ctrlProp" Target="../ctrlProps/ctrlProp73.xml"/><Relationship Id="rId14" Type="http://schemas.openxmlformats.org/officeDocument/2006/relationships/comments" Target="../comments7.xml"/></Relationships>
</file>

<file path=xl/worksheets/_rels/sheet8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82.xml"/><Relationship Id="rId13" Type="http://schemas.openxmlformats.org/officeDocument/2006/relationships/ctrlProp" Target="../ctrlProps/ctrlProp87.xml"/><Relationship Id="rId3" Type="http://schemas.openxmlformats.org/officeDocument/2006/relationships/vmlDrawing" Target="../drawings/vmlDrawing8.vml"/><Relationship Id="rId7" Type="http://schemas.openxmlformats.org/officeDocument/2006/relationships/ctrlProp" Target="../ctrlProps/ctrlProp81.xml"/><Relationship Id="rId12" Type="http://schemas.openxmlformats.org/officeDocument/2006/relationships/ctrlProp" Target="../ctrlProps/ctrlProp86.xml"/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Relationship Id="rId6" Type="http://schemas.openxmlformats.org/officeDocument/2006/relationships/ctrlProp" Target="../ctrlProps/ctrlProp80.xml"/><Relationship Id="rId11" Type="http://schemas.openxmlformats.org/officeDocument/2006/relationships/ctrlProp" Target="../ctrlProps/ctrlProp85.xml"/><Relationship Id="rId5" Type="http://schemas.openxmlformats.org/officeDocument/2006/relationships/ctrlProp" Target="../ctrlProps/ctrlProp79.xml"/><Relationship Id="rId15" Type="http://schemas.microsoft.com/office/2017/10/relationships/threadedComment" Target="../threadedComments/threadedComment8.xml"/><Relationship Id="rId10" Type="http://schemas.openxmlformats.org/officeDocument/2006/relationships/ctrlProp" Target="../ctrlProps/ctrlProp84.xml"/><Relationship Id="rId4" Type="http://schemas.openxmlformats.org/officeDocument/2006/relationships/ctrlProp" Target="../ctrlProps/ctrlProp78.xml"/><Relationship Id="rId9" Type="http://schemas.openxmlformats.org/officeDocument/2006/relationships/ctrlProp" Target="../ctrlProps/ctrlProp83.xml"/><Relationship Id="rId14" Type="http://schemas.openxmlformats.org/officeDocument/2006/relationships/comments" Target="../comments8.xml"/></Relationships>
</file>

<file path=xl/worksheets/_rels/sheet9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92.xml"/><Relationship Id="rId13" Type="http://schemas.openxmlformats.org/officeDocument/2006/relationships/ctrlProp" Target="../ctrlProps/ctrlProp97.xml"/><Relationship Id="rId3" Type="http://schemas.openxmlformats.org/officeDocument/2006/relationships/vmlDrawing" Target="../drawings/vmlDrawing9.vml"/><Relationship Id="rId7" Type="http://schemas.openxmlformats.org/officeDocument/2006/relationships/ctrlProp" Target="../ctrlProps/ctrlProp91.xml"/><Relationship Id="rId12" Type="http://schemas.openxmlformats.org/officeDocument/2006/relationships/ctrlProp" Target="../ctrlProps/ctrlProp96.xml"/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Relationship Id="rId6" Type="http://schemas.openxmlformats.org/officeDocument/2006/relationships/ctrlProp" Target="../ctrlProps/ctrlProp90.xml"/><Relationship Id="rId11" Type="http://schemas.openxmlformats.org/officeDocument/2006/relationships/ctrlProp" Target="../ctrlProps/ctrlProp95.xml"/><Relationship Id="rId5" Type="http://schemas.openxmlformats.org/officeDocument/2006/relationships/ctrlProp" Target="../ctrlProps/ctrlProp89.xml"/><Relationship Id="rId15" Type="http://schemas.microsoft.com/office/2017/10/relationships/threadedComment" Target="../threadedComments/threadedComment9.xml"/><Relationship Id="rId10" Type="http://schemas.openxmlformats.org/officeDocument/2006/relationships/ctrlProp" Target="../ctrlProps/ctrlProp94.xml"/><Relationship Id="rId4" Type="http://schemas.openxmlformats.org/officeDocument/2006/relationships/ctrlProp" Target="../ctrlProps/ctrlProp88.xml"/><Relationship Id="rId9" Type="http://schemas.openxmlformats.org/officeDocument/2006/relationships/ctrlProp" Target="../ctrlProps/ctrlProp93.xml"/><Relationship Id="rId14" Type="http://schemas.openxmlformats.org/officeDocument/2006/relationships/comments" Target="../comments9.xml"/></Relationships>
</file>

<file path=xl/worksheets/_rels/sheet10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102.xml"/><Relationship Id="rId13" Type="http://schemas.openxmlformats.org/officeDocument/2006/relationships/ctrlProp" Target="../ctrlProps/ctrlProp107.xml"/><Relationship Id="rId3" Type="http://schemas.openxmlformats.org/officeDocument/2006/relationships/vmlDrawing" Target="../drawings/vmlDrawing10.vml"/><Relationship Id="rId7" Type="http://schemas.openxmlformats.org/officeDocument/2006/relationships/ctrlProp" Target="../ctrlProps/ctrlProp101.xml"/><Relationship Id="rId12" Type="http://schemas.openxmlformats.org/officeDocument/2006/relationships/ctrlProp" Target="../ctrlProps/ctrlProp106.xml"/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Relationship Id="rId6" Type="http://schemas.openxmlformats.org/officeDocument/2006/relationships/ctrlProp" Target="../ctrlProps/ctrlProp100.xml"/><Relationship Id="rId11" Type="http://schemas.openxmlformats.org/officeDocument/2006/relationships/ctrlProp" Target="../ctrlProps/ctrlProp105.xml"/><Relationship Id="rId5" Type="http://schemas.openxmlformats.org/officeDocument/2006/relationships/ctrlProp" Target="../ctrlProps/ctrlProp99.xml"/><Relationship Id="rId15" Type="http://schemas.microsoft.com/office/2017/10/relationships/threadedComment" Target="../threadedComments/threadedComment10.xml"/><Relationship Id="rId10" Type="http://schemas.openxmlformats.org/officeDocument/2006/relationships/ctrlProp" Target="../ctrlProps/ctrlProp104.xml"/><Relationship Id="rId4" Type="http://schemas.openxmlformats.org/officeDocument/2006/relationships/ctrlProp" Target="../ctrlProps/ctrlProp98.xml"/><Relationship Id="rId9" Type="http://schemas.openxmlformats.org/officeDocument/2006/relationships/ctrlProp" Target="../ctrlProps/ctrlProp103.xml"/><Relationship Id="rId14" Type="http://schemas.openxmlformats.org/officeDocument/2006/relationships/comments" Target="../comments10.xml"/></Relationships>
</file>

<file path=xl/worksheets/_rels/sheet1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112.xml"/><Relationship Id="rId13" Type="http://schemas.openxmlformats.org/officeDocument/2006/relationships/ctrlProp" Target="../ctrlProps/ctrlProp117.xml"/><Relationship Id="rId3" Type="http://schemas.openxmlformats.org/officeDocument/2006/relationships/vmlDrawing" Target="../drawings/vmlDrawing11.vml"/><Relationship Id="rId7" Type="http://schemas.openxmlformats.org/officeDocument/2006/relationships/ctrlProp" Target="../ctrlProps/ctrlProp111.xml"/><Relationship Id="rId12" Type="http://schemas.openxmlformats.org/officeDocument/2006/relationships/ctrlProp" Target="../ctrlProps/ctrlProp116.xml"/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Relationship Id="rId6" Type="http://schemas.openxmlformats.org/officeDocument/2006/relationships/ctrlProp" Target="../ctrlProps/ctrlProp110.xml"/><Relationship Id="rId11" Type="http://schemas.openxmlformats.org/officeDocument/2006/relationships/ctrlProp" Target="../ctrlProps/ctrlProp115.xml"/><Relationship Id="rId5" Type="http://schemas.openxmlformats.org/officeDocument/2006/relationships/ctrlProp" Target="../ctrlProps/ctrlProp109.xml"/><Relationship Id="rId15" Type="http://schemas.microsoft.com/office/2017/10/relationships/threadedComment" Target="../threadedComments/threadedComment11.xml"/><Relationship Id="rId10" Type="http://schemas.openxmlformats.org/officeDocument/2006/relationships/ctrlProp" Target="../ctrlProps/ctrlProp114.xml"/><Relationship Id="rId4" Type="http://schemas.openxmlformats.org/officeDocument/2006/relationships/ctrlProp" Target="../ctrlProps/ctrlProp108.xml"/><Relationship Id="rId9" Type="http://schemas.openxmlformats.org/officeDocument/2006/relationships/ctrlProp" Target="../ctrlProps/ctrlProp113.xml"/><Relationship Id="rId14" Type="http://schemas.openxmlformats.org/officeDocument/2006/relationships/comments" Target="../comments11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5">
    <pageSetUpPr fitToPage="1"/>
  </sheetPr>
  <dimension ref="A1:CC87"/>
  <sheetViews>
    <sheetView showGridLines="0" view="pageBreakPreview" zoomScale="70" zoomScaleNormal="100" zoomScaleSheetLayoutView="70" workbookViewId="0">
      <selection activeCell="AO83" sqref="AO83"/>
    </sheetView>
  </sheetViews>
  <sheetFormatPr baseColWidth="10" defaultColWidth="2.7109375" defaultRowHeight="12.75" customHeight="1" x14ac:dyDescent="0.45"/>
  <cols>
    <col min="1" max="1" width="4.7109375" style="21" customWidth="1"/>
    <col min="2" max="2" width="3.140625" style="17" customWidth="1"/>
    <col min="3" max="3" width="2.7109375" style="17" customWidth="1"/>
    <col min="4" max="4" width="3.5703125" style="17" customWidth="1"/>
    <col min="5" max="5" width="2.7109375" style="17" customWidth="1"/>
    <col min="6" max="6" width="2.7109375" style="22" customWidth="1"/>
    <col min="7" max="7" width="4" style="17" customWidth="1"/>
    <col min="8" max="8" width="2" style="17" customWidth="1"/>
    <col min="9" max="9" width="2.85546875" style="17" customWidth="1"/>
    <col min="10" max="10" width="5.7109375" style="17" customWidth="1"/>
    <col min="11" max="15" width="2" style="17" customWidth="1"/>
    <col min="16" max="16" width="3.28515625" style="17" customWidth="1"/>
    <col min="17" max="20" width="2" style="17" customWidth="1"/>
    <col min="21" max="21" width="3.5703125" style="17" customWidth="1"/>
    <col min="22" max="22" width="2.42578125" style="17" customWidth="1"/>
    <col min="23" max="23" width="2.28515625" style="17" customWidth="1"/>
    <col min="24" max="24" width="2.42578125" style="17" customWidth="1"/>
    <col min="25" max="25" width="2.85546875" style="17" customWidth="1"/>
    <col min="26" max="26" width="3.140625" style="17" customWidth="1"/>
    <col min="27" max="28" width="2.28515625" style="17" customWidth="1"/>
    <col min="29" max="29" width="3.28515625" style="17" customWidth="1"/>
    <col min="30" max="30" width="2.85546875" style="17" customWidth="1"/>
    <col min="31" max="31" width="4" style="17" customWidth="1"/>
    <col min="32" max="32" width="3.28515625" style="17" customWidth="1"/>
    <col min="33" max="33" width="3.42578125" style="17" customWidth="1"/>
    <col min="34" max="34" width="2.5703125" style="17" customWidth="1"/>
    <col min="35" max="35" width="2.7109375" style="17" customWidth="1"/>
    <col min="36" max="37" width="2.5703125" style="17" customWidth="1"/>
    <col min="38" max="38" width="3.85546875" style="17" customWidth="1"/>
    <col min="39" max="39" width="2" style="17" customWidth="1"/>
    <col min="40" max="40" width="2.28515625" style="17" customWidth="1"/>
    <col min="41" max="41" width="5.7109375" style="17" customWidth="1"/>
    <col min="42" max="42" width="5.28515625" style="17" customWidth="1"/>
    <col min="43" max="43" width="11.5703125" style="17" customWidth="1"/>
    <col min="44" max="44" width="1.85546875" style="17" hidden="1" customWidth="1"/>
    <col min="45" max="45" width="6.42578125" style="17" customWidth="1"/>
    <col min="46" max="46" width="4.7109375" style="17" customWidth="1"/>
    <col min="47" max="47" width="7.7109375" style="17" customWidth="1"/>
    <col min="48" max="48" width="10.85546875" style="17" customWidth="1"/>
    <col min="49" max="49" width="4.7109375" style="17" customWidth="1"/>
    <col min="50" max="56" width="2.7109375" style="17"/>
    <col min="57" max="57" width="2.85546875" style="17" customWidth="1"/>
    <col min="58" max="16384" width="2.7109375" style="17"/>
  </cols>
  <sheetData>
    <row r="1" spans="1:59" ht="20.100000000000001" customHeight="1" x14ac:dyDescent="0.45">
      <c r="A1" s="23"/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  <c r="AB1" s="24"/>
      <c r="AC1" s="24"/>
      <c r="AD1" s="24"/>
      <c r="AE1" s="24"/>
      <c r="AF1" s="24"/>
      <c r="AG1" s="24"/>
      <c r="AH1" s="24"/>
      <c r="AI1" s="24"/>
      <c r="AJ1" s="24"/>
      <c r="AK1" s="24"/>
      <c r="AL1" s="24"/>
      <c r="AM1" s="24"/>
      <c r="AN1" s="24"/>
      <c r="AO1" s="24"/>
      <c r="AP1" s="24"/>
      <c r="AQ1" s="24"/>
      <c r="AR1" s="24"/>
      <c r="AS1" s="24"/>
      <c r="AT1" s="24"/>
      <c r="AU1" s="25"/>
      <c r="AV1" s="24"/>
      <c r="AW1" s="245"/>
    </row>
    <row r="2" spans="1:59" ht="28.5" x14ac:dyDescent="0.65">
      <c r="A2" s="26"/>
      <c r="B2" s="27"/>
      <c r="C2" s="28"/>
      <c r="D2" s="28"/>
      <c r="E2" s="28"/>
      <c r="F2" s="28"/>
      <c r="G2" s="28"/>
      <c r="H2" s="28"/>
      <c r="I2" s="27"/>
      <c r="J2" s="27"/>
      <c r="K2" s="27"/>
      <c r="L2" s="27"/>
      <c r="M2" s="29"/>
      <c r="N2" s="27"/>
      <c r="O2" s="27"/>
      <c r="P2" s="27"/>
      <c r="Q2" s="27"/>
      <c r="R2" s="27"/>
      <c r="S2" s="27"/>
      <c r="T2" s="28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8" t="s">
        <v>0</v>
      </c>
      <c r="AG2" s="27"/>
      <c r="AH2" s="27"/>
      <c r="AI2" s="27"/>
      <c r="AJ2" s="27"/>
      <c r="AK2" s="27"/>
      <c r="AL2" s="27"/>
      <c r="AM2" s="27"/>
      <c r="AN2" s="27"/>
      <c r="AO2" s="27"/>
      <c r="AP2" s="27"/>
      <c r="AQ2" s="27"/>
      <c r="AR2" s="27"/>
      <c r="AS2" s="27"/>
      <c r="AT2" s="240"/>
      <c r="AU2" s="240"/>
      <c r="AV2" s="30"/>
      <c r="AW2" s="245"/>
    </row>
    <row r="3" spans="1:59" ht="21.75" x14ac:dyDescent="0.5">
      <c r="A3" s="26"/>
      <c r="B3" s="27"/>
      <c r="C3" s="27"/>
      <c r="D3" s="27"/>
      <c r="E3" s="27"/>
      <c r="F3" s="27"/>
      <c r="G3" s="27"/>
      <c r="H3" s="27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27"/>
      <c r="U3" s="27"/>
      <c r="V3" s="27"/>
      <c r="W3" s="27"/>
      <c r="X3" s="27"/>
      <c r="Y3" s="27"/>
      <c r="Z3" s="27"/>
      <c r="AA3" s="27"/>
      <c r="AB3" s="27"/>
      <c r="AC3" s="27"/>
      <c r="AD3" s="27"/>
      <c r="AE3" s="31"/>
      <c r="AF3" s="31" t="s">
        <v>1</v>
      </c>
      <c r="AG3" s="27"/>
      <c r="AH3" s="31"/>
      <c r="AI3" s="31"/>
      <c r="AJ3" s="31"/>
      <c r="AK3" s="27"/>
      <c r="AL3" s="27"/>
      <c r="AM3" s="27"/>
      <c r="AN3" s="27"/>
      <c r="AO3" s="27"/>
      <c r="AP3" s="27"/>
      <c r="AQ3" s="27"/>
      <c r="AR3" s="27"/>
      <c r="AS3" s="27"/>
      <c r="AT3" s="240"/>
      <c r="AU3" s="240"/>
      <c r="AV3" s="32"/>
      <c r="AW3" s="245"/>
    </row>
    <row r="4" spans="1:59" ht="21.75" x14ac:dyDescent="0.5">
      <c r="A4" s="26"/>
      <c r="B4" s="27"/>
      <c r="C4" s="27"/>
      <c r="D4" s="27"/>
      <c r="E4" s="27"/>
      <c r="F4" s="27"/>
      <c r="G4" s="31"/>
      <c r="H4" s="27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27"/>
      <c r="U4" s="27"/>
      <c r="V4" s="27"/>
      <c r="W4" s="27"/>
      <c r="X4" s="27"/>
      <c r="Y4" s="27"/>
      <c r="Z4" s="27"/>
      <c r="AA4" s="27"/>
      <c r="AB4" s="27"/>
      <c r="AC4" s="27"/>
      <c r="AD4" s="27"/>
      <c r="AE4" s="31"/>
      <c r="AF4" s="31" t="s">
        <v>442</v>
      </c>
      <c r="AG4" s="27"/>
      <c r="AH4" s="31"/>
      <c r="AI4" s="31"/>
      <c r="AJ4" s="31"/>
      <c r="AK4" s="27"/>
      <c r="AL4" s="27"/>
      <c r="AM4" s="27"/>
      <c r="AN4" s="27"/>
      <c r="AO4" s="27"/>
      <c r="AP4" s="27"/>
      <c r="AQ4" s="27"/>
      <c r="AR4" s="27"/>
      <c r="AS4" s="27"/>
      <c r="AT4" s="240"/>
      <c r="AU4" s="240"/>
      <c r="AV4" s="33"/>
      <c r="AW4" s="245"/>
    </row>
    <row r="5" spans="1:59" ht="12.75" customHeight="1" x14ac:dyDescent="0.45">
      <c r="A5" s="26"/>
      <c r="B5" s="27"/>
      <c r="C5" s="27"/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  <c r="AA5" s="27"/>
      <c r="AB5" s="27"/>
      <c r="AC5" s="27"/>
      <c r="AD5" s="27"/>
      <c r="AE5" s="27"/>
      <c r="AF5" s="34"/>
      <c r="AG5" s="27"/>
      <c r="AH5" s="27"/>
      <c r="AI5" s="27"/>
      <c r="AJ5" s="27"/>
      <c r="AK5" s="27"/>
      <c r="AL5" s="27"/>
      <c r="AM5" s="27"/>
      <c r="AN5" s="27"/>
      <c r="AO5" s="27"/>
      <c r="AP5" s="27"/>
      <c r="AQ5" s="27"/>
      <c r="AR5" s="27"/>
      <c r="AS5" s="27"/>
      <c r="AT5" s="27"/>
      <c r="AU5" s="27"/>
      <c r="AV5" s="35"/>
      <c r="AW5" s="245"/>
    </row>
    <row r="6" spans="1:59" ht="16.5" customHeight="1" x14ac:dyDescent="0.5">
      <c r="A6" s="26"/>
      <c r="B6" s="27"/>
      <c r="C6" s="27"/>
      <c r="D6" s="27"/>
      <c r="E6" s="27"/>
      <c r="F6" s="27"/>
      <c r="G6" s="27"/>
      <c r="H6" s="27"/>
      <c r="I6" s="27"/>
      <c r="J6" s="27"/>
      <c r="K6" s="27"/>
      <c r="L6" s="27"/>
      <c r="M6" s="27"/>
      <c r="N6" s="27"/>
      <c r="O6" s="27"/>
      <c r="P6" s="27"/>
      <c r="Q6" s="27"/>
      <c r="R6" s="27"/>
      <c r="S6" s="27"/>
      <c r="T6" s="27"/>
      <c r="U6" s="27"/>
      <c r="V6" s="27"/>
      <c r="W6" s="27"/>
      <c r="X6" s="27"/>
      <c r="Y6" s="27"/>
      <c r="Z6" s="27"/>
      <c r="AA6" s="27"/>
      <c r="AB6" s="27"/>
      <c r="AC6" s="27"/>
      <c r="AD6" s="27"/>
      <c r="AE6" s="27"/>
      <c r="AF6" s="27"/>
      <c r="AG6" s="27"/>
      <c r="AH6" s="27"/>
      <c r="AI6" s="27"/>
      <c r="AJ6" s="27"/>
      <c r="AK6" s="27"/>
      <c r="AL6" s="27"/>
      <c r="AM6" s="27"/>
      <c r="AN6" s="27"/>
      <c r="AO6" s="23"/>
      <c r="AP6" s="23"/>
      <c r="AQ6" s="23"/>
      <c r="AR6" s="27"/>
      <c r="AS6" s="27"/>
      <c r="AT6" s="242"/>
      <c r="AU6" s="242"/>
      <c r="AV6" s="243"/>
      <c r="AW6" s="245"/>
    </row>
    <row r="7" spans="1:59" ht="16.350000000000001" customHeight="1" x14ac:dyDescent="0.45">
      <c r="A7" s="26"/>
      <c r="B7" s="247" t="s">
        <v>2</v>
      </c>
      <c r="C7" s="236"/>
      <c r="D7" s="236"/>
      <c r="E7" s="252" t="s">
        <v>450</v>
      </c>
      <c r="F7" s="252"/>
      <c r="G7" s="252"/>
      <c r="H7" s="252"/>
      <c r="I7" s="252"/>
      <c r="J7" s="252"/>
      <c r="K7" s="252"/>
      <c r="L7" s="252"/>
      <c r="M7" s="252"/>
      <c r="N7" s="252"/>
      <c r="O7" s="252"/>
      <c r="P7" s="252"/>
      <c r="Q7" s="252"/>
      <c r="R7" s="252"/>
      <c r="S7" s="252"/>
      <c r="T7" s="252"/>
      <c r="U7" s="236" t="s">
        <v>437</v>
      </c>
      <c r="V7" s="236"/>
      <c r="W7" s="236"/>
      <c r="X7" s="236"/>
      <c r="Y7" s="236"/>
      <c r="Z7" s="236"/>
      <c r="AA7" s="236"/>
      <c r="AB7" s="236"/>
      <c r="AC7" s="236"/>
      <c r="AD7" s="236"/>
      <c r="AE7" s="249"/>
      <c r="AF7" s="249"/>
      <c r="AG7" s="249"/>
      <c r="AH7" s="249"/>
      <c r="AI7" s="249"/>
      <c r="AJ7" s="249"/>
      <c r="AK7" s="249"/>
      <c r="AL7" s="249"/>
      <c r="AM7" s="249"/>
      <c r="AN7" s="249"/>
      <c r="AO7" s="236" t="s">
        <v>3</v>
      </c>
      <c r="AP7" s="236"/>
      <c r="AQ7" s="236"/>
      <c r="AR7" s="229" t="s">
        <v>453</v>
      </c>
      <c r="AS7" s="229"/>
      <c r="AT7" s="229"/>
      <c r="AU7" s="229"/>
      <c r="AV7" s="230"/>
      <c r="AW7" s="245"/>
    </row>
    <row r="8" spans="1:59" ht="16.350000000000001" customHeight="1" x14ac:dyDescent="0.45">
      <c r="A8" s="26"/>
      <c r="B8" s="247" t="s">
        <v>4</v>
      </c>
      <c r="C8" s="236"/>
      <c r="D8" s="236"/>
      <c r="E8" s="248" t="s">
        <v>451</v>
      </c>
      <c r="F8" s="248"/>
      <c r="G8" s="248"/>
      <c r="H8" s="248"/>
      <c r="I8" s="248"/>
      <c r="J8" s="248"/>
      <c r="K8" s="248"/>
      <c r="L8" s="248"/>
      <c r="M8" s="248"/>
      <c r="N8" s="248"/>
      <c r="O8" s="248"/>
      <c r="P8" s="248"/>
      <c r="Q8" s="248"/>
      <c r="R8" s="248"/>
      <c r="S8" s="248"/>
      <c r="T8" s="248"/>
      <c r="U8" s="241" t="s">
        <v>5</v>
      </c>
      <c r="V8" s="241"/>
      <c r="W8" s="241"/>
      <c r="X8" s="241"/>
      <c r="Y8" s="241"/>
      <c r="Z8" s="241"/>
      <c r="AA8" s="241"/>
      <c r="AB8" s="241"/>
      <c r="AC8" s="241"/>
      <c r="AD8" s="241"/>
      <c r="AE8" s="227" t="s">
        <v>452</v>
      </c>
      <c r="AF8" s="227"/>
      <c r="AG8" s="227"/>
      <c r="AH8" s="227"/>
      <c r="AI8" s="227"/>
      <c r="AJ8" s="227"/>
      <c r="AK8" s="227"/>
      <c r="AL8" s="227"/>
      <c r="AM8" s="227"/>
      <c r="AN8" s="227"/>
      <c r="AO8" s="241" t="s">
        <v>6</v>
      </c>
      <c r="AP8" s="241"/>
      <c r="AQ8" s="241"/>
      <c r="AR8" s="250" t="s">
        <v>454</v>
      </c>
      <c r="AS8" s="250"/>
      <c r="AT8" s="250"/>
      <c r="AU8" s="250"/>
      <c r="AV8" s="251"/>
      <c r="AW8" s="245"/>
    </row>
    <row r="9" spans="1:59" ht="16.350000000000001" customHeight="1" x14ac:dyDescent="0.45">
      <c r="A9" s="26"/>
      <c r="B9" s="247" t="s">
        <v>7</v>
      </c>
      <c r="C9" s="236"/>
      <c r="D9" s="236"/>
      <c r="E9" s="248" t="s">
        <v>8</v>
      </c>
      <c r="F9" s="248"/>
      <c r="G9" s="248"/>
      <c r="H9" s="248"/>
      <c r="I9" s="248"/>
      <c r="J9" s="248"/>
      <c r="K9" s="248"/>
      <c r="L9" s="248"/>
      <c r="M9" s="248"/>
      <c r="N9" s="248"/>
      <c r="O9" s="248"/>
      <c r="P9" s="248"/>
      <c r="Q9" s="248"/>
      <c r="R9" s="248"/>
      <c r="S9" s="248"/>
      <c r="T9" s="248"/>
      <c r="U9" s="236" t="s">
        <v>9</v>
      </c>
      <c r="V9" s="236"/>
      <c r="W9" s="236"/>
      <c r="X9" s="236"/>
      <c r="Y9" s="236"/>
      <c r="Z9" s="236"/>
      <c r="AA9" s="236"/>
      <c r="AB9" s="236"/>
      <c r="AC9" s="236"/>
      <c r="AD9" s="236"/>
      <c r="AE9" s="227" t="s">
        <v>10</v>
      </c>
      <c r="AF9" s="227"/>
      <c r="AG9" s="227"/>
      <c r="AH9" s="227"/>
      <c r="AI9" s="227"/>
      <c r="AJ9" s="227"/>
      <c r="AK9" s="227"/>
      <c r="AL9" s="227"/>
      <c r="AM9" s="227"/>
      <c r="AN9" s="227"/>
      <c r="AO9" s="236" t="s">
        <v>436</v>
      </c>
      <c r="AP9" s="236"/>
      <c r="AQ9" s="236"/>
      <c r="AR9" s="250" t="s">
        <v>455</v>
      </c>
      <c r="AS9" s="250"/>
      <c r="AT9" s="250"/>
      <c r="AU9" s="250"/>
      <c r="AV9" s="251"/>
      <c r="AW9" s="245"/>
    </row>
    <row r="10" spans="1:59" ht="16.5" customHeight="1" thickBot="1" x14ac:dyDescent="0.5">
      <c r="A10" s="26"/>
      <c r="B10" s="27"/>
      <c r="C10" s="27"/>
      <c r="D10" s="36"/>
      <c r="E10" s="36"/>
      <c r="F10" s="37"/>
      <c r="G10" s="37"/>
      <c r="H10" s="37"/>
      <c r="I10" s="37"/>
      <c r="J10" s="37"/>
      <c r="K10" s="37"/>
      <c r="L10" s="37"/>
      <c r="M10" s="37"/>
      <c r="N10" s="37"/>
      <c r="O10" s="37"/>
      <c r="P10" s="37"/>
      <c r="Q10" s="37"/>
      <c r="R10" s="37"/>
      <c r="S10" s="37"/>
      <c r="T10" s="37"/>
      <c r="U10" s="27"/>
      <c r="V10" s="27"/>
      <c r="W10" s="27"/>
      <c r="X10" s="27"/>
      <c r="Y10" s="27"/>
      <c r="Z10" s="27"/>
      <c r="AA10" s="27"/>
      <c r="AB10" s="27"/>
      <c r="AC10" s="27"/>
      <c r="AD10" s="27"/>
      <c r="AE10" s="36"/>
      <c r="AF10" s="27"/>
      <c r="AG10" s="27"/>
      <c r="AH10" s="38"/>
      <c r="AI10" s="36"/>
      <c r="AJ10" s="36"/>
      <c r="AK10" s="27"/>
      <c r="AL10" s="38"/>
      <c r="AM10" s="36"/>
      <c r="AN10" s="27"/>
      <c r="AO10" s="269"/>
      <c r="AP10" s="269"/>
      <c r="AQ10" s="269"/>
      <c r="AR10" s="269"/>
      <c r="AS10" s="269"/>
      <c r="AT10" s="38"/>
      <c r="AU10" s="34"/>
      <c r="AV10" s="39"/>
      <c r="AW10" s="245"/>
      <c r="AY10"/>
    </row>
    <row r="11" spans="1:59" ht="15" customHeight="1" thickTop="1" x14ac:dyDescent="0.45">
      <c r="A11" s="23"/>
      <c r="B11" s="259"/>
      <c r="C11" s="260"/>
      <c r="D11" s="260"/>
      <c r="E11" s="260"/>
      <c r="F11" s="260"/>
      <c r="G11" s="260"/>
      <c r="H11" s="260"/>
      <c r="I11" s="260"/>
      <c r="J11" s="260"/>
      <c r="K11" s="260"/>
      <c r="L11" s="260"/>
      <c r="M11" s="260"/>
      <c r="N11" s="260"/>
      <c r="O11" s="260"/>
      <c r="P11" s="260"/>
      <c r="Q11" s="260"/>
      <c r="R11" s="260"/>
      <c r="S11" s="260"/>
      <c r="T11" s="260"/>
      <c r="U11" s="260"/>
      <c r="V11" s="260"/>
      <c r="W11" s="260"/>
      <c r="X11" s="260"/>
      <c r="Y11" s="260"/>
      <c r="Z11" s="260"/>
      <c r="AA11" s="260"/>
      <c r="AB11" s="260"/>
      <c r="AC11" s="260"/>
      <c r="AD11" s="260"/>
      <c r="AE11" s="260"/>
      <c r="AF11" s="260"/>
      <c r="AG11" s="260"/>
      <c r="AH11" s="260"/>
      <c r="AI11" s="260"/>
      <c r="AJ11" s="260"/>
      <c r="AK11" s="260"/>
      <c r="AL11" s="260"/>
      <c r="AM11" s="260"/>
      <c r="AN11" s="260"/>
      <c r="AO11" s="260"/>
      <c r="AP11" s="260"/>
      <c r="AQ11" s="260"/>
      <c r="AR11" s="260"/>
      <c r="AS11" s="260"/>
      <c r="AT11" s="260"/>
      <c r="AU11" s="260"/>
      <c r="AV11" s="261"/>
      <c r="AW11" s="245"/>
    </row>
    <row r="12" spans="1:59" ht="15" customHeight="1" x14ac:dyDescent="0.45">
      <c r="A12" s="23"/>
      <c r="B12" s="262"/>
      <c r="C12" s="263"/>
      <c r="D12" s="263"/>
      <c r="E12" s="263"/>
      <c r="F12" s="263"/>
      <c r="G12" s="263"/>
      <c r="H12" s="263"/>
      <c r="I12" s="263"/>
      <c r="J12" s="263"/>
      <c r="K12" s="263"/>
      <c r="L12" s="263"/>
      <c r="M12" s="263"/>
      <c r="N12" s="263"/>
      <c r="O12" s="263"/>
      <c r="P12" s="263"/>
      <c r="Q12" s="263"/>
      <c r="R12" s="263"/>
      <c r="S12" s="263"/>
      <c r="T12" s="263"/>
      <c r="U12" s="263"/>
      <c r="V12" s="263"/>
      <c r="W12" s="263"/>
      <c r="X12" s="263"/>
      <c r="Y12" s="263"/>
      <c r="Z12" s="263"/>
      <c r="AA12" s="263"/>
      <c r="AB12" s="263"/>
      <c r="AC12" s="263"/>
      <c r="AD12" s="263"/>
      <c r="AE12" s="263"/>
      <c r="AF12" s="263"/>
      <c r="AG12" s="263"/>
      <c r="AH12" s="263"/>
      <c r="AI12" s="263"/>
      <c r="AJ12" s="263"/>
      <c r="AK12" s="263"/>
      <c r="AL12" s="263"/>
      <c r="AM12" s="263"/>
      <c r="AN12" s="263"/>
      <c r="AO12" s="263"/>
      <c r="AP12" s="263"/>
      <c r="AQ12" s="263"/>
      <c r="AR12" s="263"/>
      <c r="AS12" s="263"/>
      <c r="AT12" s="263"/>
      <c r="AU12" s="263"/>
      <c r="AV12" s="264"/>
      <c r="AW12" s="245"/>
    </row>
    <row r="13" spans="1:59" ht="15" customHeight="1" x14ac:dyDescent="0.45">
      <c r="A13" s="23"/>
      <c r="B13" s="262"/>
      <c r="C13" s="263"/>
      <c r="D13" s="263"/>
      <c r="E13" s="263"/>
      <c r="F13" s="263"/>
      <c r="G13" s="263"/>
      <c r="H13" s="263"/>
      <c r="I13" s="263"/>
      <c r="J13" s="263"/>
      <c r="K13" s="263"/>
      <c r="L13" s="263"/>
      <c r="M13" s="263"/>
      <c r="N13" s="263"/>
      <c r="O13" s="263"/>
      <c r="P13" s="263"/>
      <c r="Q13" s="263"/>
      <c r="R13" s="263"/>
      <c r="S13" s="263"/>
      <c r="T13" s="263"/>
      <c r="U13" s="263"/>
      <c r="V13" s="263"/>
      <c r="W13" s="263"/>
      <c r="X13" s="263"/>
      <c r="Y13" s="263"/>
      <c r="Z13" s="263"/>
      <c r="AA13" s="263"/>
      <c r="AB13" s="263"/>
      <c r="AC13" s="263"/>
      <c r="AD13" s="263"/>
      <c r="AE13" s="263"/>
      <c r="AF13" s="263"/>
      <c r="AG13" s="263"/>
      <c r="AH13" s="263"/>
      <c r="AI13" s="263"/>
      <c r="AJ13" s="263"/>
      <c r="AK13" s="263"/>
      <c r="AL13" s="263"/>
      <c r="AM13" s="263"/>
      <c r="AN13" s="263"/>
      <c r="AO13" s="263"/>
      <c r="AP13" s="263"/>
      <c r="AQ13" s="263"/>
      <c r="AR13" s="263"/>
      <c r="AS13" s="263"/>
      <c r="AT13" s="263"/>
      <c r="AU13" s="263"/>
      <c r="AV13" s="264"/>
      <c r="AW13" s="245"/>
    </row>
    <row r="14" spans="1:59" ht="15" customHeight="1" x14ac:dyDescent="0.45">
      <c r="A14" s="23"/>
      <c r="B14" s="262"/>
      <c r="C14" s="263"/>
      <c r="D14" s="263"/>
      <c r="E14" s="263"/>
      <c r="F14" s="263"/>
      <c r="G14" s="263"/>
      <c r="H14" s="263"/>
      <c r="I14" s="263"/>
      <c r="J14" s="263"/>
      <c r="K14" s="263"/>
      <c r="L14" s="263"/>
      <c r="M14" s="263"/>
      <c r="N14" s="263"/>
      <c r="O14" s="263"/>
      <c r="P14" s="263"/>
      <c r="Q14" s="263"/>
      <c r="R14" s="263"/>
      <c r="S14" s="263"/>
      <c r="T14" s="263"/>
      <c r="U14" s="263"/>
      <c r="V14" s="263"/>
      <c r="W14" s="263"/>
      <c r="X14" s="263"/>
      <c r="Y14" s="263"/>
      <c r="Z14" s="263"/>
      <c r="AA14" s="263"/>
      <c r="AB14" s="263"/>
      <c r="AC14" s="263"/>
      <c r="AD14" s="263"/>
      <c r="AE14" s="263"/>
      <c r="AF14" s="263"/>
      <c r="AG14" s="263"/>
      <c r="AH14" s="263"/>
      <c r="AI14" s="263"/>
      <c r="AJ14" s="263"/>
      <c r="AK14" s="263"/>
      <c r="AL14" s="263"/>
      <c r="AM14" s="263"/>
      <c r="AN14" s="263"/>
      <c r="AO14" s="263"/>
      <c r="AP14" s="263"/>
      <c r="AQ14" s="263"/>
      <c r="AR14" s="263"/>
      <c r="AS14" s="263"/>
      <c r="AT14" s="263"/>
      <c r="AU14" s="263"/>
      <c r="AV14" s="264"/>
      <c r="AW14" s="245"/>
      <c r="BB14"/>
    </row>
    <row r="15" spans="1:59" ht="15" customHeight="1" x14ac:dyDescent="0.45">
      <c r="A15" s="23"/>
      <c r="B15" s="262"/>
      <c r="C15" s="263"/>
      <c r="D15" s="263"/>
      <c r="E15" s="263"/>
      <c r="F15" s="263"/>
      <c r="G15" s="263"/>
      <c r="H15" s="263"/>
      <c r="I15" s="263"/>
      <c r="J15" s="263"/>
      <c r="K15" s="263"/>
      <c r="L15" s="263"/>
      <c r="M15" s="263"/>
      <c r="N15" s="263"/>
      <c r="O15" s="263"/>
      <c r="P15" s="263"/>
      <c r="Q15" s="263"/>
      <c r="R15" s="263"/>
      <c r="S15" s="263"/>
      <c r="T15" s="263"/>
      <c r="U15" s="263"/>
      <c r="V15" s="263"/>
      <c r="W15" s="263"/>
      <c r="X15" s="263"/>
      <c r="Y15" s="263"/>
      <c r="Z15" s="263"/>
      <c r="AA15" s="263"/>
      <c r="AB15" s="263"/>
      <c r="AC15" s="263"/>
      <c r="AD15" s="263"/>
      <c r="AE15" s="263"/>
      <c r="AF15" s="263"/>
      <c r="AG15" s="263"/>
      <c r="AH15" s="263"/>
      <c r="AI15" s="263"/>
      <c r="AJ15" s="263"/>
      <c r="AK15" s="263"/>
      <c r="AL15" s="263"/>
      <c r="AM15" s="263"/>
      <c r="AN15" s="263"/>
      <c r="AO15" s="263"/>
      <c r="AP15" s="263"/>
      <c r="AQ15" s="263"/>
      <c r="AR15" s="263"/>
      <c r="AS15" s="263"/>
      <c r="AT15" s="263"/>
      <c r="AU15" s="263"/>
      <c r="AV15" s="264"/>
      <c r="AW15" s="245"/>
      <c r="BG15"/>
    </row>
    <row r="16" spans="1:59" ht="15" customHeight="1" x14ac:dyDescent="0.45">
      <c r="A16" s="23"/>
      <c r="B16" s="262"/>
      <c r="C16" s="263"/>
      <c r="D16" s="263"/>
      <c r="E16" s="263"/>
      <c r="F16" s="263"/>
      <c r="G16" s="263"/>
      <c r="H16" s="263"/>
      <c r="I16" s="263"/>
      <c r="J16" s="263"/>
      <c r="K16" s="263"/>
      <c r="L16" s="263"/>
      <c r="M16" s="263"/>
      <c r="N16" s="263"/>
      <c r="O16" s="263"/>
      <c r="P16" s="263"/>
      <c r="Q16" s="263"/>
      <c r="R16" s="263"/>
      <c r="S16" s="263"/>
      <c r="T16" s="263"/>
      <c r="U16" s="263"/>
      <c r="V16" s="263"/>
      <c r="W16" s="263"/>
      <c r="X16" s="263"/>
      <c r="Y16" s="263"/>
      <c r="Z16" s="263"/>
      <c r="AA16" s="263"/>
      <c r="AB16" s="263"/>
      <c r="AC16" s="263"/>
      <c r="AD16" s="263"/>
      <c r="AE16" s="263"/>
      <c r="AF16" s="263"/>
      <c r="AG16" s="263"/>
      <c r="AH16" s="263"/>
      <c r="AI16" s="263"/>
      <c r="AJ16" s="263"/>
      <c r="AK16" s="263"/>
      <c r="AL16" s="263"/>
      <c r="AM16" s="263"/>
      <c r="AN16" s="263"/>
      <c r="AO16" s="263"/>
      <c r="AP16" s="263"/>
      <c r="AQ16" s="263"/>
      <c r="AR16" s="263"/>
      <c r="AS16" s="263"/>
      <c r="AT16" s="263"/>
      <c r="AU16" s="263"/>
      <c r="AV16" s="264"/>
      <c r="AW16" s="245"/>
    </row>
    <row r="17" spans="1:49" ht="15" customHeight="1" x14ac:dyDescent="0.45">
      <c r="A17" s="23"/>
      <c r="B17" s="262"/>
      <c r="C17" s="263"/>
      <c r="D17" s="263"/>
      <c r="E17" s="263"/>
      <c r="F17" s="263"/>
      <c r="G17" s="263"/>
      <c r="H17" s="263"/>
      <c r="I17" s="263"/>
      <c r="J17" s="263"/>
      <c r="K17" s="263"/>
      <c r="L17" s="263"/>
      <c r="M17" s="263"/>
      <c r="N17" s="263"/>
      <c r="O17" s="263"/>
      <c r="P17" s="263"/>
      <c r="Q17" s="263"/>
      <c r="R17" s="263"/>
      <c r="S17" s="263"/>
      <c r="T17" s="263"/>
      <c r="U17" s="263"/>
      <c r="V17" s="263"/>
      <c r="W17" s="263"/>
      <c r="X17" s="263"/>
      <c r="Y17" s="263"/>
      <c r="Z17" s="263"/>
      <c r="AA17" s="263"/>
      <c r="AB17" s="263"/>
      <c r="AC17" s="263"/>
      <c r="AD17" s="263"/>
      <c r="AE17" s="263"/>
      <c r="AF17" s="263"/>
      <c r="AG17" s="263"/>
      <c r="AH17" s="263"/>
      <c r="AI17" s="263"/>
      <c r="AJ17" s="263"/>
      <c r="AK17" s="263"/>
      <c r="AL17" s="263"/>
      <c r="AM17" s="263"/>
      <c r="AN17" s="263"/>
      <c r="AO17" s="263"/>
      <c r="AP17" s="263"/>
      <c r="AQ17" s="263"/>
      <c r="AR17" s="263"/>
      <c r="AS17" s="263"/>
      <c r="AT17" s="263"/>
      <c r="AU17" s="263"/>
      <c r="AV17" s="264"/>
      <c r="AW17" s="245"/>
    </row>
    <row r="18" spans="1:49" ht="15" customHeight="1" x14ac:dyDescent="0.45">
      <c r="A18" s="23"/>
      <c r="B18" s="262"/>
      <c r="C18" s="263"/>
      <c r="D18" s="263"/>
      <c r="E18" s="263"/>
      <c r="F18" s="263"/>
      <c r="G18" s="263"/>
      <c r="H18" s="263"/>
      <c r="I18" s="263"/>
      <c r="J18" s="263"/>
      <c r="K18" s="263"/>
      <c r="L18" s="263"/>
      <c r="M18" s="263"/>
      <c r="N18" s="263"/>
      <c r="O18" s="263"/>
      <c r="P18" s="263"/>
      <c r="Q18" s="263"/>
      <c r="R18" s="263"/>
      <c r="S18" s="263"/>
      <c r="T18" s="263"/>
      <c r="U18" s="263"/>
      <c r="V18" s="263"/>
      <c r="W18" s="263"/>
      <c r="X18" s="263"/>
      <c r="Y18" s="263"/>
      <c r="Z18" s="263"/>
      <c r="AA18" s="263"/>
      <c r="AB18" s="263"/>
      <c r="AC18" s="263"/>
      <c r="AD18" s="263"/>
      <c r="AE18" s="263"/>
      <c r="AF18" s="263"/>
      <c r="AG18" s="263"/>
      <c r="AH18" s="263"/>
      <c r="AI18" s="263"/>
      <c r="AJ18" s="263"/>
      <c r="AK18" s="263"/>
      <c r="AL18" s="263"/>
      <c r="AM18" s="263"/>
      <c r="AN18" s="263"/>
      <c r="AO18" s="263"/>
      <c r="AP18" s="263"/>
      <c r="AQ18" s="263"/>
      <c r="AR18" s="263"/>
      <c r="AS18" s="263"/>
      <c r="AT18" s="263"/>
      <c r="AU18" s="263"/>
      <c r="AV18" s="264"/>
      <c r="AW18" s="245"/>
    </row>
    <row r="19" spans="1:49" ht="15" customHeight="1" x14ac:dyDescent="0.45">
      <c r="A19" s="23"/>
      <c r="B19" s="262"/>
      <c r="C19" s="263"/>
      <c r="D19" s="263"/>
      <c r="E19" s="263"/>
      <c r="F19" s="263"/>
      <c r="G19" s="263"/>
      <c r="H19" s="263"/>
      <c r="I19" s="263"/>
      <c r="J19" s="263"/>
      <c r="K19" s="263"/>
      <c r="L19" s="263"/>
      <c r="M19" s="263"/>
      <c r="N19" s="263"/>
      <c r="O19" s="263"/>
      <c r="P19" s="263"/>
      <c r="Q19" s="263"/>
      <c r="R19" s="263"/>
      <c r="S19" s="263"/>
      <c r="T19" s="263"/>
      <c r="U19" s="263"/>
      <c r="V19" s="263"/>
      <c r="W19" s="263"/>
      <c r="X19" s="263"/>
      <c r="Y19" s="263"/>
      <c r="Z19" s="263"/>
      <c r="AA19" s="263"/>
      <c r="AB19" s="263"/>
      <c r="AC19" s="263"/>
      <c r="AD19" s="263"/>
      <c r="AE19" s="263"/>
      <c r="AF19" s="263"/>
      <c r="AG19" s="263"/>
      <c r="AH19" s="263"/>
      <c r="AI19" s="263"/>
      <c r="AJ19" s="263"/>
      <c r="AK19" s="263"/>
      <c r="AL19" s="263"/>
      <c r="AM19" s="263"/>
      <c r="AN19" s="263"/>
      <c r="AO19" s="263"/>
      <c r="AP19" s="263"/>
      <c r="AQ19" s="263"/>
      <c r="AR19" s="263"/>
      <c r="AS19" s="263"/>
      <c r="AT19" s="263"/>
      <c r="AU19" s="263"/>
      <c r="AV19" s="264"/>
      <c r="AW19" s="245"/>
    </row>
    <row r="20" spans="1:49" ht="15" customHeight="1" x14ac:dyDescent="0.45">
      <c r="A20" s="23"/>
      <c r="B20" s="262"/>
      <c r="C20" s="263"/>
      <c r="D20" s="263"/>
      <c r="E20" s="263"/>
      <c r="F20" s="263"/>
      <c r="G20" s="263"/>
      <c r="H20" s="263"/>
      <c r="I20" s="263"/>
      <c r="J20" s="263"/>
      <c r="K20" s="263"/>
      <c r="L20" s="263"/>
      <c r="M20" s="263"/>
      <c r="N20" s="263"/>
      <c r="O20" s="263"/>
      <c r="P20" s="263"/>
      <c r="Q20" s="263"/>
      <c r="R20" s="263"/>
      <c r="S20" s="263"/>
      <c r="T20" s="263"/>
      <c r="U20" s="263"/>
      <c r="V20" s="263"/>
      <c r="W20" s="263"/>
      <c r="X20" s="263"/>
      <c r="Y20" s="263"/>
      <c r="Z20" s="263"/>
      <c r="AA20" s="263"/>
      <c r="AB20" s="263"/>
      <c r="AC20" s="263"/>
      <c r="AD20" s="263"/>
      <c r="AE20" s="263"/>
      <c r="AF20" s="263"/>
      <c r="AG20" s="263"/>
      <c r="AH20" s="263"/>
      <c r="AI20" s="263"/>
      <c r="AJ20" s="263"/>
      <c r="AK20" s="263"/>
      <c r="AL20" s="263"/>
      <c r="AM20" s="263"/>
      <c r="AN20" s="263"/>
      <c r="AO20" s="263"/>
      <c r="AP20" s="263"/>
      <c r="AQ20" s="263"/>
      <c r="AR20" s="263"/>
      <c r="AS20" s="263"/>
      <c r="AT20" s="263"/>
      <c r="AU20" s="263"/>
      <c r="AV20" s="264"/>
      <c r="AW20" s="245"/>
    </row>
    <row r="21" spans="1:49" ht="15" customHeight="1" x14ac:dyDescent="0.45">
      <c r="A21" s="23"/>
      <c r="B21" s="262"/>
      <c r="C21" s="263"/>
      <c r="D21" s="263"/>
      <c r="E21" s="263"/>
      <c r="F21" s="263"/>
      <c r="G21" s="263"/>
      <c r="H21" s="263"/>
      <c r="I21" s="263"/>
      <c r="J21" s="263"/>
      <c r="K21" s="263"/>
      <c r="L21" s="263"/>
      <c r="M21" s="263"/>
      <c r="N21" s="263"/>
      <c r="O21" s="263"/>
      <c r="P21" s="263"/>
      <c r="Q21" s="263"/>
      <c r="R21" s="263"/>
      <c r="S21" s="263"/>
      <c r="T21" s="263"/>
      <c r="U21" s="263"/>
      <c r="V21" s="263"/>
      <c r="W21" s="263"/>
      <c r="X21" s="263"/>
      <c r="Y21" s="263"/>
      <c r="Z21" s="263"/>
      <c r="AA21" s="263"/>
      <c r="AB21" s="263"/>
      <c r="AC21" s="263"/>
      <c r="AD21" s="263"/>
      <c r="AE21" s="263"/>
      <c r="AF21" s="263"/>
      <c r="AG21" s="263"/>
      <c r="AH21" s="263"/>
      <c r="AI21" s="263"/>
      <c r="AJ21" s="263"/>
      <c r="AK21" s="263"/>
      <c r="AL21" s="263"/>
      <c r="AM21" s="263"/>
      <c r="AN21" s="263"/>
      <c r="AO21" s="263"/>
      <c r="AP21" s="263"/>
      <c r="AQ21" s="263"/>
      <c r="AR21" s="263"/>
      <c r="AS21" s="263"/>
      <c r="AT21" s="263"/>
      <c r="AU21" s="263"/>
      <c r="AV21" s="264"/>
      <c r="AW21" s="245"/>
    </row>
    <row r="22" spans="1:49" ht="15" customHeight="1" x14ac:dyDescent="0.45">
      <c r="A22" s="23"/>
      <c r="B22" s="262"/>
      <c r="C22" s="263"/>
      <c r="D22" s="263"/>
      <c r="E22" s="263"/>
      <c r="F22" s="263"/>
      <c r="G22" s="263"/>
      <c r="H22" s="263"/>
      <c r="I22" s="263"/>
      <c r="J22" s="263"/>
      <c r="K22" s="263"/>
      <c r="L22" s="263"/>
      <c r="M22" s="263"/>
      <c r="N22" s="263"/>
      <c r="O22" s="263"/>
      <c r="P22" s="263"/>
      <c r="Q22" s="263"/>
      <c r="R22" s="263"/>
      <c r="S22" s="263"/>
      <c r="T22" s="263"/>
      <c r="U22" s="263"/>
      <c r="V22" s="263"/>
      <c r="W22" s="263"/>
      <c r="X22" s="263"/>
      <c r="Y22" s="263"/>
      <c r="Z22" s="263"/>
      <c r="AA22" s="263"/>
      <c r="AB22" s="263"/>
      <c r="AC22" s="263"/>
      <c r="AD22" s="263"/>
      <c r="AE22" s="263"/>
      <c r="AF22" s="263"/>
      <c r="AG22" s="263"/>
      <c r="AH22" s="263"/>
      <c r="AI22" s="263"/>
      <c r="AJ22" s="263"/>
      <c r="AK22" s="263"/>
      <c r="AL22" s="263"/>
      <c r="AM22" s="263"/>
      <c r="AN22" s="263"/>
      <c r="AO22" s="263"/>
      <c r="AP22" s="263"/>
      <c r="AQ22" s="263"/>
      <c r="AR22" s="263"/>
      <c r="AS22" s="263"/>
      <c r="AT22" s="263"/>
      <c r="AU22" s="263"/>
      <c r="AV22" s="264"/>
      <c r="AW22" s="245"/>
    </row>
    <row r="23" spans="1:49" ht="15" customHeight="1" x14ac:dyDescent="0.45">
      <c r="A23" s="23"/>
      <c r="B23" s="262"/>
      <c r="C23" s="263"/>
      <c r="D23" s="263"/>
      <c r="E23" s="263"/>
      <c r="F23" s="263"/>
      <c r="G23" s="263"/>
      <c r="H23" s="263"/>
      <c r="I23" s="263"/>
      <c r="J23" s="263"/>
      <c r="K23" s="263"/>
      <c r="L23" s="263"/>
      <c r="M23" s="263"/>
      <c r="N23" s="263"/>
      <c r="O23" s="263"/>
      <c r="P23" s="263"/>
      <c r="Q23" s="263"/>
      <c r="R23" s="263"/>
      <c r="S23" s="263"/>
      <c r="T23" s="263"/>
      <c r="U23" s="263"/>
      <c r="V23" s="263"/>
      <c r="W23" s="263"/>
      <c r="X23" s="263"/>
      <c r="Y23" s="263"/>
      <c r="Z23" s="263"/>
      <c r="AA23" s="263"/>
      <c r="AB23" s="263"/>
      <c r="AC23" s="263"/>
      <c r="AD23" s="263"/>
      <c r="AE23" s="263"/>
      <c r="AF23" s="263"/>
      <c r="AG23" s="263"/>
      <c r="AH23" s="263"/>
      <c r="AI23" s="263"/>
      <c r="AJ23" s="263"/>
      <c r="AK23" s="263"/>
      <c r="AL23" s="263"/>
      <c r="AM23" s="263"/>
      <c r="AN23" s="263"/>
      <c r="AO23" s="263"/>
      <c r="AP23" s="263"/>
      <c r="AQ23" s="263"/>
      <c r="AR23" s="263"/>
      <c r="AS23" s="263"/>
      <c r="AT23" s="263"/>
      <c r="AU23" s="263"/>
      <c r="AV23" s="264"/>
      <c r="AW23" s="245"/>
    </row>
    <row r="24" spans="1:49" ht="15" customHeight="1" x14ac:dyDescent="0.45">
      <c r="A24" s="23"/>
      <c r="B24" s="262"/>
      <c r="C24" s="263"/>
      <c r="D24" s="263"/>
      <c r="E24" s="263"/>
      <c r="F24" s="263"/>
      <c r="G24" s="263"/>
      <c r="H24" s="263"/>
      <c r="I24" s="263"/>
      <c r="J24" s="263"/>
      <c r="K24" s="263"/>
      <c r="L24" s="263"/>
      <c r="M24" s="263"/>
      <c r="N24" s="263"/>
      <c r="O24" s="263"/>
      <c r="P24" s="263"/>
      <c r="Q24" s="263"/>
      <c r="R24" s="263"/>
      <c r="S24" s="263"/>
      <c r="T24" s="263"/>
      <c r="U24" s="263"/>
      <c r="V24" s="263"/>
      <c r="W24" s="263"/>
      <c r="X24" s="263"/>
      <c r="Y24" s="263"/>
      <c r="Z24" s="263"/>
      <c r="AA24" s="263"/>
      <c r="AB24" s="263"/>
      <c r="AC24" s="263"/>
      <c r="AD24" s="263"/>
      <c r="AE24" s="263"/>
      <c r="AF24" s="263"/>
      <c r="AG24" s="263"/>
      <c r="AH24" s="263"/>
      <c r="AI24" s="263"/>
      <c r="AJ24" s="263"/>
      <c r="AK24" s="263"/>
      <c r="AL24" s="263"/>
      <c r="AM24" s="263"/>
      <c r="AN24" s="263"/>
      <c r="AO24" s="263"/>
      <c r="AP24" s="263"/>
      <c r="AQ24" s="263"/>
      <c r="AR24" s="263"/>
      <c r="AS24" s="263"/>
      <c r="AT24" s="263"/>
      <c r="AU24" s="263"/>
      <c r="AV24" s="264"/>
      <c r="AW24" s="245"/>
    </row>
    <row r="25" spans="1:49" ht="15" customHeight="1" x14ac:dyDescent="0.45">
      <c r="A25" s="23"/>
      <c r="B25" s="262"/>
      <c r="C25" s="263"/>
      <c r="D25" s="263"/>
      <c r="E25" s="263"/>
      <c r="F25" s="263"/>
      <c r="G25" s="263"/>
      <c r="H25" s="263"/>
      <c r="I25" s="263"/>
      <c r="J25" s="263"/>
      <c r="K25" s="263"/>
      <c r="L25" s="263"/>
      <c r="M25" s="263"/>
      <c r="N25" s="263"/>
      <c r="O25" s="263"/>
      <c r="P25" s="263"/>
      <c r="Q25" s="263"/>
      <c r="R25" s="263"/>
      <c r="S25" s="263"/>
      <c r="T25" s="263"/>
      <c r="U25" s="263"/>
      <c r="V25" s="263"/>
      <c r="W25" s="263"/>
      <c r="X25" s="263"/>
      <c r="Y25" s="263"/>
      <c r="Z25" s="263"/>
      <c r="AA25" s="263"/>
      <c r="AB25" s="263"/>
      <c r="AC25" s="263"/>
      <c r="AD25" s="263"/>
      <c r="AE25" s="263"/>
      <c r="AF25" s="263"/>
      <c r="AG25" s="263"/>
      <c r="AH25" s="263"/>
      <c r="AI25" s="263"/>
      <c r="AJ25" s="263"/>
      <c r="AK25" s="263"/>
      <c r="AL25" s="263"/>
      <c r="AM25" s="263"/>
      <c r="AN25" s="263"/>
      <c r="AO25" s="263"/>
      <c r="AP25" s="263"/>
      <c r="AQ25" s="263"/>
      <c r="AR25" s="263"/>
      <c r="AS25" s="263"/>
      <c r="AT25" s="263"/>
      <c r="AU25" s="263"/>
      <c r="AV25" s="264"/>
      <c r="AW25" s="245"/>
    </row>
    <row r="26" spans="1:49" ht="15" customHeight="1" x14ac:dyDescent="0.45">
      <c r="A26" s="23"/>
      <c r="B26" s="262"/>
      <c r="C26" s="263"/>
      <c r="D26" s="263"/>
      <c r="E26" s="263"/>
      <c r="F26" s="263"/>
      <c r="G26" s="263"/>
      <c r="H26" s="263"/>
      <c r="I26" s="263"/>
      <c r="J26" s="263"/>
      <c r="K26" s="263"/>
      <c r="L26" s="263"/>
      <c r="M26" s="263"/>
      <c r="N26" s="263"/>
      <c r="O26" s="263"/>
      <c r="P26" s="263"/>
      <c r="Q26" s="263"/>
      <c r="R26" s="263"/>
      <c r="S26" s="263"/>
      <c r="T26" s="263"/>
      <c r="U26" s="263"/>
      <c r="V26" s="263"/>
      <c r="W26" s="263"/>
      <c r="X26" s="263"/>
      <c r="Y26" s="263"/>
      <c r="Z26" s="263"/>
      <c r="AA26" s="263"/>
      <c r="AB26" s="263"/>
      <c r="AC26" s="263"/>
      <c r="AD26" s="263"/>
      <c r="AE26" s="263"/>
      <c r="AF26" s="263"/>
      <c r="AG26" s="263"/>
      <c r="AH26" s="263"/>
      <c r="AI26" s="263"/>
      <c r="AJ26" s="263"/>
      <c r="AK26" s="263"/>
      <c r="AL26" s="263"/>
      <c r="AM26" s="263"/>
      <c r="AN26" s="263"/>
      <c r="AO26" s="263"/>
      <c r="AP26" s="263"/>
      <c r="AQ26" s="263"/>
      <c r="AR26" s="263"/>
      <c r="AS26" s="263"/>
      <c r="AT26" s="263"/>
      <c r="AU26" s="263"/>
      <c r="AV26" s="264"/>
      <c r="AW26" s="245"/>
    </row>
    <row r="27" spans="1:49" ht="15" customHeight="1" x14ac:dyDescent="0.45">
      <c r="A27" s="23"/>
      <c r="B27" s="262"/>
      <c r="C27" s="263"/>
      <c r="D27" s="263"/>
      <c r="E27" s="263"/>
      <c r="F27" s="263"/>
      <c r="G27" s="263"/>
      <c r="H27" s="263"/>
      <c r="I27" s="263"/>
      <c r="J27" s="263"/>
      <c r="K27" s="263"/>
      <c r="L27" s="263"/>
      <c r="M27" s="263"/>
      <c r="N27" s="263"/>
      <c r="O27" s="263"/>
      <c r="P27" s="263"/>
      <c r="Q27" s="263"/>
      <c r="R27" s="263"/>
      <c r="S27" s="263"/>
      <c r="T27" s="263"/>
      <c r="U27" s="263"/>
      <c r="V27" s="263"/>
      <c r="W27" s="263"/>
      <c r="X27" s="263"/>
      <c r="Y27" s="263"/>
      <c r="Z27" s="263"/>
      <c r="AA27" s="263"/>
      <c r="AB27" s="263"/>
      <c r="AC27" s="263"/>
      <c r="AD27" s="263"/>
      <c r="AE27" s="263"/>
      <c r="AF27" s="263"/>
      <c r="AG27" s="263"/>
      <c r="AH27" s="263"/>
      <c r="AI27" s="263"/>
      <c r="AJ27" s="263"/>
      <c r="AK27" s="263"/>
      <c r="AL27" s="263"/>
      <c r="AM27" s="263"/>
      <c r="AN27" s="263"/>
      <c r="AO27" s="263"/>
      <c r="AP27" s="263"/>
      <c r="AQ27" s="263"/>
      <c r="AR27" s="263"/>
      <c r="AS27" s="263"/>
      <c r="AT27" s="263"/>
      <c r="AU27" s="263"/>
      <c r="AV27" s="264"/>
      <c r="AW27" s="245"/>
    </row>
    <row r="28" spans="1:49" ht="15" customHeight="1" x14ac:dyDescent="0.45">
      <c r="A28" s="23"/>
      <c r="B28" s="262"/>
      <c r="C28" s="263"/>
      <c r="D28" s="263"/>
      <c r="E28" s="263"/>
      <c r="F28" s="263"/>
      <c r="G28" s="263"/>
      <c r="H28" s="263"/>
      <c r="I28" s="263"/>
      <c r="J28" s="263"/>
      <c r="K28" s="263"/>
      <c r="L28" s="263"/>
      <c r="M28" s="263"/>
      <c r="N28" s="263"/>
      <c r="O28" s="263"/>
      <c r="P28" s="263"/>
      <c r="Q28" s="263"/>
      <c r="R28" s="263"/>
      <c r="S28" s="263"/>
      <c r="T28" s="263"/>
      <c r="U28" s="263"/>
      <c r="V28" s="263"/>
      <c r="W28" s="263"/>
      <c r="X28" s="263"/>
      <c r="Y28" s="263"/>
      <c r="Z28" s="263"/>
      <c r="AA28" s="263"/>
      <c r="AB28" s="263"/>
      <c r="AC28" s="263"/>
      <c r="AD28" s="263"/>
      <c r="AE28" s="263"/>
      <c r="AF28" s="263"/>
      <c r="AG28" s="263"/>
      <c r="AH28" s="263"/>
      <c r="AI28" s="263"/>
      <c r="AJ28" s="263"/>
      <c r="AK28" s="263"/>
      <c r="AL28" s="263"/>
      <c r="AM28" s="263"/>
      <c r="AN28" s="263"/>
      <c r="AO28" s="263"/>
      <c r="AP28" s="263"/>
      <c r="AQ28" s="263"/>
      <c r="AR28" s="263"/>
      <c r="AS28" s="263"/>
      <c r="AT28" s="263"/>
      <c r="AU28" s="263"/>
      <c r="AV28" s="264"/>
      <c r="AW28" s="245"/>
    </row>
    <row r="29" spans="1:49" ht="15" customHeight="1" x14ac:dyDescent="0.45">
      <c r="A29" s="23"/>
      <c r="B29" s="262"/>
      <c r="C29" s="263"/>
      <c r="D29" s="263"/>
      <c r="E29" s="263"/>
      <c r="F29" s="263"/>
      <c r="G29" s="263"/>
      <c r="H29" s="263"/>
      <c r="I29" s="263"/>
      <c r="J29" s="263"/>
      <c r="K29" s="263"/>
      <c r="L29" s="263"/>
      <c r="M29" s="263"/>
      <c r="N29" s="263"/>
      <c r="O29" s="263"/>
      <c r="P29" s="263"/>
      <c r="Q29" s="263"/>
      <c r="R29" s="263"/>
      <c r="S29" s="263"/>
      <c r="T29" s="263"/>
      <c r="U29" s="263"/>
      <c r="V29" s="263"/>
      <c r="W29" s="263"/>
      <c r="X29" s="263"/>
      <c r="Y29" s="263"/>
      <c r="Z29" s="263"/>
      <c r="AA29" s="263"/>
      <c r="AB29" s="263"/>
      <c r="AC29" s="263"/>
      <c r="AD29" s="263"/>
      <c r="AE29" s="263"/>
      <c r="AF29" s="263"/>
      <c r="AG29" s="263"/>
      <c r="AH29" s="263"/>
      <c r="AI29" s="263"/>
      <c r="AJ29" s="263"/>
      <c r="AK29" s="263"/>
      <c r="AL29" s="263"/>
      <c r="AM29" s="263"/>
      <c r="AN29" s="263"/>
      <c r="AO29" s="263"/>
      <c r="AP29" s="263"/>
      <c r="AQ29" s="263"/>
      <c r="AR29" s="263"/>
      <c r="AS29" s="263"/>
      <c r="AT29" s="263"/>
      <c r="AU29" s="263"/>
      <c r="AV29" s="264"/>
      <c r="AW29" s="245"/>
    </row>
    <row r="30" spans="1:49" ht="15" customHeight="1" x14ac:dyDescent="0.45">
      <c r="A30" s="23"/>
      <c r="B30" s="262"/>
      <c r="C30" s="263"/>
      <c r="D30" s="263"/>
      <c r="E30" s="263"/>
      <c r="F30" s="263"/>
      <c r="G30" s="263"/>
      <c r="H30" s="263"/>
      <c r="I30" s="263"/>
      <c r="J30" s="263"/>
      <c r="K30" s="263"/>
      <c r="L30" s="263"/>
      <c r="M30" s="263"/>
      <c r="N30" s="263"/>
      <c r="O30" s="263"/>
      <c r="P30" s="263"/>
      <c r="Q30" s="263"/>
      <c r="R30" s="263"/>
      <c r="S30" s="263"/>
      <c r="T30" s="263"/>
      <c r="U30" s="263"/>
      <c r="V30" s="263"/>
      <c r="W30" s="263"/>
      <c r="X30" s="263"/>
      <c r="Y30" s="263"/>
      <c r="Z30" s="263"/>
      <c r="AA30" s="263"/>
      <c r="AB30" s="263"/>
      <c r="AC30" s="263"/>
      <c r="AD30" s="263"/>
      <c r="AE30" s="263"/>
      <c r="AF30" s="263"/>
      <c r="AG30" s="263"/>
      <c r="AH30" s="263"/>
      <c r="AI30" s="263"/>
      <c r="AJ30" s="263"/>
      <c r="AK30" s="263"/>
      <c r="AL30" s="263"/>
      <c r="AM30" s="263"/>
      <c r="AN30" s="263"/>
      <c r="AO30" s="263"/>
      <c r="AP30" s="263"/>
      <c r="AQ30" s="263"/>
      <c r="AR30" s="263"/>
      <c r="AS30" s="263"/>
      <c r="AT30" s="263"/>
      <c r="AU30" s="263"/>
      <c r="AV30" s="264"/>
      <c r="AW30" s="245"/>
    </row>
    <row r="31" spans="1:49" ht="15" customHeight="1" x14ac:dyDescent="0.45">
      <c r="A31" s="23"/>
      <c r="B31" s="262"/>
      <c r="C31" s="263"/>
      <c r="D31" s="263"/>
      <c r="E31" s="263"/>
      <c r="F31" s="263"/>
      <c r="G31" s="263"/>
      <c r="H31" s="263"/>
      <c r="I31" s="263"/>
      <c r="J31" s="263"/>
      <c r="K31" s="263"/>
      <c r="L31" s="263"/>
      <c r="M31" s="263"/>
      <c r="N31" s="263"/>
      <c r="O31" s="263"/>
      <c r="P31" s="263"/>
      <c r="Q31" s="263"/>
      <c r="R31" s="263"/>
      <c r="S31" s="263"/>
      <c r="T31" s="263"/>
      <c r="U31" s="263"/>
      <c r="V31" s="263"/>
      <c r="W31" s="263"/>
      <c r="X31" s="263"/>
      <c r="Y31" s="263"/>
      <c r="Z31" s="263"/>
      <c r="AA31" s="263"/>
      <c r="AB31" s="263"/>
      <c r="AC31" s="263"/>
      <c r="AD31" s="263"/>
      <c r="AE31" s="263"/>
      <c r="AF31" s="263"/>
      <c r="AG31" s="263"/>
      <c r="AH31" s="263"/>
      <c r="AI31" s="263"/>
      <c r="AJ31" s="263"/>
      <c r="AK31" s="263"/>
      <c r="AL31" s="263"/>
      <c r="AM31" s="263"/>
      <c r="AN31" s="263"/>
      <c r="AO31" s="263"/>
      <c r="AP31" s="263"/>
      <c r="AQ31" s="263"/>
      <c r="AR31" s="263"/>
      <c r="AS31" s="263"/>
      <c r="AT31" s="263"/>
      <c r="AU31" s="263"/>
      <c r="AV31" s="264"/>
      <c r="AW31" s="245"/>
    </row>
    <row r="32" spans="1:49" ht="15" customHeight="1" x14ac:dyDescent="0.45">
      <c r="A32" s="23"/>
      <c r="B32" s="262"/>
      <c r="C32" s="263"/>
      <c r="D32" s="263"/>
      <c r="E32" s="263"/>
      <c r="F32" s="263"/>
      <c r="G32" s="263"/>
      <c r="H32" s="263"/>
      <c r="I32" s="263"/>
      <c r="J32" s="263"/>
      <c r="K32" s="263"/>
      <c r="L32" s="263"/>
      <c r="M32" s="263"/>
      <c r="N32" s="263"/>
      <c r="O32" s="263"/>
      <c r="P32" s="263"/>
      <c r="Q32" s="263"/>
      <c r="R32" s="263"/>
      <c r="S32" s="263"/>
      <c r="T32" s="263"/>
      <c r="U32" s="263"/>
      <c r="V32" s="263"/>
      <c r="W32" s="263"/>
      <c r="X32" s="263"/>
      <c r="Y32" s="263"/>
      <c r="Z32" s="263"/>
      <c r="AA32" s="263"/>
      <c r="AB32" s="263"/>
      <c r="AC32" s="263"/>
      <c r="AD32" s="263"/>
      <c r="AE32" s="263"/>
      <c r="AF32" s="263"/>
      <c r="AG32" s="263"/>
      <c r="AH32" s="263"/>
      <c r="AI32" s="263"/>
      <c r="AJ32" s="263"/>
      <c r="AK32" s="263"/>
      <c r="AL32" s="263"/>
      <c r="AM32" s="263"/>
      <c r="AN32" s="263"/>
      <c r="AO32" s="263"/>
      <c r="AP32" s="263"/>
      <c r="AQ32" s="263"/>
      <c r="AR32" s="263"/>
      <c r="AS32" s="263"/>
      <c r="AT32" s="263"/>
      <c r="AU32" s="263"/>
      <c r="AV32" s="264"/>
      <c r="AW32" s="245"/>
    </row>
    <row r="33" spans="1:49" ht="15" customHeight="1" x14ac:dyDescent="0.45">
      <c r="A33" s="23"/>
      <c r="B33" s="262"/>
      <c r="C33" s="263"/>
      <c r="D33" s="263"/>
      <c r="E33" s="263"/>
      <c r="F33" s="263"/>
      <c r="G33" s="263"/>
      <c r="H33" s="263"/>
      <c r="I33" s="263"/>
      <c r="J33" s="263"/>
      <c r="K33" s="263"/>
      <c r="L33" s="263"/>
      <c r="M33" s="263"/>
      <c r="N33" s="263"/>
      <c r="O33" s="263"/>
      <c r="P33" s="263"/>
      <c r="Q33" s="263"/>
      <c r="R33" s="263"/>
      <c r="S33" s="263"/>
      <c r="T33" s="263"/>
      <c r="U33" s="263"/>
      <c r="V33" s="263"/>
      <c r="W33" s="263"/>
      <c r="X33" s="263"/>
      <c r="Y33" s="263"/>
      <c r="Z33" s="263"/>
      <c r="AA33" s="263"/>
      <c r="AB33" s="263"/>
      <c r="AC33" s="263"/>
      <c r="AD33" s="263"/>
      <c r="AE33" s="263"/>
      <c r="AF33" s="263"/>
      <c r="AG33" s="263"/>
      <c r="AH33" s="263"/>
      <c r="AI33" s="263"/>
      <c r="AJ33" s="263"/>
      <c r="AK33" s="263"/>
      <c r="AL33" s="263"/>
      <c r="AM33" s="263"/>
      <c r="AN33" s="263"/>
      <c r="AO33" s="263"/>
      <c r="AP33" s="263"/>
      <c r="AQ33" s="263"/>
      <c r="AR33" s="263"/>
      <c r="AS33" s="263"/>
      <c r="AT33" s="263"/>
      <c r="AU33" s="263"/>
      <c r="AV33" s="264"/>
      <c r="AW33" s="245"/>
    </row>
    <row r="34" spans="1:49" ht="15" customHeight="1" x14ac:dyDescent="0.45">
      <c r="A34" s="23"/>
      <c r="B34" s="262"/>
      <c r="C34" s="263"/>
      <c r="D34" s="263"/>
      <c r="E34" s="263"/>
      <c r="F34" s="263"/>
      <c r="G34" s="263"/>
      <c r="H34" s="263"/>
      <c r="I34" s="263"/>
      <c r="J34" s="263"/>
      <c r="K34" s="263"/>
      <c r="L34" s="263"/>
      <c r="M34" s="263"/>
      <c r="N34" s="263"/>
      <c r="O34" s="263"/>
      <c r="P34" s="263"/>
      <c r="Q34" s="263"/>
      <c r="R34" s="263"/>
      <c r="S34" s="263"/>
      <c r="T34" s="263"/>
      <c r="U34" s="263"/>
      <c r="V34" s="263"/>
      <c r="W34" s="263"/>
      <c r="X34" s="263"/>
      <c r="Y34" s="263"/>
      <c r="Z34" s="263"/>
      <c r="AA34" s="263"/>
      <c r="AB34" s="263"/>
      <c r="AC34" s="263"/>
      <c r="AD34" s="263"/>
      <c r="AE34" s="263"/>
      <c r="AF34" s="263"/>
      <c r="AG34" s="263"/>
      <c r="AH34" s="263"/>
      <c r="AI34" s="263"/>
      <c r="AJ34" s="263"/>
      <c r="AK34" s="263"/>
      <c r="AL34" s="263"/>
      <c r="AM34" s="263"/>
      <c r="AN34" s="263"/>
      <c r="AO34" s="263"/>
      <c r="AP34" s="263"/>
      <c r="AQ34" s="263"/>
      <c r="AR34" s="263"/>
      <c r="AS34" s="263"/>
      <c r="AT34" s="263"/>
      <c r="AU34" s="263"/>
      <c r="AV34" s="264"/>
      <c r="AW34" s="245"/>
    </row>
    <row r="35" spans="1:49" ht="15" customHeight="1" x14ac:dyDescent="0.45">
      <c r="A35" s="23"/>
      <c r="B35" s="262"/>
      <c r="C35" s="263"/>
      <c r="D35" s="263"/>
      <c r="E35" s="263"/>
      <c r="F35" s="263"/>
      <c r="G35" s="263"/>
      <c r="H35" s="263"/>
      <c r="I35" s="263"/>
      <c r="J35" s="263"/>
      <c r="K35" s="263"/>
      <c r="L35" s="263"/>
      <c r="M35" s="263"/>
      <c r="N35" s="263"/>
      <c r="O35" s="263"/>
      <c r="P35" s="263"/>
      <c r="Q35" s="263"/>
      <c r="R35" s="263"/>
      <c r="S35" s="263"/>
      <c r="T35" s="263"/>
      <c r="U35" s="263"/>
      <c r="V35" s="263"/>
      <c r="W35" s="263"/>
      <c r="X35" s="263"/>
      <c r="Y35" s="263"/>
      <c r="Z35" s="263"/>
      <c r="AA35" s="263"/>
      <c r="AB35" s="263"/>
      <c r="AC35" s="263"/>
      <c r="AD35" s="263"/>
      <c r="AE35" s="263"/>
      <c r="AF35" s="263"/>
      <c r="AG35" s="263"/>
      <c r="AH35" s="263"/>
      <c r="AI35" s="263"/>
      <c r="AJ35" s="263"/>
      <c r="AK35" s="263"/>
      <c r="AL35" s="263"/>
      <c r="AM35" s="263"/>
      <c r="AN35" s="263"/>
      <c r="AO35" s="263"/>
      <c r="AP35" s="263"/>
      <c r="AQ35" s="263"/>
      <c r="AR35" s="263"/>
      <c r="AS35" s="263"/>
      <c r="AT35" s="263"/>
      <c r="AU35" s="263"/>
      <c r="AV35" s="264"/>
      <c r="AW35" s="245"/>
    </row>
    <row r="36" spans="1:49" ht="15" customHeight="1" x14ac:dyDescent="0.45">
      <c r="A36" s="23"/>
      <c r="B36" s="262"/>
      <c r="C36" s="263"/>
      <c r="D36" s="263"/>
      <c r="E36" s="263"/>
      <c r="F36" s="263"/>
      <c r="G36" s="263"/>
      <c r="H36" s="263"/>
      <c r="I36" s="263"/>
      <c r="J36" s="263"/>
      <c r="K36" s="263"/>
      <c r="L36" s="263"/>
      <c r="M36" s="263"/>
      <c r="N36" s="263"/>
      <c r="O36" s="263"/>
      <c r="P36" s="263"/>
      <c r="Q36" s="263"/>
      <c r="R36" s="263"/>
      <c r="S36" s="263"/>
      <c r="T36" s="263"/>
      <c r="U36" s="263"/>
      <c r="V36" s="263"/>
      <c r="W36" s="263"/>
      <c r="X36" s="263"/>
      <c r="Y36" s="263"/>
      <c r="Z36" s="263"/>
      <c r="AA36" s="263"/>
      <c r="AB36" s="263"/>
      <c r="AC36" s="263"/>
      <c r="AD36" s="263"/>
      <c r="AE36" s="263"/>
      <c r="AF36" s="263"/>
      <c r="AG36" s="263"/>
      <c r="AH36" s="263"/>
      <c r="AI36" s="263"/>
      <c r="AJ36" s="263"/>
      <c r="AK36" s="263"/>
      <c r="AL36" s="263"/>
      <c r="AM36" s="263"/>
      <c r="AN36" s="263"/>
      <c r="AO36" s="263"/>
      <c r="AP36" s="263"/>
      <c r="AQ36" s="263"/>
      <c r="AR36" s="263"/>
      <c r="AS36" s="263"/>
      <c r="AT36" s="263"/>
      <c r="AU36" s="263"/>
      <c r="AV36" s="264"/>
      <c r="AW36" s="245"/>
    </row>
    <row r="37" spans="1:49" ht="15" customHeight="1" x14ac:dyDescent="0.45">
      <c r="A37" s="23"/>
      <c r="B37" s="262"/>
      <c r="C37" s="263"/>
      <c r="D37" s="263"/>
      <c r="E37" s="263"/>
      <c r="F37" s="263"/>
      <c r="G37" s="263"/>
      <c r="H37" s="263"/>
      <c r="I37" s="263"/>
      <c r="J37" s="263"/>
      <c r="K37" s="263"/>
      <c r="L37" s="263"/>
      <c r="M37" s="263"/>
      <c r="N37" s="263"/>
      <c r="O37" s="263"/>
      <c r="P37" s="263"/>
      <c r="Q37" s="263"/>
      <c r="R37" s="263"/>
      <c r="S37" s="263"/>
      <c r="T37" s="263"/>
      <c r="U37" s="263"/>
      <c r="V37" s="263"/>
      <c r="W37" s="263"/>
      <c r="X37" s="263"/>
      <c r="Y37" s="263"/>
      <c r="Z37" s="263"/>
      <c r="AA37" s="263"/>
      <c r="AB37" s="263"/>
      <c r="AC37" s="263"/>
      <c r="AD37" s="263"/>
      <c r="AE37" s="263"/>
      <c r="AF37" s="263"/>
      <c r="AG37" s="263"/>
      <c r="AH37" s="263"/>
      <c r="AI37" s="263"/>
      <c r="AJ37" s="263"/>
      <c r="AK37" s="263"/>
      <c r="AL37" s="263"/>
      <c r="AM37" s="263"/>
      <c r="AN37" s="263"/>
      <c r="AO37" s="263"/>
      <c r="AP37" s="263"/>
      <c r="AQ37" s="263"/>
      <c r="AR37" s="263"/>
      <c r="AS37" s="263"/>
      <c r="AT37" s="263"/>
      <c r="AU37" s="263"/>
      <c r="AV37" s="264"/>
      <c r="AW37" s="245"/>
    </row>
    <row r="38" spans="1:49" ht="15" customHeight="1" x14ac:dyDescent="0.45">
      <c r="A38" s="23"/>
      <c r="B38" s="262"/>
      <c r="C38" s="263"/>
      <c r="D38" s="263"/>
      <c r="E38" s="263"/>
      <c r="F38" s="263"/>
      <c r="G38" s="263"/>
      <c r="H38" s="263"/>
      <c r="I38" s="263"/>
      <c r="J38" s="263"/>
      <c r="K38" s="263"/>
      <c r="L38" s="263"/>
      <c r="M38" s="263"/>
      <c r="N38" s="263"/>
      <c r="O38" s="263"/>
      <c r="P38" s="263"/>
      <c r="Q38" s="263"/>
      <c r="R38" s="263"/>
      <c r="S38" s="263"/>
      <c r="T38" s="263"/>
      <c r="U38" s="263"/>
      <c r="V38" s="263"/>
      <c r="W38" s="263"/>
      <c r="X38" s="263"/>
      <c r="Y38" s="263"/>
      <c r="Z38" s="263"/>
      <c r="AA38" s="263"/>
      <c r="AB38" s="263"/>
      <c r="AC38" s="263"/>
      <c r="AD38" s="263"/>
      <c r="AE38" s="263"/>
      <c r="AF38" s="263"/>
      <c r="AG38" s="263"/>
      <c r="AH38" s="263"/>
      <c r="AI38" s="263"/>
      <c r="AJ38" s="263"/>
      <c r="AK38" s="263"/>
      <c r="AL38" s="263"/>
      <c r="AM38" s="263"/>
      <c r="AN38" s="263"/>
      <c r="AO38" s="263"/>
      <c r="AP38" s="263"/>
      <c r="AQ38" s="263"/>
      <c r="AR38" s="263"/>
      <c r="AS38" s="263"/>
      <c r="AT38" s="263"/>
      <c r="AU38" s="263"/>
      <c r="AV38" s="264"/>
      <c r="AW38" s="245"/>
    </row>
    <row r="39" spans="1:49" ht="15" customHeight="1" x14ac:dyDescent="0.45">
      <c r="A39" s="23"/>
      <c r="B39" s="262"/>
      <c r="C39" s="263"/>
      <c r="D39" s="263"/>
      <c r="E39" s="263"/>
      <c r="F39" s="263"/>
      <c r="G39" s="263"/>
      <c r="H39" s="263"/>
      <c r="I39" s="263"/>
      <c r="J39" s="263"/>
      <c r="K39" s="263"/>
      <c r="L39" s="263"/>
      <c r="M39" s="263"/>
      <c r="N39" s="263"/>
      <c r="O39" s="263"/>
      <c r="P39" s="263"/>
      <c r="Q39" s="263"/>
      <c r="R39" s="263"/>
      <c r="S39" s="263"/>
      <c r="T39" s="263"/>
      <c r="U39" s="263"/>
      <c r="V39" s="263"/>
      <c r="W39" s="263"/>
      <c r="X39" s="263"/>
      <c r="Y39" s="263"/>
      <c r="Z39" s="263"/>
      <c r="AA39" s="263"/>
      <c r="AB39" s="263"/>
      <c r="AC39" s="263"/>
      <c r="AD39" s="263"/>
      <c r="AE39" s="263"/>
      <c r="AF39" s="263"/>
      <c r="AG39" s="263"/>
      <c r="AH39" s="263"/>
      <c r="AI39" s="263"/>
      <c r="AJ39" s="263"/>
      <c r="AK39" s="263"/>
      <c r="AL39" s="263"/>
      <c r="AM39" s="263"/>
      <c r="AN39" s="263"/>
      <c r="AO39" s="263"/>
      <c r="AP39" s="263"/>
      <c r="AQ39" s="263"/>
      <c r="AR39" s="263"/>
      <c r="AS39" s="263"/>
      <c r="AT39" s="263"/>
      <c r="AU39" s="263"/>
      <c r="AV39" s="264"/>
      <c r="AW39" s="245"/>
    </row>
    <row r="40" spans="1:49" ht="15" customHeight="1" x14ac:dyDescent="0.45">
      <c r="A40" s="23"/>
      <c r="B40" s="262"/>
      <c r="C40" s="263"/>
      <c r="D40" s="263"/>
      <c r="E40" s="263"/>
      <c r="F40" s="263"/>
      <c r="G40" s="263"/>
      <c r="H40" s="263"/>
      <c r="I40" s="263"/>
      <c r="J40" s="263"/>
      <c r="K40" s="263"/>
      <c r="L40" s="263"/>
      <c r="M40" s="263"/>
      <c r="N40" s="263"/>
      <c r="O40" s="263"/>
      <c r="P40" s="263"/>
      <c r="Q40" s="263"/>
      <c r="R40" s="263"/>
      <c r="S40" s="263"/>
      <c r="T40" s="263"/>
      <c r="U40" s="263"/>
      <c r="V40" s="263"/>
      <c r="W40" s="263"/>
      <c r="X40" s="263"/>
      <c r="Y40" s="263"/>
      <c r="Z40" s="263"/>
      <c r="AA40" s="263"/>
      <c r="AB40" s="263"/>
      <c r="AC40" s="263"/>
      <c r="AD40" s="263"/>
      <c r="AE40" s="263"/>
      <c r="AF40" s="263"/>
      <c r="AG40" s="263"/>
      <c r="AH40" s="263"/>
      <c r="AI40" s="263"/>
      <c r="AJ40" s="263"/>
      <c r="AK40" s="263"/>
      <c r="AL40" s="263"/>
      <c r="AM40" s="263"/>
      <c r="AN40" s="263"/>
      <c r="AO40" s="263"/>
      <c r="AP40" s="263"/>
      <c r="AQ40" s="263"/>
      <c r="AR40" s="263"/>
      <c r="AS40" s="263"/>
      <c r="AT40" s="263"/>
      <c r="AU40" s="263"/>
      <c r="AV40" s="264"/>
      <c r="AW40" s="245"/>
    </row>
    <row r="41" spans="1:49" ht="15" customHeight="1" x14ac:dyDescent="0.45">
      <c r="A41" s="23"/>
      <c r="B41" s="262"/>
      <c r="C41" s="263"/>
      <c r="D41" s="263"/>
      <c r="E41" s="263"/>
      <c r="F41" s="263"/>
      <c r="G41" s="263"/>
      <c r="H41" s="263"/>
      <c r="I41" s="263"/>
      <c r="J41" s="263"/>
      <c r="K41" s="263"/>
      <c r="L41" s="263"/>
      <c r="M41" s="263"/>
      <c r="N41" s="263"/>
      <c r="O41" s="263"/>
      <c r="P41" s="263"/>
      <c r="Q41" s="263"/>
      <c r="R41" s="263"/>
      <c r="S41" s="263"/>
      <c r="T41" s="263"/>
      <c r="U41" s="263"/>
      <c r="V41" s="263"/>
      <c r="W41" s="263"/>
      <c r="X41" s="263"/>
      <c r="Y41" s="263"/>
      <c r="Z41" s="263"/>
      <c r="AA41" s="263"/>
      <c r="AB41" s="263"/>
      <c r="AC41" s="263"/>
      <c r="AD41" s="263"/>
      <c r="AE41" s="263"/>
      <c r="AF41" s="263"/>
      <c r="AG41" s="263"/>
      <c r="AH41" s="263"/>
      <c r="AI41" s="263"/>
      <c r="AJ41" s="263"/>
      <c r="AK41" s="263"/>
      <c r="AL41" s="263"/>
      <c r="AM41" s="263"/>
      <c r="AN41" s="263"/>
      <c r="AO41" s="263"/>
      <c r="AP41" s="263"/>
      <c r="AQ41" s="263"/>
      <c r="AR41" s="263"/>
      <c r="AS41" s="263"/>
      <c r="AT41" s="263"/>
      <c r="AU41" s="263"/>
      <c r="AV41" s="264"/>
      <c r="AW41" s="245"/>
    </row>
    <row r="42" spans="1:49" ht="15" customHeight="1" x14ac:dyDescent="0.45">
      <c r="A42" s="23"/>
      <c r="B42" s="262"/>
      <c r="C42" s="263"/>
      <c r="D42" s="263"/>
      <c r="E42" s="263"/>
      <c r="F42" s="263"/>
      <c r="G42" s="263"/>
      <c r="H42" s="263"/>
      <c r="I42" s="263"/>
      <c r="J42" s="263"/>
      <c r="K42" s="263"/>
      <c r="L42" s="263"/>
      <c r="M42" s="263"/>
      <c r="N42" s="263"/>
      <c r="O42" s="263"/>
      <c r="P42" s="263"/>
      <c r="Q42" s="263"/>
      <c r="R42" s="263"/>
      <c r="S42" s="263"/>
      <c r="T42" s="263"/>
      <c r="U42" s="263"/>
      <c r="V42" s="263"/>
      <c r="W42" s="263"/>
      <c r="X42" s="263"/>
      <c r="Y42" s="263"/>
      <c r="Z42" s="263"/>
      <c r="AA42" s="263"/>
      <c r="AB42" s="263"/>
      <c r="AC42" s="263"/>
      <c r="AD42" s="263"/>
      <c r="AE42" s="263"/>
      <c r="AF42" s="263"/>
      <c r="AG42" s="263"/>
      <c r="AH42" s="263"/>
      <c r="AI42" s="263"/>
      <c r="AJ42" s="263"/>
      <c r="AK42" s="263"/>
      <c r="AL42" s="263"/>
      <c r="AM42" s="263"/>
      <c r="AN42" s="263"/>
      <c r="AO42" s="263"/>
      <c r="AP42" s="263"/>
      <c r="AQ42" s="263"/>
      <c r="AR42" s="263"/>
      <c r="AS42" s="263"/>
      <c r="AT42" s="263"/>
      <c r="AU42" s="263"/>
      <c r="AV42" s="264"/>
      <c r="AW42" s="245"/>
    </row>
    <row r="43" spans="1:49" ht="15" customHeight="1" x14ac:dyDescent="0.45">
      <c r="A43" s="23"/>
      <c r="B43" s="262"/>
      <c r="C43" s="263"/>
      <c r="D43" s="263"/>
      <c r="E43" s="263"/>
      <c r="F43" s="263"/>
      <c r="G43" s="263"/>
      <c r="H43" s="263"/>
      <c r="I43" s="263"/>
      <c r="J43" s="263"/>
      <c r="K43" s="263"/>
      <c r="L43" s="263"/>
      <c r="M43" s="263"/>
      <c r="N43" s="263"/>
      <c r="O43" s="263"/>
      <c r="P43" s="263"/>
      <c r="Q43" s="263"/>
      <c r="R43" s="263"/>
      <c r="S43" s="263"/>
      <c r="T43" s="263"/>
      <c r="U43" s="263"/>
      <c r="V43" s="263"/>
      <c r="W43" s="263"/>
      <c r="X43" s="263"/>
      <c r="Y43" s="263"/>
      <c r="Z43" s="263"/>
      <c r="AA43" s="263"/>
      <c r="AB43" s="263"/>
      <c r="AC43" s="263"/>
      <c r="AD43" s="263"/>
      <c r="AE43" s="263"/>
      <c r="AF43" s="263"/>
      <c r="AG43" s="263"/>
      <c r="AH43" s="263"/>
      <c r="AI43" s="263"/>
      <c r="AJ43" s="263"/>
      <c r="AK43" s="263"/>
      <c r="AL43" s="263"/>
      <c r="AM43" s="263"/>
      <c r="AN43" s="263"/>
      <c r="AO43" s="263"/>
      <c r="AP43" s="263"/>
      <c r="AQ43" s="263"/>
      <c r="AR43" s="263"/>
      <c r="AS43" s="263"/>
      <c r="AT43" s="263"/>
      <c r="AU43" s="263"/>
      <c r="AV43" s="264"/>
      <c r="AW43" s="245"/>
    </row>
    <row r="44" spans="1:49" ht="15" customHeight="1" x14ac:dyDescent="0.45">
      <c r="A44" s="23"/>
      <c r="B44" s="265"/>
      <c r="C44" s="266"/>
      <c r="D44" s="266"/>
      <c r="E44" s="266"/>
      <c r="F44" s="266"/>
      <c r="G44" s="266"/>
      <c r="H44" s="266"/>
      <c r="I44" s="266"/>
      <c r="J44" s="266"/>
      <c r="K44" s="266"/>
      <c r="L44" s="266"/>
      <c r="M44" s="266"/>
      <c r="N44" s="266"/>
      <c r="O44" s="266"/>
      <c r="P44" s="266"/>
      <c r="Q44" s="266"/>
      <c r="R44" s="266"/>
      <c r="S44" s="266"/>
      <c r="T44" s="266"/>
      <c r="U44" s="266"/>
      <c r="V44" s="266"/>
      <c r="W44" s="266"/>
      <c r="X44" s="266"/>
      <c r="Y44" s="266"/>
      <c r="Z44" s="266"/>
      <c r="AA44" s="266"/>
      <c r="AB44" s="266"/>
      <c r="AC44" s="266"/>
      <c r="AD44" s="266"/>
      <c r="AE44" s="266"/>
      <c r="AF44" s="266"/>
      <c r="AG44" s="266"/>
      <c r="AH44" s="266"/>
      <c r="AI44" s="266"/>
      <c r="AJ44" s="266"/>
      <c r="AK44" s="266"/>
      <c r="AL44" s="266"/>
      <c r="AM44" s="266"/>
      <c r="AN44" s="266"/>
      <c r="AO44" s="266"/>
      <c r="AP44" s="266"/>
      <c r="AQ44" s="266"/>
      <c r="AR44" s="266"/>
      <c r="AS44" s="266"/>
      <c r="AT44" s="266"/>
      <c r="AU44" s="266"/>
      <c r="AV44" s="267"/>
      <c r="AW44" s="245"/>
    </row>
    <row r="45" spans="1:49" ht="18.75" x14ac:dyDescent="0.45">
      <c r="A45" s="23"/>
      <c r="B45" s="34"/>
      <c r="C45" s="40"/>
      <c r="D45" s="40"/>
      <c r="E45" s="40"/>
      <c r="F45" s="40"/>
      <c r="G45" s="41"/>
      <c r="H45" s="40"/>
      <c r="I45" s="235"/>
      <c r="J45" s="235"/>
      <c r="K45" s="235"/>
      <c r="L45" s="235"/>
      <c r="M45" s="235"/>
      <c r="N45" s="235"/>
      <c r="O45" s="235"/>
      <c r="P45" s="235"/>
      <c r="Q45" s="235"/>
      <c r="R45" s="235"/>
      <c r="S45" s="235"/>
      <c r="T45" s="235"/>
      <c r="U45" s="268"/>
      <c r="V45" s="268"/>
      <c r="W45" s="268"/>
      <c r="X45" s="268"/>
      <c r="Y45" s="268"/>
      <c r="Z45" s="268"/>
      <c r="AA45" s="268"/>
      <c r="AB45" s="268"/>
      <c r="AC45" s="268"/>
      <c r="AD45" s="268"/>
      <c r="AE45" s="268"/>
      <c r="AF45" s="40"/>
      <c r="AG45" s="27"/>
      <c r="AH45" s="27"/>
      <c r="AI45" s="27"/>
      <c r="AJ45" s="27"/>
      <c r="AK45" s="27"/>
      <c r="AL45" s="27"/>
      <c r="AM45" s="27"/>
      <c r="AN45" s="27"/>
      <c r="AO45" s="27"/>
      <c r="AP45" s="27"/>
      <c r="AQ45" s="27"/>
      <c r="AR45" s="27"/>
      <c r="AS45" s="27"/>
      <c r="AT45" s="27"/>
      <c r="AU45" s="27"/>
      <c r="AV45" s="27"/>
      <c r="AW45" s="245"/>
    </row>
    <row r="46" spans="1:49" ht="18.75" x14ac:dyDescent="0.45">
      <c r="A46" s="23"/>
      <c r="B46" s="246" t="s">
        <v>11</v>
      </c>
      <c r="C46" s="246"/>
      <c r="D46" s="246"/>
      <c r="E46" s="246"/>
      <c r="F46" s="246"/>
      <c r="G46" s="246"/>
      <c r="H46" s="246"/>
      <c r="I46" s="246"/>
      <c r="J46" s="246"/>
      <c r="K46" s="246"/>
      <c r="L46" s="246"/>
      <c r="M46" s="246"/>
      <c r="N46" s="246"/>
      <c r="O46" s="246"/>
      <c r="P46" s="246"/>
      <c r="Q46" s="246"/>
      <c r="R46" s="246"/>
      <c r="S46" s="246"/>
      <c r="T46" s="246"/>
      <c r="U46" s="246"/>
      <c r="V46" s="246"/>
      <c r="W46" s="246"/>
      <c r="X46" s="246"/>
      <c r="Y46" s="246"/>
      <c r="Z46" s="246"/>
      <c r="AA46" s="246"/>
      <c r="AB46" s="246"/>
      <c r="AC46" s="246"/>
      <c r="AD46" s="246"/>
      <c r="AE46" s="246"/>
      <c r="AF46" s="246"/>
      <c r="AG46" s="246"/>
      <c r="AH46" s="246"/>
      <c r="AI46" s="246"/>
      <c r="AJ46" s="246"/>
      <c r="AK46" s="246"/>
      <c r="AL46" s="246"/>
      <c r="AM46" s="246"/>
      <c r="AN46" s="246"/>
      <c r="AO46" s="246"/>
      <c r="AP46" s="246"/>
      <c r="AQ46" s="246"/>
      <c r="AR46" s="246"/>
      <c r="AS46" s="246"/>
      <c r="AT46" s="246"/>
      <c r="AU46" s="246"/>
      <c r="AV46" s="246"/>
      <c r="AW46" s="245"/>
    </row>
    <row r="47" spans="1:49" ht="18" customHeight="1" x14ac:dyDescent="0.45">
      <c r="A47" s="23"/>
      <c r="B47" s="27"/>
      <c r="C47" s="27"/>
      <c r="D47" s="27"/>
      <c r="E47" s="27"/>
      <c r="F47" s="27"/>
      <c r="G47" s="27"/>
      <c r="H47" s="27"/>
      <c r="I47" s="27"/>
      <c r="J47" s="27"/>
      <c r="K47" s="27"/>
      <c r="L47" s="27"/>
      <c r="M47" s="27"/>
      <c r="N47" s="27"/>
      <c r="O47" s="27"/>
      <c r="P47" s="27"/>
      <c r="Q47" s="27"/>
      <c r="R47" s="27"/>
      <c r="S47" s="27"/>
      <c r="T47" s="27"/>
      <c r="U47" s="27"/>
      <c r="V47" s="27"/>
      <c r="W47" s="27"/>
      <c r="X47" s="27"/>
      <c r="Y47" s="27"/>
      <c r="Z47" s="27"/>
      <c r="AA47" s="27"/>
      <c r="AB47" s="27"/>
      <c r="AC47" s="27"/>
      <c r="AD47" s="27"/>
      <c r="AE47" s="27"/>
      <c r="AF47" s="27"/>
      <c r="AG47" s="27"/>
      <c r="AH47" s="27"/>
      <c r="AI47" s="27"/>
      <c r="AJ47" s="27"/>
      <c r="AK47" s="27"/>
      <c r="AL47" s="27"/>
      <c r="AM47" s="27"/>
      <c r="AN47" s="27"/>
      <c r="AO47" s="27"/>
      <c r="AP47" s="27"/>
      <c r="AQ47" s="27"/>
      <c r="AR47" s="27"/>
      <c r="AS47" s="27"/>
      <c r="AT47" s="27"/>
      <c r="AU47" s="27"/>
      <c r="AV47" s="27"/>
      <c r="AW47" s="245"/>
    </row>
    <row r="48" spans="1:49" ht="48.75" customHeight="1" x14ac:dyDescent="0.45">
      <c r="A48" s="23"/>
      <c r="B48" s="253" t="s">
        <v>12</v>
      </c>
      <c r="C48" s="254"/>
      <c r="D48" s="255"/>
      <c r="E48" s="253" t="s">
        <v>13</v>
      </c>
      <c r="F48" s="254"/>
      <c r="G48" s="255"/>
      <c r="H48" s="256" t="s">
        <v>14</v>
      </c>
      <c r="I48" s="257"/>
      <c r="J48" s="258"/>
      <c r="K48" s="253" t="s">
        <v>15</v>
      </c>
      <c r="L48" s="254"/>
      <c r="M48" s="254"/>
      <c r="N48" s="254"/>
      <c r="O48" s="254"/>
      <c r="P48" s="254"/>
      <c r="Q48" s="254"/>
      <c r="R48" s="254"/>
      <c r="S48" s="254"/>
      <c r="T48" s="254"/>
      <c r="U48" s="254"/>
      <c r="V48" s="254"/>
      <c r="W48" s="254"/>
      <c r="X48" s="254"/>
      <c r="Y48" s="254"/>
      <c r="Z48" s="254"/>
      <c r="AA48" s="254"/>
      <c r="AB48" s="254"/>
      <c r="AC48" s="254"/>
      <c r="AD48" s="254"/>
      <c r="AE48" s="254"/>
      <c r="AF48" s="254"/>
      <c r="AG48" s="254"/>
      <c r="AH48" s="254"/>
      <c r="AI48" s="254"/>
      <c r="AJ48" s="255"/>
      <c r="AK48" s="256" t="s">
        <v>16</v>
      </c>
      <c r="AL48" s="257"/>
      <c r="AM48" s="257"/>
      <c r="AN48" s="257"/>
      <c r="AO48" s="258"/>
      <c r="AP48" s="256" t="s">
        <v>17</v>
      </c>
      <c r="AQ48" s="258"/>
      <c r="AR48" s="231" t="s">
        <v>18</v>
      </c>
      <c r="AS48" s="231"/>
      <c r="AT48" s="231"/>
      <c r="AU48" s="231"/>
      <c r="AV48" s="231"/>
      <c r="AW48" s="245"/>
    </row>
    <row r="49" spans="1:81" ht="18.75" x14ac:dyDescent="0.45">
      <c r="A49" s="23"/>
      <c r="B49" s="237">
        <v>1</v>
      </c>
      <c r="C49" s="238"/>
      <c r="D49" s="239"/>
      <c r="E49" s="190"/>
      <c r="F49" s="191"/>
      <c r="G49" s="192"/>
      <c r="H49" s="190"/>
      <c r="I49" s="191"/>
      <c r="J49" s="192"/>
      <c r="K49" s="232" t="s">
        <v>84</v>
      </c>
      <c r="L49" s="233"/>
      <c r="M49" s="233"/>
      <c r="N49" s="233"/>
      <c r="O49" s="233"/>
      <c r="P49" s="233"/>
      <c r="Q49" s="233"/>
      <c r="R49" s="233"/>
      <c r="S49" s="233"/>
      <c r="T49" s="233"/>
      <c r="U49" s="233"/>
      <c r="V49" s="233"/>
      <c r="W49" s="233"/>
      <c r="X49" s="233"/>
      <c r="Y49" s="233"/>
      <c r="Z49" s="233"/>
      <c r="AA49" s="233"/>
      <c r="AB49" s="233"/>
      <c r="AC49" s="233"/>
      <c r="AD49" s="233"/>
      <c r="AE49" s="233"/>
      <c r="AF49" s="233"/>
      <c r="AG49" s="233"/>
      <c r="AH49" s="233"/>
      <c r="AI49" s="233"/>
      <c r="AJ49" s="234"/>
      <c r="AK49" s="212"/>
      <c r="AL49" s="213"/>
      <c r="AM49" s="213"/>
      <c r="AN49" s="213"/>
      <c r="AO49" s="214"/>
      <c r="AP49" s="212" t="s">
        <v>467</v>
      </c>
      <c r="AQ49" s="214"/>
      <c r="AR49" s="210"/>
      <c r="AS49" s="210"/>
      <c r="AT49" s="210"/>
      <c r="AU49" s="210"/>
      <c r="AV49" s="210"/>
      <c r="AW49" s="245"/>
    </row>
    <row r="50" spans="1:81" ht="18.75" x14ac:dyDescent="0.45">
      <c r="A50" s="23"/>
      <c r="B50" s="222">
        <v>2</v>
      </c>
      <c r="C50" s="223"/>
      <c r="D50" s="224"/>
      <c r="E50" s="190"/>
      <c r="F50" s="191"/>
      <c r="G50" s="192"/>
      <c r="H50" s="190"/>
      <c r="I50" s="191"/>
      <c r="J50" s="192"/>
      <c r="K50" s="232" t="s">
        <v>84</v>
      </c>
      <c r="L50" s="233"/>
      <c r="M50" s="233"/>
      <c r="N50" s="233"/>
      <c r="O50" s="233"/>
      <c r="P50" s="233"/>
      <c r="Q50" s="233"/>
      <c r="R50" s="233"/>
      <c r="S50" s="233"/>
      <c r="T50" s="233"/>
      <c r="U50" s="233"/>
      <c r="V50" s="233"/>
      <c r="W50" s="233"/>
      <c r="X50" s="233"/>
      <c r="Y50" s="233"/>
      <c r="Z50" s="233"/>
      <c r="AA50" s="233"/>
      <c r="AB50" s="233"/>
      <c r="AC50" s="233"/>
      <c r="AD50" s="233"/>
      <c r="AE50" s="233"/>
      <c r="AF50" s="233"/>
      <c r="AG50" s="233"/>
      <c r="AH50" s="233"/>
      <c r="AI50" s="233"/>
      <c r="AJ50" s="234"/>
      <c r="AK50" s="212"/>
      <c r="AL50" s="213"/>
      <c r="AM50" s="213"/>
      <c r="AN50" s="213"/>
      <c r="AO50" s="214"/>
      <c r="AP50" s="212" t="s">
        <v>467</v>
      </c>
      <c r="AQ50" s="214"/>
      <c r="AR50" s="210"/>
      <c r="AS50" s="210"/>
      <c r="AT50" s="210"/>
      <c r="AU50" s="210"/>
      <c r="AV50" s="210"/>
      <c r="AW50" s="245"/>
    </row>
    <row r="51" spans="1:81" ht="18.75" x14ac:dyDescent="0.45">
      <c r="A51" s="23"/>
      <c r="B51" s="222">
        <v>3</v>
      </c>
      <c r="C51" s="223"/>
      <c r="D51" s="224"/>
      <c r="E51" s="190"/>
      <c r="F51" s="191"/>
      <c r="G51" s="192"/>
      <c r="H51" s="190"/>
      <c r="I51" s="191"/>
      <c r="J51" s="192"/>
      <c r="K51" s="232" t="s">
        <v>84</v>
      </c>
      <c r="L51" s="233"/>
      <c r="M51" s="233"/>
      <c r="N51" s="233"/>
      <c r="O51" s="233"/>
      <c r="P51" s="233"/>
      <c r="Q51" s="233"/>
      <c r="R51" s="233"/>
      <c r="S51" s="233"/>
      <c r="T51" s="233"/>
      <c r="U51" s="233"/>
      <c r="V51" s="233"/>
      <c r="W51" s="233"/>
      <c r="X51" s="233"/>
      <c r="Y51" s="233"/>
      <c r="Z51" s="233"/>
      <c r="AA51" s="233"/>
      <c r="AB51" s="233"/>
      <c r="AC51" s="233"/>
      <c r="AD51" s="233"/>
      <c r="AE51" s="233"/>
      <c r="AF51" s="233"/>
      <c r="AG51" s="233"/>
      <c r="AH51" s="233"/>
      <c r="AI51" s="233"/>
      <c r="AJ51" s="234"/>
      <c r="AK51" s="212"/>
      <c r="AL51" s="213"/>
      <c r="AM51" s="213"/>
      <c r="AN51" s="213"/>
      <c r="AO51" s="214"/>
      <c r="AP51" s="212" t="s">
        <v>467</v>
      </c>
      <c r="AQ51" s="214"/>
      <c r="AR51" s="210"/>
      <c r="AS51" s="210"/>
      <c r="AT51" s="210"/>
      <c r="AU51" s="210"/>
      <c r="AV51" s="210"/>
      <c r="AW51" s="245"/>
    </row>
    <row r="52" spans="1:81" ht="18.75" x14ac:dyDescent="0.45">
      <c r="A52" s="23"/>
      <c r="B52" s="222">
        <v>4</v>
      </c>
      <c r="C52" s="223"/>
      <c r="D52" s="224"/>
      <c r="E52" s="190"/>
      <c r="F52" s="191"/>
      <c r="G52" s="225"/>
      <c r="H52" s="190"/>
      <c r="I52" s="191"/>
      <c r="J52" s="192"/>
      <c r="K52" s="232" t="s">
        <v>84</v>
      </c>
      <c r="L52" s="233"/>
      <c r="M52" s="233"/>
      <c r="N52" s="233"/>
      <c r="O52" s="233"/>
      <c r="P52" s="233"/>
      <c r="Q52" s="233"/>
      <c r="R52" s="233"/>
      <c r="S52" s="233"/>
      <c r="T52" s="233"/>
      <c r="U52" s="233"/>
      <c r="V52" s="233"/>
      <c r="W52" s="233"/>
      <c r="X52" s="233"/>
      <c r="Y52" s="233"/>
      <c r="Z52" s="233"/>
      <c r="AA52" s="233"/>
      <c r="AB52" s="233"/>
      <c r="AC52" s="233"/>
      <c r="AD52" s="233"/>
      <c r="AE52" s="233"/>
      <c r="AF52" s="233"/>
      <c r="AG52" s="233"/>
      <c r="AH52" s="233"/>
      <c r="AI52" s="233"/>
      <c r="AJ52" s="234"/>
      <c r="AK52" s="212"/>
      <c r="AL52" s="213"/>
      <c r="AM52" s="213"/>
      <c r="AN52" s="213"/>
      <c r="AO52" s="214"/>
      <c r="AP52" s="212" t="s">
        <v>467</v>
      </c>
      <c r="AQ52" s="214"/>
      <c r="AR52" s="210"/>
      <c r="AS52" s="210"/>
      <c r="AT52" s="210"/>
      <c r="AU52" s="210"/>
      <c r="AV52" s="210"/>
      <c r="AW52" s="245"/>
    </row>
    <row r="53" spans="1:81" ht="18.75" x14ac:dyDescent="0.45">
      <c r="A53" s="23"/>
      <c r="B53" s="222">
        <v>5</v>
      </c>
      <c r="C53" s="223"/>
      <c r="D53" s="224"/>
      <c r="E53" s="190"/>
      <c r="F53" s="191"/>
      <c r="G53" s="225"/>
      <c r="H53" s="190"/>
      <c r="I53" s="191"/>
      <c r="J53" s="192"/>
      <c r="K53" s="232" t="s">
        <v>84</v>
      </c>
      <c r="L53" s="233"/>
      <c r="M53" s="233"/>
      <c r="N53" s="233"/>
      <c r="O53" s="233"/>
      <c r="P53" s="233"/>
      <c r="Q53" s="233"/>
      <c r="R53" s="233"/>
      <c r="S53" s="233"/>
      <c r="T53" s="233"/>
      <c r="U53" s="233"/>
      <c r="V53" s="233"/>
      <c r="W53" s="233"/>
      <c r="X53" s="233"/>
      <c r="Y53" s="233"/>
      <c r="Z53" s="233"/>
      <c r="AA53" s="233"/>
      <c r="AB53" s="233"/>
      <c r="AC53" s="233"/>
      <c r="AD53" s="233"/>
      <c r="AE53" s="233"/>
      <c r="AF53" s="233"/>
      <c r="AG53" s="233"/>
      <c r="AH53" s="233"/>
      <c r="AI53" s="233"/>
      <c r="AJ53" s="234"/>
      <c r="AK53" s="212"/>
      <c r="AL53" s="213"/>
      <c r="AM53" s="213"/>
      <c r="AN53" s="213"/>
      <c r="AO53" s="214"/>
      <c r="AP53" s="212"/>
      <c r="AQ53" s="214"/>
      <c r="AR53" s="210"/>
      <c r="AS53" s="210"/>
      <c r="AT53" s="210"/>
      <c r="AU53" s="210"/>
      <c r="AV53" s="210"/>
      <c r="AW53" s="245"/>
    </row>
    <row r="54" spans="1:81" ht="18.75" x14ac:dyDescent="0.45">
      <c r="A54" s="23"/>
      <c r="B54" s="222">
        <v>6</v>
      </c>
      <c r="C54" s="223"/>
      <c r="D54" s="224"/>
      <c r="E54" s="190"/>
      <c r="F54" s="191"/>
      <c r="G54" s="225"/>
      <c r="H54" s="190"/>
      <c r="I54" s="191"/>
      <c r="J54" s="192"/>
      <c r="K54" s="232" t="s">
        <v>84</v>
      </c>
      <c r="L54" s="233"/>
      <c r="M54" s="233"/>
      <c r="N54" s="233"/>
      <c r="O54" s="233"/>
      <c r="P54" s="233"/>
      <c r="Q54" s="233"/>
      <c r="R54" s="233"/>
      <c r="S54" s="233"/>
      <c r="T54" s="233"/>
      <c r="U54" s="233"/>
      <c r="V54" s="233"/>
      <c r="W54" s="233"/>
      <c r="X54" s="233"/>
      <c r="Y54" s="233"/>
      <c r="Z54" s="233"/>
      <c r="AA54" s="233"/>
      <c r="AB54" s="233"/>
      <c r="AC54" s="233"/>
      <c r="AD54" s="233"/>
      <c r="AE54" s="233"/>
      <c r="AF54" s="233"/>
      <c r="AG54" s="233"/>
      <c r="AH54" s="233"/>
      <c r="AI54" s="233"/>
      <c r="AJ54" s="234"/>
      <c r="AK54" s="212"/>
      <c r="AL54" s="213"/>
      <c r="AM54" s="213"/>
      <c r="AN54" s="213"/>
      <c r="AO54" s="214"/>
      <c r="AP54" s="212"/>
      <c r="AQ54" s="214"/>
      <c r="AR54" s="210"/>
      <c r="AS54" s="210"/>
      <c r="AT54" s="210"/>
      <c r="AU54" s="210"/>
      <c r="AV54" s="210"/>
      <c r="AW54" s="245"/>
    </row>
    <row r="55" spans="1:81" ht="18.75" x14ac:dyDescent="0.45">
      <c r="A55" s="23"/>
      <c r="B55" s="222">
        <v>7</v>
      </c>
      <c r="C55" s="223"/>
      <c r="D55" s="224"/>
      <c r="E55" s="190"/>
      <c r="F55" s="191"/>
      <c r="G55" s="225"/>
      <c r="H55" s="190"/>
      <c r="I55" s="191"/>
      <c r="J55" s="192"/>
      <c r="K55" s="226" t="s">
        <v>84</v>
      </c>
      <c r="L55" s="227"/>
      <c r="M55" s="227"/>
      <c r="N55" s="227"/>
      <c r="O55" s="227"/>
      <c r="P55" s="227"/>
      <c r="Q55" s="227"/>
      <c r="R55" s="227"/>
      <c r="S55" s="227"/>
      <c r="T55" s="227"/>
      <c r="U55" s="227"/>
      <c r="V55" s="227"/>
      <c r="W55" s="227"/>
      <c r="X55" s="227"/>
      <c r="Y55" s="227"/>
      <c r="Z55" s="227"/>
      <c r="AA55" s="227"/>
      <c r="AB55" s="227"/>
      <c r="AC55" s="227"/>
      <c r="AD55" s="227"/>
      <c r="AE55" s="227"/>
      <c r="AF55" s="227"/>
      <c r="AG55" s="227"/>
      <c r="AH55" s="227"/>
      <c r="AI55" s="227"/>
      <c r="AJ55" s="228"/>
      <c r="AK55" s="212"/>
      <c r="AL55" s="213"/>
      <c r="AM55" s="213"/>
      <c r="AN55" s="213"/>
      <c r="AO55" s="214"/>
      <c r="AP55" s="212"/>
      <c r="AQ55" s="214"/>
      <c r="AR55" s="210"/>
      <c r="AS55" s="210"/>
      <c r="AT55" s="210"/>
      <c r="AU55" s="210"/>
      <c r="AV55" s="210"/>
      <c r="AW55" s="245"/>
    </row>
    <row r="56" spans="1:81" ht="21" x14ac:dyDescent="0.5">
      <c r="A56" s="23"/>
      <c r="B56" s="222">
        <v>8</v>
      </c>
      <c r="C56" s="223"/>
      <c r="D56" s="224"/>
      <c r="E56" s="190"/>
      <c r="F56" s="191"/>
      <c r="G56" s="225"/>
      <c r="H56" s="190"/>
      <c r="I56" s="191"/>
      <c r="J56" s="192"/>
      <c r="K56" s="226" t="str">
        <f>+VLOOKUP(H56,'Lista Defeitos'!$A:$C,3)</f>
        <v>-</v>
      </c>
      <c r="L56" s="227"/>
      <c r="M56" s="227"/>
      <c r="N56" s="227"/>
      <c r="O56" s="227"/>
      <c r="P56" s="227"/>
      <c r="Q56" s="227"/>
      <c r="R56" s="227"/>
      <c r="S56" s="227"/>
      <c r="T56" s="227"/>
      <c r="U56" s="227"/>
      <c r="V56" s="227"/>
      <c r="W56" s="227"/>
      <c r="X56" s="227"/>
      <c r="Y56" s="227"/>
      <c r="Z56" s="227"/>
      <c r="AA56" s="227"/>
      <c r="AB56" s="227"/>
      <c r="AC56" s="227"/>
      <c r="AD56" s="227"/>
      <c r="AE56" s="227"/>
      <c r="AF56" s="227"/>
      <c r="AG56" s="227"/>
      <c r="AH56" s="227"/>
      <c r="AI56" s="227"/>
      <c r="AJ56" s="228"/>
      <c r="AK56" s="215"/>
      <c r="AL56" s="216"/>
      <c r="AM56" s="216"/>
      <c r="AN56" s="216"/>
      <c r="AO56" s="217"/>
      <c r="AP56" s="212"/>
      <c r="AQ56" s="214"/>
      <c r="AR56" s="210"/>
      <c r="AS56" s="210"/>
      <c r="AT56" s="210"/>
      <c r="AU56" s="210"/>
      <c r="AV56" s="210"/>
      <c r="AW56" s="245"/>
      <c r="CC56" s="18"/>
    </row>
    <row r="57" spans="1:81" ht="18.75" x14ac:dyDescent="0.45">
      <c r="A57" s="23"/>
      <c r="B57" s="222">
        <v>9</v>
      </c>
      <c r="C57" s="223"/>
      <c r="D57" s="224"/>
      <c r="E57" s="190"/>
      <c r="F57" s="191"/>
      <c r="G57" s="225"/>
      <c r="H57" s="190"/>
      <c r="I57" s="191"/>
      <c r="J57" s="192"/>
      <c r="K57" s="226" t="str">
        <f>+VLOOKUP(H57,'Lista Defeitos'!$A:$C,3)</f>
        <v>-</v>
      </c>
      <c r="L57" s="227"/>
      <c r="M57" s="227"/>
      <c r="N57" s="227"/>
      <c r="O57" s="227"/>
      <c r="P57" s="227"/>
      <c r="Q57" s="227"/>
      <c r="R57" s="227"/>
      <c r="S57" s="227"/>
      <c r="T57" s="227"/>
      <c r="U57" s="227"/>
      <c r="V57" s="227"/>
      <c r="W57" s="227"/>
      <c r="X57" s="227"/>
      <c r="Y57" s="227"/>
      <c r="Z57" s="227"/>
      <c r="AA57" s="227"/>
      <c r="AB57" s="227"/>
      <c r="AC57" s="227"/>
      <c r="AD57" s="227"/>
      <c r="AE57" s="227"/>
      <c r="AF57" s="227"/>
      <c r="AG57" s="227"/>
      <c r="AH57" s="227"/>
      <c r="AI57" s="227"/>
      <c r="AJ57" s="228"/>
      <c r="AK57" s="215"/>
      <c r="AL57" s="216"/>
      <c r="AM57" s="216"/>
      <c r="AN57" s="216"/>
      <c r="AO57" s="217"/>
      <c r="AP57" s="212"/>
      <c r="AQ57" s="214"/>
      <c r="AR57" s="210"/>
      <c r="AS57" s="210"/>
      <c r="AT57" s="210"/>
      <c r="AU57" s="210"/>
      <c r="AV57" s="210"/>
      <c r="AW57" s="245"/>
    </row>
    <row r="58" spans="1:81" ht="18.75" x14ac:dyDescent="0.45">
      <c r="A58" s="23"/>
      <c r="B58" s="222">
        <v>10</v>
      </c>
      <c r="C58" s="223"/>
      <c r="D58" s="224"/>
      <c r="E58" s="190"/>
      <c r="F58" s="191"/>
      <c r="G58" s="225"/>
      <c r="H58" s="190"/>
      <c r="I58" s="191"/>
      <c r="J58" s="192"/>
      <c r="K58" s="226" t="str">
        <f>+VLOOKUP(H58,'Lista Defeitos'!$A:$C,3)</f>
        <v>-</v>
      </c>
      <c r="L58" s="227"/>
      <c r="M58" s="227"/>
      <c r="N58" s="227"/>
      <c r="O58" s="227"/>
      <c r="P58" s="227"/>
      <c r="Q58" s="227"/>
      <c r="R58" s="227"/>
      <c r="S58" s="227"/>
      <c r="T58" s="227"/>
      <c r="U58" s="227"/>
      <c r="V58" s="227"/>
      <c r="W58" s="227"/>
      <c r="X58" s="227"/>
      <c r="Y58" s="227"/>
      <c r="Z58" s="227"/>
      <c r="AA58" s="227"/>
      <c r="AB58" s="227"/>
      <c r="AC58" s="227"/>
      <c r="AD58" s="227"/>
      <c r="AE58" s="227"/>
      <c r="AF58" s="227"/>
      <c r="AG58" s="227"/>
      <c r="AH58" s="227"/>
      <c r="AI58" s="227"/>
      <c r="AJ58" s="228"/>
      <c r="AK58" s="215"/>
      <c r="AL58" s="216"/>
      <c r="AM58" s="216"/>
      <c r="AN58" s="216"/>
      <c r="AO58" s="217"/>
      <c r="AP58" s="212"/>
      <c r="AQ58" s="214"/>
      <c r="AR58" s="210"/>
      <c r="AS58" s="210"/>
      <c r="AT58" s="210"/>
      <c r="AU58" s="210"/>
      <c r="AV58" s="210"/>
      <c r="AW58" s="245"/>
    </row>
    <row r="59" spans="1:81" ht="18.75" x14ac:dyDescent="0.45">
      <c r="A59" s="23"/>
      <c r="B59" s="222">
        <v>11</v>
      </c>
      <c r="C59" s="223"/>
      <c r="D59" s="224"/>
      <c r="E59" s="190"/>
      <c r="F59" s="191"/>
      <c r="G59" s="225"/>
      <c r="H59" s="190"/>
      <c r="I59" s="191"/>
      <c r="J59" s="192"/>
      <c r="K59" s="226" t="str">
        <f>+VLOOKUP(H59,'Lista Defeitos'!$A:$C,3)</f>
        <v>-</v>
      </c>
      <c r="L59" s="227"/>
      <c r="M59" s="227"/>
      <c r="N59" s="227"/>
      <c r="O59" s="227"/>
      <c r="P59" s="227"/>
      <c r="Q59" s="227"/>
      <c r="R59" s="227"/>
      <c r="S59" s="227"/>
      <c r="T59" s="227"/>
      <c r="U59" s="227"/>
      <c r="V59" s="227"/>
      <c r="W59" s="227"/>
      <c r="X59" s="227"/>
      <c r="Y59" s="227"/>
      <c r="Z59" s="227"/>
      <c r="AA59" s="227"/>
      <c r="AB59" s="227"/>
      <c r="AC59" s="227"/>
      <c r="AD59" s="227"/>
      <c r="AE59" s="227"/>
      <c r="AF59" s="227"/>
      <c r="AG59" s="227"/>
      <c r="AH59" s="227"/>
      <c r="AI59" s="227"/>
      <c r="AJ59" s="228"/>
      <c r="AK59" s="215"/>
      <c r="AL59" s="216"/>
      <c r="AM59" s="216"/>
      <c r="AN59" s="216"/>
      <c r="AO59" s="217"/>
      <c r="AP59" s="212"/>
      <c r="AQ59" s="214"/>
      <c r="AR59" s="210"/>
      <c r="AS59" s="210"/>
      <c r="AT59" s="210"/>
      <c r="AU59" s="210"/>
      <c r="AV59" s="210"/>
      <c r="AW59" s="245"/>
    </row>
    <row r="60" spans="1:81" ht="18.75" x14ac:dyDescent="0.45">
      <c r="A60" s="23"/>
      <c r="B60" s="222">
        <v>12</v>
      </c>
      <c r="C60" s="223"/>
      <c r="D60" s="224"/>
      <c r="E60" s="190"/>
      <c r="F60" s="191"/>
      <c r="G60" s="225"/>
      <c r="H60" s="190"/>
      <c r="I60" s="191"/>
      <c r="J60" s="192"/>
      <c r="K60" s="226" t="str">
        <f>+VLOOKUP(H60,'Lista Defeitos'!$A:$C,3)</f>
        <v>-</v>
      </c>
      <c r="L60" s="227"/>
      <c r="M60" s="227"/>
      <c r="N60" s="227"/>
      <c r="O60" s="227"/>
      <c r="P60" s="227"/>
      <c r="Q60" s="227"/>
      <c r="R60" s="227"/>
      <c r="S60" s="227"/>
      <c r="T60" s="227"/>
      <c r="U60" s="227"/>
      <c r="V60" s="227"/>
      <c r="W60" s="227"/>
      <c r="X60" s="227"/>
      <c r="Y60" s="227"/>
      <c r="Z60" s="227"/>
      <c r="AA60" s="227"/>
      <c r="AB60" s="227"/>
      <c r="AC60" s="227"/>
      <c r="AD60" s="227"/>
      <c r="AE60" s="227"/>
      <c r="AF60" s="227"/>
      <c r="AG60" s="227"/>
      <c r="AH60" s="227"/>
      <c r="AI60" s="227"/>
      <c r="AJ60" s="228"/>
      <c r="AK60" s="212"/>
      <c r="AL60" s="213"/>
      <c r="AM60" s="213"/>
      <c r="AN60" s="213"/>
      <c r="AO60" s="214"/>
      <c r="AP60" s="212"/>
      <c r="AQ60" s="214"/>
      <c r="AR60" s="210"/>
      <c r="AS60" s="210"/>
      <c r="AT60" s="210"/>
      <c r="AU60" s="210"/>
      <c r="AV60" s="210"/>
      <c r="AW60" s="245"/>
    </row>
    <row r="61" spans="1:81" ht="12.75" customHeight="1" x14ac:dyDescent="0.45">
      <c r="A61" s="23"/>
      <c r="B61" s="43"/>
      <c r="C61" s="27"/>
      <c r="D61" s="27"/>
      <c r="E61" s="27"/>
      <c r="F61" s="27"/>
      <c r="G61" s="27"/>
      <c r="H61" s="27"/>
      <c r="I61" s="27"/>
      <c r="J61" s="27"/>
      <c r="K61" s="27"/>
      <c r="L61" s="27"/>
      <c r="M61" s="27"/>
      <c r="N61" s="27"/>
      <c r="O61" s="27"/>
      <c r="P61" s="27"/>
      <c r="Q61" s="27"/>
      <c r="R61" s="27"/>
      <c r="S61" s="27"/>
      <c r="T61" s="27"/>
      <c r="U61" s="27"/>
      <c r="V61" s="27"/>
      <c r="W61" s="27"/>
      <c r="X61" s="27"/>
      <c r="Y61" s="27"/>
      <c r="Z61" s="27"/>
      <c r="AA61" s="27"/>
      <c r="AB61" s="27"/>
      <c r="AC61" s="27"/>
      <c r="AD61" s="27"/>
      <c r="AE61" s="27"/>
      <c r="AF61" s="27"/>
      <c r="AG61" s="27"/>
      <c r="AH61" s="27"/>
      <c r="AI61" s="27"/>
      <c r="AJ61" s="27"/>
      <c r="AK61" s="27"/>
      <c r="AL61" s="27"/>
      <c r="AM61" s="27"/>
      <c r="AN61" s="27"/>
      <c r="AO61" s="27"/>
      <c r="AP61" s="27"/>
      <c r="AQ61" s="27"/>
      <c r="AR61" s="27"/>
      <c r="AS61" s="27"/>
      <c r="AT61" s="27"/>
      <c r="AU61" s="27"/>
      <c r="AV61" s="27"/>
      <c r="AW61" s="245"/>
    </row>
    <row r="62" spans="1:81" ht="15" customHeight="1" x14ac:dyDescent="0.45">
      <c r="A62" s="23"/>
      <c r="B62" s="43"/>
      <c r="C62" s="27"/>
      <c r="D62" s="27"/>
      <c r="E62" s="27"/>
      <c r="F62" s="27"/>
      <c r="G62" s="27"/>
      <c r="H62" s="27"/>
      <c r="I62" s="27"/>
      <c r="J62" s="27"/>
      <c r="K62" s="206" t="s">
        <v>20</v>
      </c>
      <c r="L62" s="206"/>
      <c r="M62" s="206"/>
      <c r="N62" s="206"/>
      <c r="O62" s="206"/>
      <c r="P62" s="206"/>
      <c r="Q62" s="206"/>
      <c r="R62" s="206"/>
      <c r="S62" s="206"/>
      <c r="T62" s="206"/>
      <c r="U62" s="206"/>
      <c r="V62" s="211" t="s">
        <v>21</v>
      </c>
      <c r="W62" s="211"/>
      <c r="X62" s="211"/>
      <c r="Y62" s="211"/>
      <c r="Z62" s="211"/>
      <c r="AA62" s="211"/>
      <c r="AB62" s="211"/>
      <c r="AC62" s="211"/>
      <c r="AD62" s="211"/>
      <c r="AE62" s="27"/>
      <c r="AF62" s="27"/>
      <c r="AG62" s="27"/>
      <c r="AH62" s="27"/>
      <c r="AI62" s="27"/>
      <c r="AJ62" s="27"/>
      <c r="AK62" s="27"/>
      <c r="AL62" s="274" t="s">
        <v>20</v>
      </c>
      <c r="AM62" s="275"/>
      <c r="AN62" s="275"/>
      <c r="AO62" s="275"/>
      <c r="AP62" s="275"/>
      <c r="AQ62" s="276"/>
      <c r="AR62" s="44"/>
      <c r="AS62" s="274" t="s">
        <v>21</v>
      </c>
      <c r="AT62" s="275"/>
      <c r="AU62" s="275"/>
      <c r="AV62" s="276"/>
      <c r="AW62" s="245"/>
    </row>
    <row r="63" spans="1:81" ht="15" customHeight="1" x14ac:dyDescent="0.45">
      <c r="A63" s="23"/>
      <c r="B63" s="207" t="s">
        <v>22</v>
      </c>
      <c r="C63" s="208"/>
      <c r="D63" s="208"/>
      <c r="E63" s="208"/>
      <c r="F63" s="208"/>
      <c r="G63" s="208"/>
      <c r="H63" s="208"/>
      <c r="I63" s="208"/>
      <c r="J63" s="209"/>
      <c r="K63" s="190" t="s">
        <v>85</v>
      </c>
      <c r="L63" s="191"/>
      <c r="M63" s="191"/>
      <c r="N63" s="191"/>
      <c r="O63" s="191"/>
      <c r="P63" s="191"/>
      <c r="Q63" s="191"/>
      <c r="R63" s="191"/>
      <c r="S63" s="191"/>
      <c r="T63" s="191"/>
      <c r="U63" s="192"/>
      <c r="V63" s="190"/>
      <c r="W63" s="191"/>
      <c r="X63" s="191"/>
      <c r="Y63" s="191"/>
      <c r="Z63" s="191"/>
      <c r="AA63" s="191"/>
      <c r="AB63" s="191"/>
      <c r="AC63" s="191"/>
      <c r="AD63" s="192"/>
      <c r="AE63" s="218" t="s">
        <v>23</v>
      </c>
      <c r="AF63" s="219"/>
      <c r="AG63" s="219"/>
      <c r="AH63" s="219"/>
      <c r="AI63" s="219"/>
      <c r="AJ63" s="219"/>
      <c r="AK63" s="220"/>
      <c r="AL63" s="212" t="s">
        <v>85</v>
      </c>
      <c r="AM63" s="213"/>
      <c r="AN63" s="213"/>
      <c r="AO63" s="213"/>
      <c r="AP63" s="213"/>
      <c r="AQ63" s="214"/>
      <c r="AR63" s="45"/>
      <c r="AS63" s="270"/>
      <c r="AT63" s="270"/>
      <c r="AU63" s="270"/>
      <c r="AV63" s="270"/>
      <c r="AW63" s="245"/>
    </row>
    <row r="64" spans="1:81" ht="15" customHeight="1" x14ac:dyDescent="0.45">
      <c r="A64" s="23"/>
      <c r="B64" s="207" t="s">
        <v>24</v>
      </c>
      <c r="C64" s="208"/>
      <c r="D64" s="208"/>
      <c r="E64" s="208"/>
      <c r="F64" s="208"/>
      <c r="G64" s="208"/>
      <c r="H64" s="208"/>
      <c r="I64" s="208"/>
      <c r="J64" s="209"/>
      <c r="K64" s="190" t="s">
        <v>85</v>
      </c>
      <c r="L64" s="191"/>
      <c r="M64" s="191"/>
      <c r="N64" s="191"/>
      <c r="O64" s="191"/>
      <c r="P64" s="191"/>
      <c r="Q64" s="191"/>
      <c r="R64" s="191"/>
      <c r="S64" s="191"/>
      <c r="T64" s="191"/>
      <c r="U64" s="192"/>
      <c r="V64" s="210"/>
      <c r="W64" s="210"/>
      <c r="X64" s="210"/>
      <c r="Y64" s="210"/>
      <c r="Z64" s="210"/>
      <c r="AA64" s="210"/>
      <c r="AB64" s="210"/>
      <c r="AC64" s="210"/>
      <c r="AD64" s="210"/>
      <c r="AE64" s="207" t="s">
        <v>25</v>
      </c>
      <c r="AF64" s="208"/>
      <c r="AG64" s="208"/>
      <c r="AH64" s="208"/>
      <c r="AI64" s="208"/>
      <c r="AJ64" s="208"/>
      <c r="AK64" s="209"/>
      <c r="AL64" s="212" t="s">
        <v>85</v>
      </c>
      <c r="AM64" s="213"/>
      <c r="AN64" s="213"/>
      <c r="AO64" s="213"/>
      <c r="AP64" s="213"/>
      <c r="AQ64" s="214"/>
      <c r="AR64" s="45"/>
      <c r="AS64" s="270"/>
      <c r="AT64" s="270"/>
      <c r="AU64" s="270"/>
      <c r="AV64" s="270"/>
      <c r="AW64" s="245"/>
    </row>
    <row r="65" spans="1:65" ht="15" customHeight="1" x14ac:dyDescent="0.45">
      <c r="A65" s="23"/>
      <c r="B65" s="207" t="s">
        <v>26</v>
      </c>
      <c r="C65" s="208"/>
      <c r="D65" s="208"/>
      <c r="E65" s="208"/>
      <c r="F65" s="208"/>
      <c r="G65" s="208"/>
      <c r="H65" s="208"/>
      <c r="I65" s="208"/>
      <c r="J65" s="209"/>
      <c r="K65" s="190" t="s">
        <v>85</v>
      </c>
      <c r="L65" s="191"/>
      <c r="M65" s="191"/>
      <c r="N65" s="191"/>
      <c r="O65" s="191"/>
      <c r="P65" s="191"/>
      <c r="Q65" s="191"/>
      <c r="R65" s="191"/>
      <c r="S65" s="191"/>
      <c r="T65" s="191"/>
      <c r="U65" s="192"/>
      <c r="V65" s="210"/>
      <c r="W65" s="210"/>
      <c r="X65" s="210"/>
      <c r="Y65" s="210"/>
      <c r="Z65" s="210"/>
      <c r="AA65" s="210"/>
      <c r="AB65" s="210"/>
      <c r="AC65" s="210"/>
      <c r="AD65" s="210"/>
      <c r="AE65" s="207" t="s">
        <v>27</v>
      </c>
      <c r="AF65" s="208"/>
      <c r="AG65" s="208"/>
      <c r="AH65" s="208"/>
      <c r="AI65" s="208"/>
      <c r="AJ65" s="208"/>
      <c r="AK65" s="209"/>
      <c r="AL65" s="190" t="s">
        <v>85</v>
      </c>
      <c r="AM65" s="191"/>
      <c r="AN65" s="191"/>
      <c r="AO65" s="191"/>
      <c r="AP65" s="191"/>
      <c r="AQ65" s="192"/>
      <c r="AR65" s="47"/>
      <c r="AS65" s="210"/>
      <c r="AT65" s="210"/>
      <c r="AU65" s="210"/>
      <c r="AV65" s="210"/>
      <c r="AW65" s="245"/>
    </row>
    <row r="66" spans="1:65" ht="15" customHeight="1" x14ac:dyDescent="0.45">
      <c r="A66" s="23"/>
      <c r="B66" s="207" t="s">
        <v>28</v>
      </c>
      <c r="C66" s="208"/>
      <c r="D66" s="208"/>
      <c r="E66" s="208"/>
      <c r="F66" s="208"/>
      <c r="G66" s="208"/>
      <c r="H66" s="208"/>
      <c r="I66" s="208"/>
      <c r="J66" s="209"/>
      <c r="K66" s="190" t="s">
        <v>85</v>
      </c>
      <c r="L66" s="191"/>
      <c r="M66" s="191"/>
      <c r="N66" s="191"/>
      <c r="O66" s="191"/>
      <c r="P66" s="191"/>
      <c r="Q66" s="191"/>
      <c r="R66" s="191"/>
      <c r="S66" s="191"/>
      <c r="T66" s="191"/>
      <c r="U66" s="192"/>
      <c r="V66" s="210"/>
      <c r="W66" s="210"/>
      <c r="X66" s="210"/>
      <c r="Y66" s="210"/>
      <c r="Z66" s="210"/>
      <c r="AA66" s="210"/>
      <c r="AB66" s="210"/>
      <c r="AC66" s="210"/>
      <c r="AD66" s="210"/>
      <c r="AE66" s="218" t="s">
        <v>29</v>
      </c>
      <c r="AF66" s="219"/>
      <c r="AG66" s="219"/>
      <c r="AH66" s="219"/>
      <c r="AI66" s="219"/>
      <c r="AJ66" s="219"/>
      <c r="AK66" s="220"/>
      <c r="AL66" s="212" t="s">
        <v>85</v>
      </c>
      <c r="AM66" s="213"/>
      <c r="AN66" s="213"/>
      <c r="AO66" s="213"/>
      <c r="AP66" s="213"/>
      <c r="AQ66" s="214"/>
      <c r="AR66" s="42"/>
      <c r="AS66" s="271"/>
      <c r="AT66" s="272"/>
      <c r="AU66" s="272"/>
      <c r="AV66" s="273"/>
      <c r="AW66" s="245"/>
      <c r="BM66" s="19"/>
    </row>
    <row r="67" spans="1:65" s="20" customFormat="1" ht="15" customHeight="1" x14ac:dyDescent="0.2">
      <c r="A67" s="48"/>
      <c r="B67" s="207" t="s">
        <v>30</v>
      </c>
      <c r="C67" s="208"/>
      <c r="D67" s="208"/>
      <c r="E67" s="208"/>
      <c r="F67" s="208"/>
      <c r="G67" s="208"/>
      <c r="H67" s="208"/>
      <c r="I67" s="208"/>
      <c r="J67" s="209"/>
      <c r="K67" s="215"/>
      <c r="L67" s="216"/>
      <c r="M67" s="216"/>
      <c r="N67" s="216"/>
      <c r="O67" s="216"/>
      <c r="P67" s="216"/>
      <c r="Q67" s="216"/>
      <c r="R67" s="216"/>
      <c r="S67" s="216"/>
      <c r="T67" s="216"/>
      <c r="U67" s="216"/>
      <c r="V67" s="216"/>
      <c r="W67" s="216"/>
      <c r="X67" s="216"/>
      <c r="Y67" s="216"/>
      <c r="Z67" s="216"/>
      <c r="AA67" s="216"/>
      <c r="AB67" s="216"/>
      <c r="AC67" s="216"/>
      <c r="AD67" s="217"/>
      <c r="AE67" s="218" t="s">
        <v>31</v>
      </c>
      <c r="AF67" s="219"/>
      <c r="AG67" s="219"/>
      <c r="AH67" s="219"/>
      <c r="AI67" s="219"/>
      <c r="AJ67" s="219"/>
      <c r="AK67" s="220"/>
      <c r="AL67" s="212" t="s">
        <v>85</v>
      </c>
      <c r="AM67" s="213"/>
      <c r="AN67" s="213"/>
      <c r="AO67" s="213"/>
      <c r="AP67" s="213"/>
      <c r="AQ67" s="214"/>
      <c r="AR67" s="42"/>
      <c r="AS67" s="271"/>
      <c r="AT67" s="272"/>
      <c r="AU67" s="272"/>
      <c r="AV67" s="273"/>
      <c r="AW67" s="245"/>
    </row>
    <row r="68" spans="1:65" s="20" customFormat="1" ht="15" customHeight="1" x14ac:dyDescent="0.2">
      <c r="A68" s="48"/>
      <c r="B68" s="221" t="s">
        <v>32</v>
      </c>
      <c r="C68" s="221"/>
      <c r="D68" s="221"/>
      <c r="E68" s="221"/>
      <c r="F68" s="221"/>
      <c r="G68" s="221"/>
      <c r="H68" s="221"/>
      <c r="I68" s="221"/>
      <c r="J68" s="221"/>
      <c r="K68" s="212" t="s">
        <v>85</v>
      </c>
      <c r="L68" s="213"/>
      <c r="M68" s="213"/>
      <c r="N68" s="213"/>
      <c r="O68" s="213"/>
      <c r="P68" s="213"/>
      <c r="Q68" s="213"/>
      <c r="R68" s="213"/>
      <c r="S68" s="213"/>
      <c r="T68" s="213"/>
      <c r="U68" s="214"/>
      <c r="V68" s="212"/>
      <c r="W68" s="213"/>
      <c r="X68" s="213"/>
      <c r="Y68" s="213"/>
      <c r="Z68" s="213"/>
      <c r="AA68" s="213"/>
      <c r="AB68" s="213"/>
      <c r="AC68" s="213"/>
      <c r="AD68" s="214"/>
      <c r="AE68" s="218"/>
      <c r="AF68" s="219"/>
      <c r="AG68" s="219"/>
      <c r="AH68" s="219"/>
      <c r="AI68" s="219"/>
      <c r="AJ68" s="219"/>
      <c r="AK68" s="220"/>
      <c r="AL68" s="212"/>
      <c r="AM68" s="213"/>
      <c r="AN68" s="213"/>
      <c r="AO68" s="213"/>
      <c r="AP68" s="213"/>
      <c r="AQ68" s="214"/>
      <c r="AR68" s="46"/>
      <c r="AS68" s="271"/>
      <c r="AT68" s="272"/>
      <c r="AU68" s="272"/>
      <c r="AV68" s="273"/>
      <c r="AW68" s="245"/>
    </row>
    <row r="69" spans="1:65" ht="12.75" customHeight="1" x14ac:dyDescent="0.45">
      <c r="A69" s="23"/>
      <c r="B69" s="43"/>
      <c r="C69" s="27"/>
      <c r="D69" s="27"/>
      <c r="E69" s="27"/>
      <c r="F69" s="27"/>
      <c r="G69" s="27"/>
      <c r="H69" s="27"/>
      <c r="I69" s="27"/>
      <c r="J69" s="27"/>
      <c r="K69" s="27"/>
      <c r="L69" s="27"/>
      <c r="M69" s="27"/>
      <c r="N69" s="27"/>
      <c r="O69" s="27"/>
      <c r="P69" s="27"/>
      <c r="Q69" s="27"/>
      <c r="R69" s="27"/>
      <c r="S69" s="27"/>
      <c r="T69" s="27"/>
      <c r="U69" s="27"/>
      <c r="V69" s="27"/>
      <c r="W69" s="27"/>
      <c r="X69" s="27"/>
      <c r="Y69" s="27"/>
      <c r="Z69" s="27"/>
      <c r="AA69" s="27"/>
      <c r="AB69" s="27"/>
      <c r="AC69" s="27"/>
      <c r="AD69" s="27"/>
      <c r="AE69" s="27"/>
      <c r="AF69" s="27"/>
      <c r="AG69" s="27"/>
      <c r="AH69" s="27"/>
      <c r="AI69" s="27"/>
      <c r="AJ69" s="27"/>
      <c r="AK69" s="27"/>
      <c r="AL69" s="27"/>
      <c r="AM69" s="27"/>
      <c r="AN69" s="27"/>
      <c r="AO69" s="27"/>
      <c r="AP69" s="27"/>
      <c r="AQ69" s="27"/>
      <c r="AR69" s="27"/>
      <c r="AS69" s="27"/>
      <c r="AT69" s="27"/>
      <c r="AU69" s="27"/>
      <c r="AV69" s="27"/>
      <c r="AW69" s="245"/>
    </row>
    <row r="70" spans="1:65" ht="18.75" x14ac:dyDescent="0.45">
      <c r="A70" s="23"/>
      <c r="B70" s="203" t="s">
        <v>33</v>
      </c>
      <c r="C70" s="204"/>
      <c r="D70" s="204"/>
      <c r="E70" s="204"/>
      <c r="F70" s="204"/>
      <c r="G70" s="204"/>
      <c r="H70" s="204"/>
      <c r="I70" s="204"/>
      <c r="J70" s="204"/>
      <c r="K70" s="204"/>
      <c r="L70" s="204"/>
      <c r="M70" s="204"/>
      <c r="N70" s="204"/>
      <c r="O70" s="204"/>
      <c r="P70" s="204"/>
      <c r="Q70" s="204"/>
      <c r="R70" s="204"/>
      <c r="S70" s="204"/>
      <c r="T70" s="204"/>
      <c r="U70" s="204"/>
      <c r="V70" s="204"/>
      <c r="W70" s="204"/>
      <c r="X70" s="204"/>
      <c r="Y70" s="204"/>
      <c r="Z70" s="204"/>
      <c r="AA70" s="204"/>
      <c r="AB70" s="204"/>
      <c r="AC70" s="204"/>
      <c r="AD70" s="204"/>
      <c r="AE70" s="204"/>
      <c r="AF70" s="204"/>
      <c r="AG70" s="204"/>
      <c r="AH70" s="204"/>
      <c r="AI70" s="204"/>
      <c r="AJ70" s="204"/>
      <c r="AK70" s="204"/>
      <c r="AL70" s="205"/>
      <c r="AM70" s="27"/>
      <c r="AN70" s="27"/>
      <c r="AO70" s="199" t="s">
        <v>34</v>
      </c>
      <c r="AP70" s="200"/>
      <c r="AQ70" s="200"/>
      <c r="AR70" s="200"/>
      <c r="AS70" s="200"/>
      <c r="AT70" s="200"/>
      <c r="AU70" s="200"/>
      <c r="AV70" s="201"/>
      <c r="AW70" s="245"/>
    </row>
    <row r="71" spans="1:65" ht="18.75" x14ac:dyDescent="0.45">
      <c r="A71" s="23"/>
      <c r="B71" s="195"/>
      <c r="C71" s="196"/>
      <c r="D71" s="196"/>
      <c r="E71" s="196"/>
      <c r="F71" s="196"/>
      <c r="G71" s="196"/>
      <c r="H71" s="196"/>
      <c r="I71" s="196"/>
      <c r="J71" s="196"/>
      <c r="K71" s="196"/>
      <c r="L71" s="196"/>
      <c r="M71" s="196"/>
      <c r="N71" s="196"/>
      <c r="O71" s="196"/>
      <c r="P71" s="196"/>
      <c r="Q71" s="196"/>
      <c r="R71" s="196"/>
      <c r="S71" s="196"/>
      <c r="T71" s="196"/>
      <c r="U71" s="196"/>
      <c r="V71" s="196"/>
      <c r="W71" s="196"/>
      <c r="X71" s="196"/>
      <c r="Y71" s="196"/>
      <c r="Z71" s="196"/>
      <c r="AA71" s="196"/>
      <c r="AB71" s="196"/>
      <c r="AC71" s="196"/>
      <c r="AD71" s="196"/>
      <c r="AE71" s="196"/>
      <c r="AF71" s="196"/>
      <c r="AG71" s="196"/>
      <c r="AH71" s="196"/>
      <c r="AI71" s="196"/>
      <c r="AJ71" s="196"/>
      <c r="AK71" s="196"/>
      <c r="AL71" s="197"/>
      <c r="AM71" s="27"/>
      <c r="AN71" s="27"/>
      <c r="AO71" s="49"/>
      <c r="AP71" s="27"/>
      <c r="AQ71" s="27"/>
      <c r="AR71" s="27"/>
      <c r="AS71" s="27"/>
      <c r="AT71" s="27"/>
      <c r="AU71" s="27"/>
      <c r="AV71" s="35"/>
      <c r="AW71" s="245"/>
    </row>
    <row r="72" spans="1:65" ht="18.75" x14ac:dyDescent="0.45">
      <c r="A72" s="23"/>
      <c r="B72" s="195"/>
      <c r="C72" s="196"/>
      <c r="D72" s="196"/>
      <c r="E72" s="196"/>
      <c r="F72" s="196"/>
      <c r="G72" s="196"/>
      <c r="H72" s="196"/>
      <c r="I72" s="196"/>
      <c r="J72" s="196"/>
      <c r="K72" s="196"/>
      <c r="L72" s="196"/>
      <c r="M72" s="196"/>
      <c r="N72" s="196"/>
      <c r="O72" s="196"/>
      <c r="P72" s="196"/>
      <c r="Q72" s="196"/>
      <c r="R72" s="196"/>
      <c r="S72" s="196"/>
      <c r="T72" s="196"/>
      <c r="U72" s="196"/>
      <c r="V72" s="196"/>
      <c r="W72" s="196"/>
      <c r="X72" s="196"/>
      <c r="Y72" s="196"/>
      <c r="Z72" s="196"/>
      <c r="AA72" s="196"/>
      <c r="AB72" s="196"/>
      <c r="AC72" s="196"/>
      <c r="AD72" s="196"/>
      <c r="AE72" s="196"/>
      <c r="AF72" s="196"/>
      <c r="AG72" s="196"/>
      <c r="AH72" s="196"/>
      <c r="AI72" s="196"/>
      <c r="AJ72" s="196"/>
      <c r="AK72" s="196"/>
      <c r="AL72" s="197"/>
      <c r="AM72" s="27"/>
      <c r="AN72" s="27"/>
      <c r="AO72" s="49" t="s">
        <v>35</v>
      </c>
      <c r="AP72" s="27"/>
      <c r="AQ72" s="27"/>
      <c r="AR72" s="27"/>
      <c r="AS72" s="27"/>
      <c r="AT72" s="27"/>
      <c r="AU72" s="27"/>
      <c r="AV72" s="35"/>
      <c r="AW72" s="245"/>
    </row>
    <row r="73" spans="1:65" ht="18.75" x14ac:dyDescent="0.45">
      <c r="A73" s="23"/>
      <c r="B73" s="195"/>
      <c r="C73" s="196"/>
      <c r="D73" s="196"/>
      <c r="E73" s="196"/>
      <c r="F73" s="196"/>
      <c r="G73" s="196"/>
      <c r="H73" s="196"/>
      <c r="I73" s="196"/>
      <c r="J73" s="196"/>
      <c r="K73" s="196"/>
      <c r="L73" s="196"/>
      <c r="M73" s="196"/>
      <c r="N73" s="196"/>
      <c r="O73" s="196"/>
      <c r="P73" s="196"/>
      <c r="Q73" s="196"/>
      <c r="R73" s="196"/>
      <c r="S73" s="196"/>
      <c r="T73" s="196"/>
      <c r="U73" s="196"/>
      <c r="V73" s="196"/>
      <c r="W73" s="196"/>
      <c r="X73" s="196"/>
      <c r="Y73" s="196"/>
      <c r="Z73" s="196"/>
      <c r="AA73" s="196"/>
      <c r="AB73" s="196"/>
      <c r="AC73" s="196"/>
      <c r="AD73" s="196"/>
      <c r="AE73" s="196"/>
      <c r="AF73" s="196"/>
      <c r="AG73" s="196"/>
      <c r="AH73" s="196"/>
      <c r="AI73" s="196"/>
      <c r="AJ73" s="196"/>
      <c r="AK73" s="196"/>
      <c r="AL73" s="197"/>
      <c r="AM73" s="27"/>
      <c r="AN73" s="27"/>
      <c r="AO73" s="49" t="s">
        <v>36</v>
      </c>
      <c r="AP73" s="27"/>
      <c r="AQ73" s="27"/>
      <c r="AR73" s="27"/>
      <c r="AS73" s="27"/>
      <c r="AT73" s="27"/>
      <c r="AU73" s="27"/>
      <c r="AV73" s="35"/>
      <c r="AW73" s="245"/>
    </row>
    <row r="74" spans="1:65" ht="18.75" x14ac:dyDescent="0.45">
      <c r="A74" s="23"/>
      <c r="B74" s="195"/>
      <c r="C74" s="196"/>
      <c r="D74" s="196"/>
      <c r="E74" s="196"/>
      <c r="F74" s="196"/>
      <c r="G74" s="196"/>
      <c r="H74" s="196"/>
      <c r="I74" s="196"/>
      <c r="J74" s="196"/>
      <c r="K74" s="196"/>
      <c r="L74" s="196"/>
      <c r="M74" s="196"/>
      <c r="N74" s="196"/>
      <c r="O74" s="196"/>
      <c r="P74" s="196"/>
      <c r="Q74" s="196"/>
      <c r="R74" s="196"/>
      <c r="S74" s="196"/>
      <c r="T74" s="196"/>
      <c r="U74" s="196"/>
      <c r="V74" s="196"/>
      <c r="W74" s="196"/>
      <c r="X74" s="196"/>
      <c r="Y74" s="196"/>
      <c r="Z74" s="196"/>
      <c r="AA74" s="196"/>
      <c r="AB74" s="196"/>
      <c r="AC74" s="196"/>
      <c r="AD74" s="196"/>
      <c r="AE74" s="196"/>
      <c r="AF74" s="196"/>
      <c r="AG74" s="196"/>
      <c r="AH74" s="196"/>
      <c r="AI74" s="196"/>
      <c r="AJ74" s="196"/>
      <c r="AK74" s="196"/>
      <c r="AL74" s="197"/>
      <c r="AM74" s="27"/>
      <c r="AN74" s="27"/>
      <c r="AO74" s="49" t="s">
        <v>37</v>
      </c>
      <c r="AP74" s="27"/>
      <c r="AQ74" s="27"/>
      <c r="AR74" s="27"/>
      <c r="AS74" s="27"/>
      <c r="AT74" s="27"/>
      <c r="AU74" s="27"/>
      <c r="AV74" s="35"/>
      <c r="AW74" s="245"/>
    </row>
    <row r="75" spans="1:65" ht="18.75" x14ac:dyDescent="0.45">
      <c r="A75" s="23"/>
      <c r="B75" s="202"/>
      <c r="C75" s="202"/>
      <c r="D75" s="202"/>
      <c r="E75" s="202"/>
      <c r="F75" s="202"/>
      <c r="G75" s="202"/>
      <c r="H75" s="202"/>
      <c r="I75" s="202"/>
      <c r="J75" s="202"/>
      <c r="K75" s="202"/>
      <c r="L75" s="202"/>
      <c r="M75" s="202"/>
      <c r="N75" s="202"/>
      <c r="O75" s="202"/>
      <c r="P75" s="202"/>
      <c r="Q75" s="202"/>
      <c r="R75" s="202"/>
      <c r="S75" s="202"/>
      <c r="T75" s="202"/>
      <c r="U75" s="202"/>
      <c r="V75" s="202"/>
      <c r="W75" s="202"/>
      <c r="X75" s="202"/>
      <c r="Y75" s="202"/>
      <c r="Z75" s="202"/>
      <c r="AA75" s="202"/>
      <c r="AB75" s="202"/>
      <c r="AC75" s="202"/>
      <c r="AD75" s="202"/>
      <c r="AE75" s="202"/>
      <c r="AF75" s="202"/>
      <c r="AG75" s="202"/>
      <c r="AH75" s="202"/>
      <c r="AI75" s="202"/>
      <c r="AJ75" s="202"/>
      <c r="AK75" s="202"/>
      <c r="AL75" s="202"/>
      <c r="AM75" s="27"/>
      <c r="AN75" s="27"/>
      <c r="AO75" s="49" t="s">
        <v>38</v>
      </c>
      <c r="AP75" s="27"/>
      <c r="AQ75" s="27"/>
      <c r="AR75" s="27"/>
      <c r="AS75" s="27"/>
      <c r="AT75" s="27"/>
      <c r="AU75" s="27"/>
      <c r="AV75" s="35"/>
      <c r="AW75" s="245"/>
    </row>
    <row r="76" spans="1:65" ht="18.75" x14ac:dyDescent="0.45">
      <c r="A76" s="23"/>
      <c r="B76" s="203" t="s">
        <v>39</v>
      </c>
      <c r="C76" s="204"/>
      <c r="D76" s="204"/>
      <c r="E76" s="204"/>
      <c r="F76" s="204"/>
      <c r="G76" s="204"/>
      <c r="H76" s="204"/>
      <c r="I76" s="204"/>
      <c r="J76" s="204"/>
      <c r="K76" s="204"/>
      <c r="L76" s="204"/>
      <c r="M76" s="204"/>
      <c r="N76" s="204"/>
      <c r="O76" s="204"/>
      <c r="P76" s="204"/>
      <c r="Q76" s="204"/>
      <c r="R76" s="204"/>
      <c r="S76" s="204"/>
      <c r="T76" s="204"/>
      <c r="U76" s="204"/>
      <c r="V76" s="204"/>
      <c r="W76" s="204"/>
      <c r="X76" s="204"/>
      <c r="Y76" s="204"/>
      <c r="Z76" s="204"/>
      <c r="AA76" s="204"/>
      <c r="AB76" s="204"/>
      <c r="AC76" s="204"/>
      <c r="AD76" s="204"/>
      <c r="AE76" s="204"/>
      <c r="AF76" s="204"/>
      <c r="AG76" s="204"/>
      <c r="AH76" s="204"/>
      <c r="AI76" s="204"/>
      <c r="AJ76" s="204"/>
      <c r="AK76" s="204"/>
      <c r="AL76" s="205"/>
      <c r="AM76" s="27"/>
      <c r="AN76" s="27"/>
      <c r="AO76" s="49" t="s">
        <v>40</v>
      </c>
      <c r="AP76" s="27"/>
      <c r="AQ76" s="27"/>
      <c r="AR76" s="27"/>
      <c r="AS76" s="27"/>
      <c r="AT76" s="27"/>
      <c r="AU76" s="27"/>
      <c r="AV76" s="35"/>
      <c r="AW76" s="245"/>
    </row>
    <row r="77" spans="1:65" ht="18.75" x14ac:dyDescent="0.45">
      <c r="A77" s="23"/>
      <c r="B77" s="195" t="s">
        <v>41</v>
      </c>
      <c r="C77" s="196"/>
      <c r="D77" s="196"/>
      <c r="E77" s="196"/>
      <c r="F77" s="196"/>
      <c r="G77" s="196"/>
      <c r="H77" s="196"/>
      <c r="I77" s="196"/>
      <c r="J77" s="196"/>
      <c r="K77" s="196"/>
      <c r="L77" s="196"/>
      <c r="M77" s="196"/>
      <c r="N77" s="196"/>
      <c r="O77" s="196"/>
      <c r="P77" s="196"/>
      <c r="Q77" s="196"/>
      <c r="R77" s="196"/>
      <c r="S77" s="196"/>
      <c r="T77" s="196"/>
      <c r="U77" s="196"/>
      <c r="V77" s="196"/>
      <c r="W77" s="196"/>
      <c r="X77" s="196"/>
      <c r="Y77" s="196"/>
      <c r="Z77" s="196"/>
      <c r="AA77" s="196"/>
      <c r="AB77" s="196"/>
      <c r="AC77" s="196"/>
      <c r="AD77" s="196"/>
      <c r="AE77" s="196"/>
      <c r="AF77" s="196"/>
      <c r="AG77" s="196"/>
      <c r="AH77" s="196"/>
      <c r="AI77" s="196"/>
      <c r="AJ77" s="196"/>
      <c r="AK77" s="196"/>
      <c r="AL77" s="197"/>
      <c r="AM77" s="27"/>
      <c r="AN77" s="27"/>
      <c r="AO77" s="49" t="s">
        <v>42</v>
      </c>
      <c r="AP77" s="27"/>
      <c r="AQ77" s="27"/>
      <c r="AR77" s="27"/>
      <c r="AS77" s="27"/>
      <c r="AT77" s="27"/>
      <c r="AU77" s="27"/>
      <c r="AV77" s="35"/>
      <c r="AW77" s="245"/>
    </row>
    <row r="78" spans="1:65" ht="18.75" x14ac:dyDescent="0.45">
      <c r="A78" s="23"/>
      <c r="B78" s="190"/>
      <c r="C78" s="191"/>
      <c r="D78" s="191"/>
      <c r="E78" s="191"/>
      <c r="F78" s="191"/>
      <c r="G78" s="191"/>
      <c r="H78" s="191"/>
      <c r="I78" s="191"/>
      <c r="J78" s="191"/>
      <c r="K78" s="191"/>
      <c r="L78" s="191"/>
      <c r="M78" s="191"/>
      <c r="N78" s="191"/>
      <c r="O78" s="191"/>
      <c r="P78" s="191"/>
      <c r="Q78" s="191"/>
      <c r="R78" s="191"/>
      <c r="S78" s="191"/>
      <c r="T78" s="191"/>
      <c r="U78" s="191"/>
      <c r="V78" s="191"/>
      <c r="W78" s="191"/>
      <c r="X78" s="191"/>
      <c r="Y78" s="191"/>
      <c r="Z78" s="191"/>
      <c r="AA78" s="191"/>
      <c r="AB78" s="191"/>
      <c r="AC78" s="191"/>
      <c r="AD78" s="191"/>
      <c r="AE78" s="191"/>
      <c r="AF78" s="191"/>
      <c r="AG78" s="191"/>
      <c r="AH78" s="191"/>
      <c r="AI78" s="191"/>
      <c r="AJ78" s="191"/>
      <c r="AK78" s="191"/>
      <c r="AL78" s="192"/>
      <c r="AM78" s="27"/>
      <c r="AN78" s="27"/>
      <c r="AO78" s="49" t="s">
        <v>43</v>
      </c>
      <c r="AP78" s="27"/>
      <c r="AQ78" s="27"/>
      <c r="AR78" s="27"/>
      <c r="AS78" s="27"/>
      <c r="AT78" s="27"/>
      <c r="AU78" s="27"/>
      <c r="AV78" s="35"/>
      <c r="AW78" s="245"/>
    </row>
    <row r="79" spans="1:65" ht="18.75" x14ac:dyDescent="0.45">
      <c r="A79" s="23"/>
      <c r="B79" s="190"/>
      <c r="C79" s="191"/>
      <c r="D79" s="191"/>
      <c r="E79" s="191"/>
      <c r="F79" s="191"/>
      <c r="G79" s="191"/>
      <c r="H79" s="191"/>
      <c r="I79" s="191"/>
      <c r="J79" s="191"/>
      <c r="K79" s="191"/>
      <c r="L79" s="191"/>
      <c r="M79" s="191"/>
      <c r="N79" s="191"/>
      <c r="O79" s="191"/>
      <c r="P79" s="191"/>
      <c r="Q79" s="191"/>
      <c r="R79" s="191"/>
      <c r="S79" s="191"/>
      <c r="T79" s="191"/>
      <c r="U79" s="191"/>
      <c r="V79" s="191"/>
      <c r="W79" s="191"/>
      <c r="X79" s="191"/>
      <c r="Y79" s="191"/>
      <c r="Z79" s="191"/>
      <c r="AA79" s="191"/>
      <c r="AB79" s="191"/>
      <c r="AC79" s="191"/>
      <c r="AD79" s="191"/>
      <c r="AE79" s="191"/>
      <c r="AF79" s="191"/>
      <c r="AG79" s="191"/>
      <c r="AH79" s="191"/>
      <c r="AI79" s="191"/>
      <c r="AJ79" s="191"/>
      <c r="AK79" s="191"/>
      <c r="AL79" s="192"/>
      <c r="AM79" s="27"/>
      <c r="AN79" s="27"/>
      <c r="AO79" s="49" t="s">
        <v>44</v>
      </c>
      <c r="AP79" s="27"/>
      <c r="AQ79" s="27"/>
      <c r="AR79" s="27"/>
      <c r="AS79" s="27"/>
      <c r="AT79" s="27"/>
      <c r="AU79" s="27"/>
      <c r="AV79" s="35"/>
      <c r="AW79" s="245"/>
    </row>
    <row r="80" spans="1:65" ht="12.75" customHeight="1" x14ac:dyDescent="0.45">
      <c r="A80" s="23"/>
      <c r="B80" s="190"/>
      <c r="C80" s="191"/>
      <c r="D80" s="191"/>
      <c r="E80" s="191"/>
      <c r="F80" s="191"/>
      <c r="G80" s="191"/>
      <c r="H80" s="191"/>
      <c r="I80" s="191"/>
      <c r="J80" s="191"/>
      <c r="K80" s="191"/>
      <c r="L80" s="191"/>
      <c r="M80" s="191"/>
      <c r="N80" s="191"/>
      <c r="O80" s="191"/>
      <c r="P80" s="191"/>
      <c r="Q80" s="191"/>
      <c r="R80" s="191"/>
      <c r="S80" s="191"/>
      <c r="T80" s="191"/>
      <c r="U80" s="191"/>
      <c r="V80" s="191"/>
      <c r="W80" s="191"/>
      <c r="X80" s="191"/>
      <c r="Y80" s="191"/>
      <c r="Z80" s="191"/>
      <c r="AA80" s="191"/>
      <c r="AB80" s="191"/>
      <c r="AC80" s="191"/>
      <c r="AD80" s="191"/>
      <c r="AE80" s="191"/>
      <c r="AF80" s="191"/>
      <c r="AG80" s="191"/>
      <c r="AH80" s="191"/>
      <c r="AI80" s="191"/>
      <c r="AJ80" s="191"/>
      <c r="AK80" s="191"/>
      <c r="AL80" s="192"/>
      <c r="AM80" s="27"/>
      <c r="AN80" s="27"/>
      <c r="AO80" s="51"/>
      <c r="AP80" s="24"/>
      <c r="AQ80" s="24"/>
      <c r="AR80" s="24"/>
      <c r="AS80" s="24"/>
      <c r="AT80" s="24"/>
      <c r="AU80" s="24"/>
      <c r="AV80" s="52"/>
      <c r="AW80" s="245"/>
    </row>
    <row r="81" spans="1:52" ht="12.75" customHeight="1" x14ac:dyDescent="0.45">
      <c r="A81" s="23"/>
      <c r="B81" s="50"/>
      <c r="C81" s="50"/>
      <c r="D81" s="50"/>
      <c r="E81" s="50"/>
      <c r="F81" s="50"/>
      <c r="G81" s="50"/>
      <c r="H81" s="50"/>
      <c r="I81" s="50"/>
      <c r="J81" s="50"/>
      <c r="K81" s="50"/>
      <c r="L81" s="50"/>
      <c r="M81" s="50"/>
      <c r="N81" s="50"/>
      <c r="O81" s="50"/>
      <c r="P81" s="50"/>
      <c r="Q81" s="50"/>
      <c r="R81" s="50"/>
      <c r="S81" s="50"/>
      <c r="T81" s="50"/>
      <c r="U81" s="50"/>
      <c r="V81" s="50"/>
      <c r="W81" s="50"/>
      <c r="X81" s="50"/>
      <c r="Y81" s="50"/>
      <c r="Z81" s="50"/>
      <c r="AA81" s="50"/>
      <c r="AB81" s="50"/>
      <c r="AC81" s="50"/>
      <c r="AD81" s="50"/>
      <c r="AE81" s="50"/>
      <c r="AF81" s="50"/>
      <c r="AG81" s="50"/>
      <c r="AH81" s="50"/>
      <c r="AI81" s="50"/>
      <c r="AJ81" s="50"/>
      <c r="AK81" s="50"/>
      <c r="AL81" s="50"/>
      <c r="AM81" s="27"/>
      <c r="AN81" s="27"/>
      <c r="AO81" s="27"/>
      <c r="AP81" s="27"/>
      <c r="AQ81" s="27"/>
      <c r="AR81" s="27"/>
      <c r="AS81" s="27"/>
      <c r="AT81" s="27"/>
      <c r="AU81" s="27"/>
      <c r="AV81" s="27"/>
      <c r="AW81" s="245"/>
      <c r="AZ81" s="184"/>
    </row>
    <row r="82" spans="1:52" ht="12.75" customHeight="1" x14ac:dyDescent="0.45">
      <c r="A82" s="23"/>
      <c r="B82" s="27"/>
      <c r="C82" s="53"/>
      <c r="D82" s="53"/>
      <c r="E82" s="53"/>
      <c r="F82" s="53"/>
      <c r="G82" s="53"/>
      <c r="H82" s="53"/>
      <c r="I82" s="53"/>
      <c r="J82" s="53"/>
      <c r="K82" s="53"/>
      <c r="L82" s="53"/>
      <c r="M82" s="53"/>
      <c r="N82" s="53"/>
      <c r="O82" s="53"/>
      <c r="P82" s="53"/>
      <c r="Q82" s="53"/>
      <c r="R82" s="53"/>
      <c r="S82" s="53"/>
      <c r="T82" s="53"/>
      <c r="U82" s="53"/>
      <c r="V82" s="53"/>
      <c r="W82" s="53"/>
      <c r="X82" s="53"/>
      <c r="Y82" s="53"/>
      <c r="Z82" s="53"/>
      <c r="AA82" s="53"/>
      <c r="AB82" s="53"/>
      <c r="AC82" s="53"/>
      <c r="AD82" s="53"/>
      <c r="AE82" s="53"/>
      <c r="AF82" s="53"/>
      <c r="AG82" s="53"/>
      <c r="AH82" s="53"/>
      <c r="AI82" s="53"/>
      <c r="AJ82" s="53"/>
      <c r="AK82" s="53"/>
      <c r="AL82" s="53"/>
      <c r="AM82" s="53"/>
      <c r="AN82" s="53"/>
      <c r="AO82" s="53"/>
      <c r="AP82" s="53"/>
      <c r="AQ82" s="53"/>
      <c r="AR82" s="53"/>
      <c r="AS82" s="53"/>
      <c r="AT82" s="53"/>
      <c r="AU82" s="53"/>
      <c r="AV82" s="53"/>
      <c r="AW82" s="245"/>
    </row>
    <row r="83" spans="1:52" ht="18.75" x14ac:dyDescent="0.45">
      <c r="A83" s="23"/>
      <c r="B83" s="27"/>
      <c r="C83" s="193" t="s">
        <v>439</v>
      </c>
      <c r="D83" s="193"/>
      <c r="E83" s="193"/>
      <c r="F83" s="193"/>
      <c r="G83" s="193"/>
      <c r="H83" s="193"/>
      <c r="I83" s="193"/>
      <c r="J83" s="193"/>
      <c r="K83" s="193"/>
      <c r="L83" s="193"/>
      <c r="M83" s="54"/>
      <c r="N83" s="193" t="s">
        <v>469</v>
      </c>
      <c r="O83" s="193"/>
      <c r="P83" s="193"/>
      <c r="Q83" s="193"/>
      <c r="R83" s="193"/>
      <c r="S83" s="193"/>
      <c r="T83" s="193"/>
      <c r="U83" s="193"/>
      <c r="V83" s="193"/>
      <c r="W83" s="193"/>
      <c r="X83" s="53"/>
      <c r="Y83" s="193" t="s">
        <v>438</v>
      </c>
      <c r="Z83" s="193"/>
      <c r="AA83" s="193"/>
      <c r="AB83" s="193"/>
      <c r="AC83" s="193"/>
      <c r="AD83" s="193"/>
      <c r="AE83" s="193"/>
      <c r="AF83" s="193"/>
      <c r="AG83" s="53"/>
      <c r="AH83" s="53"/>
      <c r="AI83" s="53"/>
      <c r="AJ83" s="53"/>
      <c r="AK83" s="53"/>
      <c r="AL83" s="55"/>
      <c r="AM83" s="55"/>
      <c r="AN83" s="55"/>
      <c r="AO83" s="55"/>
      <c r="AP83" s="55"/>
      <c r="AQ83" s="55"/>
      <c r="AR83" s="55"/>
      <c r="AS83" s="55"/>
      <c r="AT83" s="55"/>
      <c r="AU83" s="55"/>
      <c r="AV83" s="53"/>
      <c r="AW83" s="245"/>
    </row>
    <row r="84" spans="1:52" ht="18.75" x14ac:dyDescent="0.45">
      <c r="A84" s="23"/>
      <c r="B84" s="27"/>
      <c r="C84" s="189" t="s">
        <v>45</v>
      </c>
      <c r="D84" s="189"/>
      <c r="E84" s="189"/>
      <c r="F84" s="189"/>
      <c r="G84" s="189"/>
      <c r="H84" s="189"/>
      <c r="I84" s="189"/>
      <c r="J84" s="189"/>
      <c r="K84" s="189"/>
      <c r="L84" s="189"/>
      <c r="M84" s="54"/>
      <c r="N84" s="189" t="s">
        <v>46</v>
      </c>
      <c r="O84" s="189"/>
      <c r="P84" s="189"/>
      <c r="Q84" s="189"/>
      <c r="R84" s="189"/>
      <c r="S84" s="189"/>
      <c r="T84" s="189"/>
      <c r="U84" s="189"/>
      <c r="V84" s="189"/>
      <c r="W84" s="189"/>
      <c r="X84" s="56"/>
      <c r="Y84" s="189" t="s">
        <v>47</v>
      </c>
      <c r="Z84" s="189"/>
      <c r="AA84" s="189"/>
      <c r="AB84" s="189"/>
      <c r="AC84" s="189"/>
      <c r="AD84" s="189"/>
      <c r="AE84" s="189"/>
      <c r="AF84" s="189"/>
      <c r="AG84" s="53"/>
      <c r="AH84" s="53"/>
      <c r="AI84" s="53"/>
      <c r="AJ84" s="53"/>
      <c r="AK84" s="53"/>
      <c r="AL84" s="55"/>
      <c r="AM84" s="55"/>
      <c r="AN84" s="55"/>
      <c r="AO84" s="53" t="s">
        <v>48</v>
      </c>
      <c r="AP84" s="53"/>
      <c r="AQ84" s="53"/>
      <c r="AR84" s="53"/>
      <c r="AS84" s="185">
        <v>45331</v>
      </c>
      <c r="AT84" s="186"/>
      <c r="AU84" s="187"/>
      <c r="AV84" s="53"/>
      <c r="AW84" s="245"/>
    </row>
    <row r="85" spans="1:52" ht="12.75" customHeight="1" x14ac:dyDescent="0.45">
      <c r="A85" s="23"/>
      <c r="B85" s="27"/>
      <c r="C85" s="55"/>
      <c r="D85" s="55"/>
      <c r="E85" s="55"/>
      <c r="F85" s="57"/>
      <c r="G85" s="55"/>
      <c r="H85" s="55"/>
      <c r="I85" s="55"/>
      <c r="J85" s="55"/>
      <c r="K85" s="55"/>
      <c r="L85" s="55"/>
      <c r="M85" s="55"/>
      <c r="N85" s="55"/>
      <c r="O85" s="55"/>
      <c r="P85" s="55"/>
      <c r="Q85" s="55"/>
      <c r="R85" s="55"/>
      <c r="S85" s="55"/>
      <c r="T85" s="55"/>
      <c r="U85" s="55"/>
      <c r="V85" s="55"/>
      <c r="W85" s="55"/>
      <c r="X85" s="55"/>
      <c r="Y85" s="55"/>
      <c r="Z85" s="55"/>
      <c r="AA85" s="55"/>
      <c r="AB85" s="55"/>
      <c r="AC85" s="55"/>
      <c r="AD85" s="55"/>
      <c r="AE85" s="55"/>
      <c r="AF85" s="55"/>
      <c r="AG85" s="55"/>
      <c r="AH85" s="55"/>
      <c r="AI85" s="55"/>
      <c r="AJ85" s="55"/>
      <c r="AK85" s="55"/>
      <c r="AL85" s="55"/>
      <c r="AM85" s="55"/>
      <c r="AN85" s="55"/>
      <c r="AO85" s="55"/>
      <c r="AP85" s="55"/>
      <c r="AQ85" s="55"/>
      <c r="AR85" s="55"/>
      <c r="AS85" s="55"/>
      <c r="AT85" s="55"/>
      <c r="AV85" s="53"/>
      <c r="AW85" s="245"/>
    </row>
    <row r="86" spans="1:52" ht="16.5" customHeight="1" x14ac:dyDescent="0.45">
      <c r="A86" s="23"/>
      <c r="B86" s="198" t="s">
        <v>49</v>
      </c>
      <c r="C86" s="198"/>
      <c r="D86" s="198"/>
      <c r="E86" s="198"/>
      <c r="F86" s="198"/>
      <c r="G86" s="198"/>
      <c r="H86" s="198"/>
      <c r="I86" s="198"/>
      <c r="J86" s="198"/>
      <c r="K86" s="198"/>
      <c r="L86" s="198"/>
      <c r="M86" s="198"/>
      <c r="N86" s="198"/>
      <c r="O86" s="198"/>
      <c r="P86" s="198"/>
      <c r="Q86" s="188"/>
      <c r="R86" s="188"/>
      <c r="S86" s="188"/>
      <c r="T86" s="188"/>
      <c r="U86" s="188"/>
      <c r="V86" s="188"/>
      <c r="W86" s="188"/>
      <c r="X86" s="188"/>
      <c r="Y86" s="188"/>
      <c r="Z86" s="188"/>
      <c r="AA86" s="188"/>
      <c r="AB86" s="188"/>
      <c r="AC86" s="188"/>
      <c r="AD86" s="188"/>
      <c r="AE86" s="188"/>
      <c r="AF86" s="188"/>
      <c r="AG86" s="194"/>
      <c r="AH86" s="194"/>
      <c r="AI86" s="194"/>
      <c r="AJ86" s="194"/>
      <c r="AK86" s="194"/>
      <c r="AL86" s="194"/>
      <c r="AM86" s="194"/>
      <c r="AN86" s="194"/>
      <c r="AO86" s="194"/>
      <c r="AP86" s="58"/>
      <c r="AQ86" s="194"/>
      <c r="AR86" s="194"/>
      <c r="AS86" s="194"/>
      <c r="AT86" s="194"/>
      <c r="AU86" s="194"/>
      <c r="AV86" s="59" t="s">
        <v>458</v>
      </c>
      <c r="AW86" s="245"/>
    </row>
    <row r="87" spans="1:52" ht="20.100000000000001" customHeight="1" x14ac:dyDescent="0.45">
      <c r="A87" s="244"/>
      <c r="B87" s="244"/>
      <c r="C87" s="244"/>
      <c r="D87" s="244"/>
      <c r="E87" s="244"/>
      <c r="F87" s="244"/>
      <c r="G87" s="244"/>
      <c r="H87" s="244"/>
      <c r="I87" s="244"/>
      <c r="J87" s="244"/>
      <c r="K87" s="244"/>
      <c r="L87" s="244"/>
      <c r="M87" s="244"/>
      <c r="N87" s="244"/>
      <c r="O87" s="244"/>
      <c r="P87" s="244"/>
      <c r="Q87" s="244"/>
      <c r="R87" s="244"/>
      <c r="S87" s="244"/>
      <c r="T87" s="244"/>
      <c r="U87" s="244"/>
      <c r="V87" s="244"/>
      <c r="W87" s="244"/>
      <c r="X87" s="244"/>
      <c r="Y87" s="244"/>
      <c r="Z87" s="244"/>
      <c r="AA87" s="244"/>
      <c r="AB87" s="244"/>
      <c r="AC87" s="244"/>
      <c r="AD87" s="244"/>
      <c r="AE87" s="244"/>
      <c r="AF87" s="244"/>
      <c r="AG87" s="244"/>
      <c r="AH87" s="244"/>
      <c r="AI87" s="244"/>
      <c r="AJ87" s="244"/>
      <c r="AK87" s="244"/>
      <c r="AL87" s="244"/>
      <c r="AM87" s="244"/>
      <c r="AN87" s="244"/>
      <c r="AO87" s="244"/>
      <c r="AP87" s="244"/>
      <c r="AQ87" s="244"/>
      <c r="AR87" s="244"/>
      <c r="AS87" s="244"/>
      <c r="AT87" s="244"/>
      <c r="AU87" s="244"/>
      <c r="AV87" s="244"/>
      <c r="AW87" s="244"/>
    </row>
  </sheetData>
  <mergeCells count="183">
    <mergeCell ref="AE63:AK63"/>
    <mergeCell ref="AE64:AK64"/>
    <mergeCell ref="AS63:AV63"/>
    <mergeCell ref="AS64:AV64"/>
    <mergeCell ref="AS65:AV65"/>
    <mergeCell ref="AE65:AK65"/>
    <mergeCell ref="AS68:AV68"/>
    <mergeCell ref="AS67:AV67"/>
    <mergeCell ref="AS62:AV62"/>
    <mergeCell ref="AL62:AQ62"/>
    <mergeCell ref="AL63:AQ63"/>
    <mergeCell ref="AL64:AQ64"/>
    <mergeCell ref="AL65:AQ65"/>
    <mergeCell ref="AS66:AV66"/>
    <mergeCell ref="AE68:AK68"/>
    <mergeCell ref="B8:D8"/>
    <mergeCell ref="AO9:AQ9"/>
    <mergeCell ref="B11:AV44"/>
    <mergeCell ref="AR51:AV51"/>
    <mergeCell ref="AR52:AV52"/>
    <mergeCell ref="B48:D48"/>
    <mergeCell ref="E48:G48"/>
    <mergeCell ref="U45:AE45"/>
    <mergeCell ref="K52:AJ52"/>
    <mergeCell ref="H48:J48"/>
    <mergeCell ref="H50:J50"/>
    <mergeCell ref="AO10:AS10"/>
    <mergeCell ref="AP48:AQ48"/>
    <mergeCell ref="AT2:AU2"/>
    <mergeCell ref="U7:AD7"/>
    <mergeCell ref="AT3:AU3"/>
    <mergeCell ref="U8:AD8"/>
    <mergeCell ref="AT4:AU4"/>
    <mergeCell ref="AO8:AQ8"/>
    <mergeCell ref="AT6:AV6"/>
    <mergeCell ref="A87:AW87"/>
    <mergeCell ref="AW1:AW86"/>
    <mergeCell ref="B46:AV46"/>
    <mergeCell ref="AQ86:AU86"/>
    <mergeCell ref="B7:D7"/>
    <mergeCell ref="B9:D9"/>
    <mergeCell ref="E8:T8"/>
    <mergeCell ref="AE7:AN7"/>
    <mergeCell ref="E9:T9"/>
    <mergeCell ref="AO7:AQ7"/>
    <mergeCell ref="AR8:AV8"/>
    <mergeCell ref="AE8:AN8"/>
    <mergeCell ref="AE9:AN9"/>
    <mergeCell ref="E7:T7"/>
    <mergeCell ref="K48:AJ48"/>
    <mergeCell ref="AR9:AV9"/>
    <mergeCell ref="AK48:AO48"/>
    <mergeCell ref="B54:D54"/>
    <mergeCell ref="E51:G51"/>
    <mergeCell ref="B50:D50"/>
    <mergeCell ref="E50:G50"/>
    <mergeCell ref="B52:D52"/>
    <mergeCell ref="E52:G52"/>
    <mergeCell ref="B53:D53"/>
    <mergeCell ref="E53:G53"/>
    <mergeCell ref="E54:G54"/>
    <mergeCell ref="K53:AJ53"/>
    <mergeCell ref="H51:J51"/>
    <mergeCell ref="AK50:AO50"/>
    <mergeCell ref="AP53:AQ53"/>
    <mergeCell ref="B51:D51"/>
    <mergeCell ref="AK52:AO52"/>
    <mergeCell ref="AK51:AO51"/>
    <mergeCell ref="B49:D49"/>
    <mergeCell ref="E49:G49"/>
    <mergeCell ref="AR7:AV7"/>
    <mergeCell ref="AR54:AV54"/>
    <mergeCell ref="AR53:AV53"/>
    <mergeCell ref="AR48:AV48"/>
    <mergeCell ref="AR49:AV49"/>
    <mergeCell ref="AR50:AV50"/>
    <mergeCell ref="K54:AJ54"/>
    <mergeCell ref="AP51:AQ51"/>
    <mergeCell ref="AP52:AQ52"/>
    <mergeCell ref="K51:AJ51"/>
    <mergeCell ref="AK53:AO53"/>
    <mergeCell ref="I45:T45"/>
    <mergeCell ref="U9:AD9"/>
    <mergeCell ref="AP49:AQ49"/>
    <mergeCell ref="AP50:AQ50"/>
    <mergeCell ref="AP54:AQ54"/>
    <mergeCell ref="K50:AJ50"/>
    <mergeCell ref="H52:J52"/>
    <mergeCell ref="H53:J53"/>
    <mergeCell ref="H54:J54"/>
    <mergeCell ref="H49:J49"/>
    <mergeCell ref="K49:AJ49"/>
    <mergeCell ref="AK49:AO49"/>
    <mergeCell ref="AK54:AO54"/>
    <mergeCell ref="H56:J56"/>
    <mergeCell ref="B56:D56"/>
    <mergeCell ref="E56:G56"/>
    <mergeCell ref="AK56:AO56"/>
    <mergeCell ref="AK57:AO57"/>
    <mergeCell ref="AR57:AV57"/>
    <mergeCell ref="B55:D55"/>
    <mergeCell ref="E55:G55"/>
    <mergeCell ref="H55:J55"/>
    <mergeCell ref="K55:AJ55"/>
    <mergeCell ref="AK55:AO55"/>
    <mergeCell ref="B57:D57"/>
    <mergeCell ref="E57:G57"/>
    <mergeCell ref="H57:J57"/>
    <mergeCell ref="K57:AJ57"/>
    <mergeCell ref="AP57:AQ57"/>
    <mergeCell ref="AP55:AQ55"/>
    <mergeCell ref="AP56:AQ56"/>
    <mergeCell ref="AR56:AV56"/>
    <mergeCell ref="AR55:AV55"/>
    <mergeCell ref="K56:AJ56"/>
    <mergeCell ref="B59:D59"/>
    <mergeCell ref="E59:G59"/>
    <mergeCell ref="AK59:AO59"/>
    <mergeCell ref="B60:D60"/>
    <mergeCell ref="E60:G60"/>
    <mergeCell ref="AR59:AV59"/>
    <mergeCell ref="AP59:AQ59"/>
    <mergeCell ref="AP58:AQ58"/>
    <mergeCell ref="H59:J59"/>
    <mergeCell ref="K59:AJ59"/>
    <mergeCell ref="AR58:AV58"/>
    <mergeCell ref="B58:D58"/>
    <mergeCell ref="E58:G58"/>
    <mergeCell ref="H58:J58"/>
    <mergeCell ref="K58:AJ58"/>
    <mergeCell ref="AK58:AO58"/>
    <mergeCell ref="AR60:AV60"/>
    <mergeCell ref="H60:J60"/>
    <mergeCell ref="K60:AJ60"/>
    <mergeCell ref="AK60:AO60"/>
    <mergeCell ref="AP60:AQ60"/>
    <mergeCell ref="K62:U62"/>
    <mergeCell ref="B63:J63"/>
    <mergeCell ref="B64:J64"/>
    <mergeCell ref="V64:AD64"/>
    <mergeCell ref="K64:U64"/>
    <mergeCell ref="V63:AD63"/>
    <mergeCell ref="K63:U63"/>
    <mergeCell ref="V62:AD62"/>
    <mergeCell ref="AL68:AQ68"/>
    <mergeCell ref="K68:U68"/>
    <mergeCell ref="K67:AD67"/>
    <mergeCell ref="AE67:AK67"/>
    <mergeCell ref="K65:U65"/>
    <mergeCell ref="AE66:AK66"/>
    <mergeCell ref="B67:J67"/>
    <mergeCell ref="B66:J66"/>
    <mergeCell ref="B65:J65"/>
    <mergeCell ref="B68:J68"/>
    <mergeCell ref="K66:U66"/>
    <mergeCell ref="V66:AD66"/>
    <mergeCell ref="V65:AD65"/>
    <mergeCell ref="AL67:AQ67"/>
    <mergeCell ref="AL66:AQ66"/>
    <mergeCell ref="V68:AD68"/>
    <mergeCell ref="AO70:AV70"/>
    <mergeCell ref="C83:L83"/>
    <mergeCell ref="B80:AL80"/>
    <mergeCell ref="B71:AL71"/>
    <mergeCell ref="N83:W83"/>
    <mergeCell ref="B78:AL78"/>
    <mergeCell ref="B73:AL73"/>
    <mergeCell ref="B74:AL74"/>
    <mergeCell ref="B75:AL75"/>
    <mergeCell ref="B76:AL76"/>
    <mergeCell ref="B70:AL70"/>
    <mergeCell ref="AS84:AU84"/>
    <mergeCell ref="Y86:AF86"/>
    <mergeCell ref="C84:L84"/>
    <mergeCell ref="B79:AL79"/>
    <mergeCell ref="N84:W84"/>
    <mergeCell ref="Y83:AF83"/>
    <mergeCell ref="Y84:AF84"/>
    <mergeCell ref="AG86:AO86"/>
    <mergeCell ref="B72:AL72"/>
    <mergeCell ref="B77:AL77"/>
    <mergeCell ref="Q86:X86"/>
    <mergeCell ref="B86:P86"/>
  </mergeCells>
  <phoneticPr fontId="0" type="noConversion"/>
  <printOptions horizontalCentered="1" verticalCentered="1"/>
  <pageMargins left="0.70866141732283472" right="0.70866141732283472" top="0.74803149606299213" bottom="0.74803149606299213" header="0.31496062992125984" footer="0.31496062992125984"/>
  <pageSetup scale="48" orientation="portrait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2"/>
  <dimension ref="A1:AQ74"/>
  <sheetViews>
    <sheetView showGridLines="0" view="pageBreakPreview" topLeftCell="A24" zoomScale="85" zoomScaleNormal="112" zoomScaleSheetLayoutView="85" workbookViewId="0">
      <selection activeCell="R14" sqref="R14"/>
    </sheetView>
  </sheetViews>
  <sheetFormatPr baseColWidth="10" defaultColWidth="11.42578125" defaultRowHeight="12.75" x14ac:dyDescent="0.2"/>
  <cols>
    <col min="1" max="1" width="3.28515625" customWidth="1"/>
    <col min="2" max="2" width="19.7109375" customWidth="1"/>
    <col min="3" max="3" width="9.140625" customWidth="1"/>
    <col min="4" max="4" width="6.140625" customWidth="1"/>
    <col min="5" max="5" width="8.28515625" customWidth="1"/>
    <col min="6" max="6" width="4.28515625" customWidth="1"/>
    <col min="7" max="7" width="6.140625" customWidth="1"/>
    <col min="8" max="8" width="4.5703125" customWidth="1"/>
    <col min="9" max="9" width="4.42578125" customWidth="1"/>
    <col min="10" max="10" width="3.85546875" customWidth="1"/>
    <col min="11" max="11" width="4.28515625" customWidth="1"/>
    <col min="12" max="12" width="12.5703125" customWidth="1"/>
    <col min="13" max="13" width="13.28515625" customWidth="1"/>
    <col min="14" max="14" width="6.42578125" customWidth="1"/>
    <col min="15" max="15" width="6.7109375" customWidth="1"/>
    <col min="16" max="16" width="3.28515625" customWidth="1"/>
  </cols>
  <sheetData>
    <row r="1" spans="1:40" ht="20.100000000000001" customHeight="1" x14ac:dyDescent="0.45">
      <c r="A1" s="38"/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  <c r="O1" s="38"/>
      <c r="P1" s="38"/>
    </row>
    <row r="2" spans="1:40" ht="27.75" customHeight="1" x14ac:dyDescent="0.45">
      <c r="A2" s="38"/>
      <c r="B2" s="332"/>
      <c r="C2" s="339" t="s">
        <v>50</v>
      </c>
      <c r="D2" s="340"/>
      <c r="E2" s="340"/>
      <c r="F2" s="340"/>
      <c r="G2" s="340"/>
      <c r="H2" s="340"/>
      <c r="I2" s="340"/>
      <c r="J2" s="340"/>
      <c r="K2" s="340"/>
      <c r="L2" s="341"/>
      <c r="M2" s="318" t="s">
        <v>51</v>
      </c>
      <c r="N2" s="319"/>
      <c r="O2" s="320"/>
      <c r="P2" s="38"/>
    </row>
    <row r="3" spans="1:40" ht="27.75" customHeight="1" x14ac:dyDescent="0.45">
      <c r="A3" s="38"/>
      <c r="B3" s="333"/>
      <c r="C3" s="342"/>
      <c r="D3" s="343"/>
      <c r="E3" s="343"/>
      <c r="F3" s="343"/>
      <c r="G3" s="343"/>
      <c r="H3" s="343"/>
      <c r="I3" s="343"/>
      <c r="J3" s="343"/>
      <c r="K3" s="343"/>
      <c r="L3" s="344"/>
      <c r="M3" s="321"/>
      <c r="N3" s="322"/>
      <c r="O3" s="323"/>
      <c r="P3" s="38"/>
    </row>
    <row r="4" spans="1:40" ht="18.75" x14ac:dyDescent="0.45">
      <c r="A4" s="38"/>
      <c r="B4" s="60" t="s">
        <v>52</v>
      </c>
      <c r="C4" s="334">
        <f>DATOS!AE7</f>
        <v>0</v>
      </c>
      <c r="D4" s="335"/>
      <c r="E4" s="335"/>
      <c r="F4" s="338"/>
      <c r="G4" s="338"/>
      <c r="H4" s="338"/>
      <c r="I4" s="338"/>
      <c r="J4" s="338"/>
      <c r="K4" s="338"/>
      <c r="L4" s="61" t="s">
        <v>48</v>
      </c>
      <c r="M4" s="178">
        <f>DATOS!AS84</f>
        <v>45331</v>
      </c>
      <c r="N4" s="62"/>
      <c r="O4" s="63"/>
      <c r="P4" s="38"/>
    </row>
    <row r="5" spans="1:40" ht="18.75" x14ac:dyDescent="0.45">
      <c r="A5" s="38"/>
      <c r="B5" s="64" t="s">
        <v>7</v>
      </c>
      <c r="C5" s="65" t="str">
        <f>+DATOS!E9</f>
        <v>WINDSHIELD / FRONTSHEIBE</v>
      </c>
      <c r="D5" s="66"/>
      <c r="E5" s="66"/>
      <c r="F5" s="67"/>
      <c r="G5" s="67"/>
      <c r="H5" s="67"/>
      <c r="I5" s="67"/>
      <c r="J5" s="67"/>
      <c r="K5" s="67"/>
      <c r="L5" s="67"/>
      <c r="N5" s="67"/>
      <c r="O5" s="68"/>
      <c r="P5" s="36"/>
      <c r="Q5" s="4"/>
      <c r="R5" s="4"/>
      <c r="S5" s="4"/>
    </row>
    <row r="6" spans="1:40" ht="18.75" x14ac:dyDescent="0.45">
      <c r="A6" s="38"/>
      <c r="B6" s="69" t="s">
        <v>53</v>
      </c>
      <c r="C6" s="336" t="s">
        <v>54</v>
      </c>
      <c r="D6" s="336"/>
      <c r="E6" s="336"/>
      <c r="F6" s="336"/>
      <c r="G6" s="336"/>
      <c r="H6" s="336"/>
      <c r="I6" s="336"/>
      <c r="J6" s="336"/>
      <c r="K6" s="70"/>
      <c r="L6" s="71"/>
      <c r="M6" s="70"/>
      <c r="N6" s="70"/>
      <c r="O6" s="72"/>
      <c r="P6" s="38"/>
      <c r="R6" s="6"/>
      <c r="S6" s="8"/>
      <c r="T6" s="8"/>
      <c r="U6" s="8"/>
      <c r="V6" s="8"/>
      <c r="W6" s="8"/>
    </row>
    <row r="7" spans="1:40" ht="15" customHeight="1" x14ac:dyDescent="0.45">
      <c r="A7" s="38"/>
      <c r="B7" s="337" t="s">
        <v>55</v>
      </c>
      <c r="C7" s="338"/>
      <c r="D7" s="73"/>
      <c r="E7" s="159" t="s">
        <v>56</v>
      </c>
      <c r="F7" s="169"/>
      <c r="G7" s="169"/>
      <c r="H7" s="170"/>
      <c r="I7" s="171"/>
      <c r="J7" s="157"/>
      <c r="K7" s="157"/>
      <c r="L7" s="157"/>
      <c r="M7" s="159" t="s">
        <v>57</v>
      </c>
      <c r="N7" s="170"/>
      <c r="O7" s="170"/>
      <c r="R7" s="6"/>
      <c r="S7" s="8"/>
      <c r="T7" s="8"/>
      <c r="U7" s="8"/>
      <c r="V7" s="8"/>
      <c r="W7" s="8"/>
      <c r="AE7" s="249" t="s">
        <v>456</v>
      </c>
      <c r="AF7" s="249"/>
      <c r="AG7" s="249"/>
      <c r="AH7" s="249"/>
      <c r="AI7" s="249"/>
      <c r="AJ7" s="249"/>
      <c r="AK7" s="249"/>
      <c r="AL7" s="249"/>
      <c r="AM7" s="249"/>
      <c r="AN7" s="249"/>
    </row>
    <row r="8" spans="1:40" ht="15" customHeight="1" x14ac:dyDescent="0.45">
      <c r="A8" s="38"/>
      <c r="B8" s="75"/>
      <c r="C8" s="76"/>
      <c r="D8" s="76"/>
      <c r="E8" s="160" t="s">
        <v>58</v>
      </c>
      <c r="F8" s="172"/>
      <c r="G8" s="172"/>
      <c r="H8" s="173"/>
      <c r="I8" s="8"/>
      <c r="J8" s="8"/>
      <c r="K8" s="8"/>
      <c r="L8" s="8"/>
      <c r="M8" s="160" t="s">
        <v>59</v>
      </c>
      <c r="N8" s="173"/>
      <c r="O8" s="160"/>
      <c r="R8" s="6"/>
      <c r="S8" s="8"/>
      <c r="T8" s="8"/>
      <c r="U8" s="8"/>
      <c r="V8" s="8"/>
      <c r="W8" s="8"/>
      <c r="AE8" s="38"/>
      <c r="AF8" s="38"/>
      <c r="AG8" s="38"/>
      <c r="AH8" s="38"/>
      <c r="AI8" s="38"/>
      <c r="AJ8" s="38"/>
      <c r="AK8" s="38"/>
      <c r="AL8" s="38"/>
      <c r="AM8" s="38"/>
      <c r="AN8" s="38"/>
    </row>
    <row r="9" spans="1:40" ht="15" customHeight="1" x14ac:dyDescent="0.45">
      <c r="A9" s="38"/>
      <c r="B9" s="77"/>
      <c r="C9" s="66"/>
      <c r="D9" s="66"/>
      <c r="E9" s="160" t="s">
        <v>60</v>
      </c>
      <c r="F9" s="174"/>
      <c r="G9" s="173"/>
      <c r="H9" s="8"/>
      <c r="I9" s="8"/>
      <c r="J9" s="8"/>
      <c r="K9" s="8"/>
      <c r="L9" s="8"/>
      <c r="M9" s="8" t="s">
        <v>61</v>
      </c>
      <c r="N9" s="8"/>
      <c r="O9" s="160"/>
      <c r="R9" s="6"/>
      <c r="S9" s="8"/>
      <c r="T9" s="8"/>
      <c r="U9" s="8"/>
      <c r="V9" s="8"/>
      <c r="W9" s="8"/>
    </row>
    <row r="10" spans="1:40" ht="15" customHeight="1" x14ac:dyDescent="0.45">
      <c r="A10" s="38"/>
      <c r="B10" s="78"/>
      <c r="C10" s="79"/>
      <c r="D10" s="79"/>
      <c r="E10" s="80" t="s">
        <v>62</v>
      </c>
      <c r="F10" s="81"/>
      <c r="G10" s="78"/>
      <c r="H10" s="79"/>
      <c r="I10" s="79"/>
      <c r="J10" s="79"/>
      <c r="K10" s="79"/>
      <c r="L10" s="79"/>
      <c r="M10" s="79"/>
      <c r="N10" s="79"/>
      <c r="O10" s="80"/>
      <c r="P10" s="38"/>
      <c r="R10" s="6"/>
      <c r="S10" s="8"/>
      <c r="T10" s="8"/>
      <c r="U10" s="8"/>
      <c r="V10" s="8"/>
      <c r="W10" s="8"/>
    </row>
    <row r="11" spans="1:40" ht="15" customHeight="1" x14ac:dyDescent="0.45">
      <c r="A11" s="38"/>
      <c r="B11" s="294" t="s">
        <v>63</v>
      </c>
      <c r="C11" s="295"/>
      <c r="D11" s="295"/>
      <c r="E11" s="295"/>
      <c r="F11" s="295"/>
      <c r="G11" s="295"/>
      <c r="H11" s="295"/>
      <c r="I11" s="295"/>
      <c r="J11" s="295"/>
      <c r="K11" s="295"/>
      <c r="L11" s="295"/>
      <c r="M11" s="295"/>
      <c r="N11" s="295"/>
      <c r="O11" s="317"/>
      <c r="P11" s="38"/>
    </row>
    <row r="12" spans="1:40" ht="30" customHeight="1" x14ac:dyDescent="0.45">
      <c r="A12" s="38"/>
      <c r="B12" s="324"/>
      <c r="C12" s="325"/>
      <c r="D12" s="326"/>
      <c r="E12" s="348" t="s">
        <v>64</v>
      </c>
      <c r="F12" s="349"/>
      <c r="G12" s="350"/>
      <c r="H12" s="324" t="s">
        <v>65</v>
      </c>
      <c r="I12" s="325"/>
      <c r="J12" s="325"/>
      <c r="K12" s="326"/>
      <c r="L12" s="345" t="s">
        <v>66</v>
      </c>
      <c r="M12" s="324" t="s">
        <v>67</v>
      </c>
      <c r="N12" s="325"/>
      <c r="O12" s="326"/>
      <c r="P12" s="38"/>
    </row>
    <row r="13" spans="1:40" ht="9" customHeight="1" x14ac:dyDescent="0.45">
      <c r="A13" s="38"/>
      <c r="B13" s="327"/>
      <c r="C13" s="303"/>
      <c r="D13" s="328"/>
      <c r="E13" s="351"/>
      <c r="F13" s="352"/>
      <c r="G13" s="353"/>
      <c r="H13" s="327"/>
      <c r="I13" s="303"/>
      <c r="J13" s="303"/>
      <c r="K13" s="328"/>
      <c r="L13" s="346"/>
      <c r="M13" s="176"/>
      <c r="N13" s="84" t="s">
        <v>68</v>
      </c>
      <c r="O13" s="83" t="s">
        <v>69</v>
      </c>
      <c r="P13" s="38"/>
    </row>
    <row r="14" spans="1:40" ht="14.25" customHeight="1" x14ac:dyDescent="0.45">
      <c r="A14" s="38"/>
      <c r="B14" s="329"/>
      <c r="C14" s="330"/>
      <c r="D14" s="331"/>
      <c r="E14" s="354"/>
      <c r="F14" s="355"/>
      <c r="G14" s="356"/>
      <c r="H14" s="329"/>
      <c r="I14" s="330"/>
      <c r="J14" s="330"/>
      <c r="K14" s="331"/>
      <c r="L14" s="347"/>
      <c r="M14" s="177" t="s">
        <v>70</v>
      </c>
      <c r="N14" s="86">
        <v>0.68</v>
      </c>
      <c r="O14" s="87">
        <v>0.92</v>
      </c>
      <c r="P14" s="38"/>
    </row>
    <row r="15" spans="1:40" ht="13.5" customHeight="1" x14ac:dyDescent="0.45">
      <c r="A15" s="38"/>
      <c r="B15" s="296" t="s">
        <v>71</v>
      </c>
      <c r="C15" s="297"/>
      <c r="D15" s="298"/>
      <c r="E15" s="285" t="s">
        <v>72</v>
      </c>
      <c r="F15" s="287"/>
      <c r="G15" s="88">
        <v>12.1</v>
      </c>
      <c r="H15" s="310">
        <f>G15/M15</f>
        <v>15.124999999999998</v>
      </c>
      <c r="I15" s="311"/>
      <c r="J15" s="311"/>
      <c r="K15" s="312"/>
      <c r="L15" s="88">
        <f>G15^2/M15</f>
        <v>183.01249999999999</v>
      </c>
      <c r="M15" s="316">
        <v>0.8</v>
      </c>
      <c r="N15" s="313"/>
      <c r="O15" s="316"/>
      <c r="P15" s="38"/>
    </row>
    <row r="16" spans="1:40" ht="12.75" customHeight="1" x14ac:dyDescent="0.45">
      <c r="A16" s="38"/>
      <c r="B16" s="296" t="s">
        <v>73</v>
      </c>
      <c r="C16" s="297"/>
      <c r="D16" s="298"/>
      <c r="E16" s="291"/>
      <c r="F16" s="293"/>
      <c r="G16" s="88">
        <v>12.1</v>
      </c>
      <c r="H16" s="310">
        <f>G16/M16</f>
        <v>15.124999999999998</v>
      </c>
      <c r="I16" s="311"/>
      <c r="J16" s="311"/>
      <c r="K16" s="312"/>
      <c r="L16" s="89">
        <f>G16^2/M16</f>
        <v>183.01249999999999</v>
      </c>
      <c r="M16" s="316">
        <v>0.8</v>
      </c>
      <c r="N16" s="313"/>
      <c r="O16" s="316"/>
      <c r="P16" s="38"/>
    </row>
    <row r="17" spans="1:25" ht="13.5" hidden="1" customHeight="1" x14ac:dyDescent="0.45">
      <c r="A17" s="38"/>
      <c r="B17" s="296" t="s">
        <v>71</v>
      </c>
      <c r="C17" s="297"/>
      <c r="D17" s="298"/>
      <c r="E17" s="285" t="s">
        <v>447</v>
      </c>
      <c r="F17" s="287"/>
      <c r="G17" s="89">
        <v>12.1</v>
      </c>
      <c r="H17" s="310" t="e">
        <f>G17/M17</f>
        <v>#DIV/0!</v>
      </c>
      <c r="I17" s="311"/>
      <c r="J17" s="311"/>
      <c r="K17" s="312"/>
      <c r="L17" s="89" t="e">
        <f>G17^2/M17</f>
        <v>#DIV/0!</v>
      </c>
      <c r="M17" s="313"/>
      <c r="N17" s="314"/>
      <c r="O17" s="315"/>
      <c r="P17" s="38"/>
      <c r="S17" s="9"/>
    </row>
    <row r="18" spans="1:25" ht="12.75" customHeight="1" x14ac:dyDescent="0.45">
      <c r="A18" s="38"/>
      <c r="B18" s="296" t="s">
        <v>440</v>
      </c>
      <c r="C18" s="297"/>
      <c r="D18" s="298"/>
      <c r="E18" s="291"/>
      <c r="F18" s="293"/>
      <c r="G18" s="88">
        <v>9.6</v>
      </c>
      <c r="H18" s="310">
        <f>G18/M18</f>
        <v>1.0526315789473684</v>
      </c>
      <c r="I18" s="311"/>
      <c r="J18" s="311"/>
      <c r="K18" s="312"/>
      <c r="L18" s="89">
        <f>G18^2/M18</f>
        <v>10.105263157894738</v>
      </c>
      <c r="M18" s="313">
        <v>9.1199999999999992</v>
      </c>
      <c r="N18" s="314"/>
      <c r="O18" s="315"/>
      <c r="P18" s="38"/>
    </row>
    <row r="19" spans="1:25" ht="15" customHeight="1" x14ac:dyDescent="0.45">
      <c r="A19" s="38"/>
      <c r="B19" s="294" t="s">
        <v>74</v>
      </c>
      <c r="C19" s="295"/>
      <c r="D19" s="295"/>
      <c r="E19" s="283" t="s">
        <v>75</v>
      </c>
      <c r="F19" s="283"/>
      <c r="G19" s="283"/>
      <c r="H19" s="283"/>
      <c r="I19" s="283"/>
      <c r="J19" s="283"/>
      <c r="K19" s="283"/>
      <c r="L19" s="283" t="s">
        <v>76</v>
      </c>
      <c r="M19" s="283"/>
      <c r="N19" s="283"/>
      <c r="O19" s="284"/>
      <c r="P19" s="38"/>
      <c r="S19" s="280"/>
      <c r="T19" s="280"/>
      <c r="U19" s="280"/>
      <c r="V19" s="280"/>
      <c r="W19" s="280"/>
      <c r="X19" s="280"/>
      <c r="Y19" s="280"/>
    </row>
    <row r="20" spans="1:25" ht="13.5" customHeight="1" x14ac:dyDescent="0.45">
      <c r="A20" s="38"/>
      <c r="B20" s="285"/>
      <c r="C20" s="286"/>
      <c r="D20" s="287"/>
      <c r="E20" s="285"/>
      <c r="F20" s="286"/>
      <c r="G20" s="286"/>
      <c r="H20" s="286"/>
      <c r="I20" s="286"/>
      <c r="J20" s="286"/>
      <c r="K20" s="287"/>
      <c r="L20" s="285"/>
      <c r="M20" s="286"/>
      <c r="N20" s="286"/>
      <c r="O20" s="287"/>
      <c r="P20" s="38"/>
      <c r="S20" s="281"/>
      <c r="T20" s="281"/>
      <c r="U20" s="281"/>
      <c r="V20" s="281"/>
      <c r="W20" s="281"/>
      <c r="X20" s="281"/>
      <c r="Y20" s="281"/>
    </row>
    <row r="21" spans="1:25" ht="13.5" customHeight="1" x14ac:dyDescent="0.45">
      <c r="A21" s="38"/>
      <c r="B21" s="288"/>
      <c r="C21" s="289"/>
      <c r="D21" s="290"/>
      <c r="E21" s="288"/>
      <c r="F21" s="289"/>
      <c r="G21" s="289"/>
      <c r="H21" s="289"/>
      <c r="I21" s="289"/>
      <c r="J21" s="289"/>
      <c r="K21" s="290"/>
      <c r="L21" s="288"/>
      <c r="M21" s="289"/>
      <c r="N21" s="289"/>
      <c r="O21" s="290"/>
      <c r="P21" s="38"/>
      <c r="S21" s="281"/>
      <c r="T21" s="281"/>
      <c r="U21" s="281"/>
      <c r="V21" s="281"/>
      <c r="W21" s="281"/>
      <c r="X21" s="281"/>
      <c r="Y21" s="281"/>
    </row>
    <row r="22" spans="1:25" ht="13.5" customHeight="1" x14ac:dyDescent="0.45">
      <c r="A22" s="38"/>
      <c r="B22" s="288"/>
      <c r="C22" s="289"/>
      <c r="D22" s="290"/>
      <c r="E22" s="288"/>
      <c r="F22" s="289"/>
      <c r="G22" s="289"/>
      <c r="H22" s="289"/>
      <c r="I22" s="289"/>
      <c r="J22" s="289"/>
      <c r="K22" s="290"/>
      <c r="L22" s="288"/>
      <c r="M22" s="289"/>
      <c r="N22" s="289"/>
      <c r="O22" s="290"/>
      <c r="P22" s="38"/>
      <c r="S22" s="281"/>
      <c r="T22" s="281"/>
      <c r="U22" s="281"/>
      <c r="V22" s="281"/>
      <c r="W22" s="281"/>
      <c r="X22" s="281"/>
      <c r="Y22" s="281"/>
    </row>
    <row r="23" spans="1:25" ht="13.5" customHeight="1" x14ac:dyDescent="0.45">
      <c r="A23" s="38"/>
      <c r="B23" s="288"/>
      <c r="C23" s="289"/>
      <c r="D23" s="290"/>
      <c r="E23" s="288"/>
      <c r="F23" s="289"/>
      <c r="G23" s="289"/>
      <c r="H23" s="289"/>
      <c r="I23" s="289"/>
      <c r="J23" s="289"/>
      <c r="K23" s="290"/>
      <c r="L23" s="288"/>
      <c r="M23" s="289"/>
      <c r="N23" s="289"/>
      <c r="O23" s="290"/>
      <c r="P23" s="38"/>
      <c r="S23" s="281"/>
      <c r="T23" s="281"/>
      <c r="U23" s="281"/>
      <c r="V23" s="281"/>
      <c r="W23" s="281"/>
      <c r="X23" s="281"/>
      <c r="Y23" s="281"/>
    </row>
    <row r="24" spans="1:25" ht="13.5" customHeight="1" x14ac:dyDescent="0.45">
      <c r="A24" s="38"/>
      <c r="B24" s="288"/>
      <c r="C24" s="289"/>
      <c r="D24" s="290"/>
      <c r="E24" s="288"/>
      <c r="F24" s="289"/>
      <c r="G24" s="289"/>
      <c r="H24" s="289"/>
      <c r="I24" s="289"/>
      <c r="J24" s="289"/>
      <c r="K24" s="290"/>
      <c r="L24" s="288"/>
      <c r="M24" s="289"/>
      <c r="N24" s="289"/>
      <c r="O24" s="290"/>
      <c r="P24" s="38"/>
      <c r="S24" s="281"/>
      <c r="T24" s="281"/>
      <c r="U24" s="281"/>
      <c r="V24" s="281"/>
      <c r="W24" s="281"/>
      <c r="X24" s="281"/>
      <c r="Y24" s="281"/>
    </row>
    <row r="25" spans="1:25" ht="13.5" customHeight="1" x14ac:dyDescent="0.45">
      <c r="A25" s="38"/>
      <c r="B25" s="288"/>
      <c r="C25" s="289"/>
      <c r="D25" s="290"/>
      <c r="E25" s="288"/>
      <c r="F25" s="289"/>
      <c r="G25" s="289"/>
      <c r="H25" s="289"/>
      <c r="I25" s="289"/>
      <c r="J25" s="289"/>
      <c r="K25" s="290"/>
      <c r="L25" s="288"/>
      <c r="M25" s="289"/>
      <c r="N25" s="289"/>
      <c r="O25" s="290"/>
      <c r="P25" s="38"/>
      <c r="S25" s="281"/>
      <c r="T25" s="281"/>
      <c r="U25" s="281"/>
      <c r="V25" s="281"/>
      <c r="W25" s="281"/>
      <c r="X25" s="281"/>
      <c r="Y25" s="281"/>
    </row>
    <row r="26" spans="1:25" ht="13.5" customHeight="1" x14ac:dyDescent="0.45">
      <c r="A26" s="38"/>
      <c r="B26" s="288"/>
      <c r="C26" s="289"/>
      <c r="D26" s="290"/>
      <c r="E26" s="288"/>
      <c r="F26" s="289"/>
      <c r="G26" s="289"/>
      <c r="H26" s="289"/>
      <c r="I26" s="289"/>
      <c r="J26" s="289"/>
      <c r="K26" s="290"/>
      <c r="L26" s="288"/>
      <c r="M26" s="289"/>
      <c r="N26" s="289"/>
      <c r="O26" s="290"/>
      <c r="P26" s="38"/>
      <c r="S26" s="281"/>
      <c r="T26" s="281"/>
      <c r="U26" s="281"/>
      <c r="V26" s="281"/>
      <c r="W26" s="281"/>
      <c r="X26" s="281"/>
      <c r="Y26" s="281"/>
    </row>
    <row r="27" spans="1:25" ht="13.5" customHeight="1" x14ac:dyDescent="0.45">
      <c r="A27" s="38"/>
      <c r="B27" s="288"/>
      <c r="C27" s="289"/>
      <c r="D27" s="290"/>
      <c r="E27" s="288"/>
      <c r="F27" s="289"/>
      <c r="G27" s="289"/>
      <c r="H27" s="289"/>
      <c r="I27" s="289"/>
      <c r="J27" s="289"/>
      <c r="K27" s="290"/>
      <c r="L27" s="288"/>
      <c r="M27" s="289"/>
      <c r="N27" s="289"/>
      <c r="O27" s="290"/>
      <c r="P27" s="38"/>
      <c r="S27" s="281"/>
      <c r="T27" s="281"/>
      <c r="U27" s="281"/>
      <c r="V27" s="281"/>
      <c r="W27" s="281"/>
      <c r="X27" s="281"/>
      <c r="Y27" s="281"/>
    </row>
    <row r="28" spans="1:25" ht="13.5" customHeight="1" x14ac:dyDescent="0.45">
      <c r="A28" s="38"/>
      <c r="B28" s="288"/>
      <c r="C28" s="289"/>
      <c r="D28" s="290"/>
      <c r="E28" s="288"/>
      <c r="F28" s="289"/>
      <c r="G28" s="289"/>
      <c r="H28" s="289"/>
      <c r="I28" s="289"/>
      <c r="J28" s="289"/>
      <c r="K28" s="290"/>
      <c r="L28" s="288"/>
      <c r="M28" s="289"/>
      <c r="N28" s="289"/>
      <c r="O28" s="290"/>
      <c r="P28" s="38"/>
      <c r="S28" s="281"/>
      <c r="T28" s="281"/>
      <c r="U28" s="281"/>
      <c r="V28" s="281"/>
      <c r="W28" s="281"/>
      <c r="X28" s="281"/>
      <c r="Y28" s="281"/>
    </row>
    <row r="29" spans="1:25" ht="13.5" customHeight="1" x14ac:dyDescent="0.45">
      <c r="A29" s="38"/>
      <c r="B29" s="288"/>
      <c r="C29" s="289"/>
      <c r="D29" s="290"/>
      <c r="E29" s="288"/>
      <c r="F29" s="289"/>
      <c r="G29" s="289"/>
      <c r="H29" s="289"/>
      <c r="I29" s="289"/>
      <c r="J29" s="289"/>
      <c r="K29" s="290"/>
      <c r="L29" s="288"/>
      <c r="M29" s="289"/>
      <c r="N29" s="289"/>
      <c r="O29" s="290"/>
      <c r="P29" s="38"/>
      <c r="S29" s="281"/>
      <c r="T29" s="281"/>
      <c r="U29" s="281"/>
      <c r="V29" s="281"/>
      <c r="W29" s="281"/>
      <c r="X29" s="281"/>
      <c r="Y29" s="281"/>
    </row>
    <row r="30" spans="1:25" ht="13.5" customHeight="1" x14ac:dyDescent="0.45">
      <c r="A30" s="38"/>
      <c r="B30" s="288"/>
      <c r="C30" s="289"/>
      <c r="D30" s="290"/>
      <c r="E30" s="288"/>
      <c r="F30" s="289"/>
      <c r="G30" s="289"/>
      <c r="H30" s="289"/>
      <c r="I30" s="289"/>
      <c r="J30" s="289"/>
      <c r="K30" s="290"/>
      <c r="L30" s="288"/>
      <c r="M30" s="289"/>
      <c r="N30" s="289"/>
      <c r="O30" s="290"/>
      <c r="P30" s="38"/>
      <c r="S30" s="281"/>
      <c r="T30" s="281"/>
      <c r="U30" s="281"/>
      <c r="V30" s="281"/>
      <c r="W30" s="281"/>
      <c r="X30" s="281"/>
      <c r="Y30" s="281"/>
    </row>
    <row r="31" spans="1:25" ht="13.5" customHeight="1" x14ac:dyDescent="0.45">
      <c r="A31" s="38"/>
      <c r="B31" s="291"/>
      <c r="C31" s="292"/>
      <c r="D31" s="293"/>
      <c r="E31" s="291"/>
      <c r="F31" s="292"/>
      <c r="G31" s="292"/>
      <c r="H31" s="292"/>
      <c r="I31" s="292"/>
      <c r="J31" s="292"/>
      <c r="K31" s="293"/>
      <c r="L31" s="291"/>
      <c r="M31" s="292"/>
      <c r="N31" s="292"/>
      <c r="O31" s="293"/>
      <c r="P31" s="38"/>
      <c r="S31" s="281"/>
      <c r="T31" s="281"/>
      <c r="U31" s="281"/>
      <c r="V31" s="281"/>
      <c r="W31" s="281"/>
      <c r="X31" s="281"/>
      <c r="Y31" s="281"/>
    </row>
    <row r="32" spans="1:25" ht="15" customHeight="1" x14ac:dyDescent="0.45">
      <c r="A32" s="38"/>
      <c r="B32" s="282" t="s">
        <v>77</v>
      </c>
      <c r="C32" s="283"/>
      <c r="D32" s="283"/>
      <c r="E32" s="283"/>
      <c r="F32" s="283"/>
      <c r="G32" s="283"/>
      <c r="H32" s="283"/>
      <c r="I32" s="283"/>
      <c r="J32" s="283"/>
      <c r="K32" s="283"/>
      <c r="L32" s="283"/>
      <c r="M32" s="283"/>
      <c r="N32" s="283"/>
      <c r="O32" s="284"/>
      <c r="P32" s="38"/>
      <c r="S32" s="281"/>
      <c r="T32" s="281"/>
      <c r="U32" s="281"/>
      <c r="V32" s="281"/>
      <c r="W32" s="281"/>
      <c r="X32" s="281"/>
      <c r="Y32" s="281"/>
    </row>
    <row r="33" spans="1:42" ht="15" customHeight="1" x14ac:dyDescent="0.45">
      <c r="A33" s="38"/>
      <c r="B33" s="304" t="s">
        <v>78</v>
      </c>
      <c r="C33" s="305"/>
      <c r="D33" s="306"/>
      <c r="E33" s="304" t="s">
        <v>79</v>
      </c>
      <c r="F33" s="305"/>
      <c r="G33" s="305"/>
      <c r="H33" s="305"/>
      <c r="I33" s="305"/>
      <c r="J33" s="305"/>
      <c r="K33" s="306"/>
      <c r="L33" s="304" t="s">
        <v>80</v>
      </c>
      <c r="M33" s="305"/>
      <c r="N33" s="305"/>
      <c r="O33" s="306"/>
      <c r="P33" s="38"/>
      <c r="S33" s="281"/>
      <c r="T33" s="281"/>
      <c r="U33" s="281"/>
      <c r="V33" s="281"/>
      <c r="W33" s="281"/>
      <c r="X33" s="281"/>
      <c r="Y33" s="281"/>
    </row>
    <row r="34" spans="1:42" ht="156" customHeight="1" x14ac:dyDescent="0.45">
      <c r="A34" s="38"/>
      <c r="B34" s="304"/>
      <c r="C34" s="305"/>
      <c r="D34" s="306"/>
      <c r="E34" s="304"/>
      <c r="F34" s="305"/>
      <c r="G34" s="305"/>
      <c r="H34" s="305"/>
      <c r="I34" s="305"/>
      <c r="J34" s="305"/>
      <c r="K34" s="306"/>
      <c r="L34" s="304"/>
      <c r="M34" s="305"/>
      <c r="N34" s="305"/>
      <c r="O34" s="306"/>
      <c r="P34" s="38"/>
      <c r="S34" s="281"/>
      <c r="T34" s="281"/>
      <c r="U34" s="281"/>
      <c r="V34" s="281"/>
      <c r="W34" s="281"/>
      <c r="X34" s="281"/>
      <c r="Y34" s="281"/>
    </row>
    <row r="35" spans="1:42" ht="18.75" x14ac:dyDescent="0.45">
      <c r="A35" s="38"/>
      <c r="B35" s="307" t="s">
        <v>20</v>
      </c>
      <c r="C35" s="308"/>
      <c r="D35" s="309"/>
      <c r="E35" s="307" t="s">
        <v>20</v>
      </c>
      <c r="F35" s="308"/>
      <c r="G35" s="308"/>
      <c r="H35" s="308"/>
      <c r="I35" s="308"/>
      <c r="J35" s="308"/>
      <c r="K35" s="309"/>
      <c r="L35" s="307" t="s">
        <v>20</v>
      </c>
      <c r="M35" s="308"/>
      <c r="N35" s="308"/>
      <c r="O35" s="309"/>
      <c r="P35" s="38"/>
    </row>
    <row r="36" spans="1:42" ht="18.75" x14ac:dyDescent="0.45">
      <c r="A36" s="38"/>
      <c r="B36" s="90"/>
      <c r="C36" s="90"/>
      <c r="D36" s="90"/>
      <c r="E36" s="90"/>
      <c r="F36" s="90"/>
      <c r="G36" s="90"/>
      <c r="H36" s="90"/>
      <c r="I36" s="90"/>
      <c r="J36" s="90"/>
      <c r="K36" s="90"/>
      <c r="L36" s="90"/>
      <c r="M36" s="93"/>
      <c r="N36" s="90"/>
      <c r="O36" s="90"/>
      <c r="P36" s="38"/>
    </row>
    <row r="37" spans="1:42" ht="18.75" x14ac:dyDescent="0.45">
      <c r="A37" s="38"/>
      <c r="B37" s="90"/>
      <c r="C37" s="90"/>
      <c r="D37" s="90"/>
      <c r="E37" s="90"/>
      <c r="F37" s="90"/>
      <c r="G37" s="90"/>
      <c r="H37" s="90"/>
      <c r="I37" s="90"/>
      <c r="J37" s="90"/>
      <c r="K37" s="90"/>
      <c r="L37" s="90"/>
      <c r="M37" s="93"/>
      <c r="N37" s="90"/>
      <c r="O37" s="90"/>
      <c r="P37" s="38"/>
    </row>
    <row r="38" spans="1:42" ht="18.75" x14ac:dyDescent="0.45">
      <c r="A38" s="38"/>
      <c r="B38" s="292" t="s">
        <v>439</v>
      </c>
      <c r="C38" s="292"/>
      <c r="D38" s="90"/>
      <c r="E38" s="90"/>
      <c r="F38" s="292" t="str">
        <f>DATOS!N83</f>
        <v>ssanabria</v>
      </c>
      <c r="G38" s="292"/>
      <c r="H38" s="292"/>
      <c r="I38" s="292"/>
      <c r="J38" s="292"/>
      <c r="K38" s="292"/>
      <c r="L38" s="90"/>
      <c r="M38" s="292" t="s">
        <v>438</v>
      </c>
      <c r="N38" s="292"/>
      <c r="O38" s="292"/>
      <c r="P38" s="38"/>
    </row>
    <row r="39" spans="1:42" ht="18.75" x14ac:dyDescent="0.45">
      <c r="A39" s="38"/>
      <c r="B39" s="279" t="s">
        <v>45</v>
      </c>
      <c r="C39" s="279"/>
      <c r="D39" s="91"/>
      <c r="E39" s="91"/>
      <c r="F39" s="279" t="s">
        <v>46</v>
      </c>
      <c r="G39" s="279"/>
      <c r="H39" s="279"/>
      <c r="I39" s="279"/>
      <c r="J39" s="279"/>
      <c r="K39" s="279"/>
      <c r="L39" s="91"/>
      <c r="M39" s="279" t="s">
        <v>81</v>
      </c>
      <c r="N39" s="279"/>
      <c r="O39" s="279"/>
      <c r="P39" s="38"/>
    </row>
    <row r="40" spans="1:42" ht="18.75" x14ac:dyDescent="0.45">
      <c r="A40" s="38"/>
      <c r="B40" s="90"/>
      <c r="C40" s="92"/>
      <c r="D40" s="92"/>
      <c r="E40" s="92"/>
      <c r="F40" s="92"/>
      <c r="G40" s="90"/>
      <c r="H40" s="90"/>
      <c r="I40" s="92"/>
      <c r="J40" s="92"/>
      <c r="K40" s="92"/>
      <c r="L40" s="92"/>
      <c r="M40" s="93"/>
      <c r="N40" s="90"/>
      <c r="O40" s="90"/>
      <c r="P40" s="38"/>
    </row>
    <row r="41" spans="1:42" ht="18.75" x14ac:dyDescent="0.45">
      <c r="A41" s="38"/>
      <c r="B41" s="92"/>
      <c r="C41" s="76"/>
      <c r="D41" s="76"/>
      <c r="E41" s="76"/>
      <c r="F41" s="66"/>
      <c r="G41" s="66"/>
      <c r="H41" s="66"/>
      <c r="I41" s="66"/>
      <c r="J41" s="66"/>
      <c r="K41" s="66"/>
      <c r="L41" s="66"/>
      <c r="M41" s="66"/>
      <c r="N41" s="66"/>
      <c r="O41" s="66"/>
      <c r="P41" s="38"/>
    </row>
    <row r="42" spans="1:42" ht="15.75" customHeight="1" x14ac:dyDescent="0.45">
      <c r="A42" s="38"/>
      <c r="B42" s="300" t="s">
        <v>49</v>
      </c>
      <c r="C42" s="300"/>
      <c r="D42" s="66"/>
      <c r="E42" s="66"/>
      <c r="F42" s="303"/>
      <c r="G42" s="303"/>
      <c r="H42" s="303"/>
      <c r="I42" s="303"/>
      <c r="J42" s="303"/>
      <c r="K42" s="302"/>
      <c r="L42" s="302"/>
      <c r="M42" s="66"/>
      <c r="N42" s="301" t="s">
        <v>459</v>
      </c>
      <c r="O42" s="301"/>
      <c r="P42" s="38"/>
    </row>
    <row r="43" spans="1:42" ht="20.100000000000001" customHeight="1" x14ac:dyDescent="0.45">
      <c r="A43" s="38"/>
      <c r="B43" s="38"/>
      <c r="C43" s="38"/>
      <c r="D43" s="38"/>
      <c r="E43" s="38"/>
      <c r="F43" s="38"/>
      <c r="G43" s="38"/>
      <c r="H43" s="38"/>
      <c r="I43" s="38"/>
      <c r="J43" s="38"/>
      <c r="K43" s="38"/>
      <c r="L43" s="38"/>
      <c r="M43" s="38"/>
      <c r="N43" s="38"/>
      <c r="O43" s="38"/>
      <c r="P43" s="38"/>
    </row>
    <row r="44" spans="1:42" ht="25.5" x14ac:dyDescent="0.2">
      <c r="S44" s="277"/>
      <c r="T44" s="277"/>
      <c r="U44" s="277"/>
      <c r="V44" s="277"/>
      <c r="W44" s="277"/>
      <c r="X44" s="277"/>
      <c r="Y44" s="277"/>
      <c r="Z44" s="277"/>
      <c r="AA44" s="277"/>
      <c r="AB44" s="277"/>
      <c r="AC44" s="277"/>
      <c r="AD44" s="277"/>
      <c r="AE44" s="277"/>
      <c r="AF44" s="277"/>
      <c r="AP44" s="12" t="s">
        <v>82</v>
      </c>
    </row>
    <row r="45" spans="1:42" x14ac:dyDescent="0.2">
      <c r="S45" s="277"/>
      <c r="T45" s="277"/>
      <c r="U45" s="278"/>
      <c r="V45" s="278"/>
      <c r="W45" s="278"/>
      <c r="X45" s="278"/>
      <c r="Y45" s="278"/>
      <c r="Z45" s="278"/>
      <c r="AA45" s="278"/>
      <c r="AB45" s="278"/>
      <c r="AC45" s="278"/>
      <c r="AD45" s="278"/>
      <c r="AE45" s="278"/>
      <c r="AF45" s="278"/>
      <c r="AP45" t="s">
        <v>83</v>
      </c>
    </row>
    <row r="46" spans="1:42" x14ac:dyDescent="0.2">
      <c r="S46" s="278"/>
      <c r="T46" s="278"/>
      <c r="U46" s="278"/>
      <c r="V46" s="278"/>
      <c r="W46" s="278"/>
      <c r="X46" s="278"/>
      <c r="Y46" s="278"/>
      <c r="Z46" s="278"/>
      <c r="AA46" s="278"/>
      <c r="AB46" s="278"/>
      <c r="AC46" s="278"/>
      <c r="AD46" s="299"/>
      <c r="AE46" s="299"/>
      <c r="AF46" s="299"/>
    </row>
    <row r="49" spans="38:43" x14ac:dyDescent="0.2">
      <c r="AQ49" t="s">
        <v>84</v>
      </c>
    </row>
    <row r="50" spans="38:43" x14ac:dyDescent="0.2">
      <c r="AL50" t="s">
        <v>85</v>
      </c>
    </row>
    <row r="68" spans="2:38" x14ac:dyDescent="0.2">
      <c r="AL68" t="s">
        <v>86</v>
      </c>
    </row>
    <row r="74" spans="2:38" x14ac:dyDescent="0.2">
      <c r="B74" t="s">
        <v>87</v>
      </c>
    </row>
  </sheetData>
  <mergeCells count="65">
    <mergeCell ref="M2:O3"/>
    <mergeCell ref="H12:K14"/>
    <mergeCell ref="B2:B3"/>
    <mergeCell ref="C4:E4"/>
    <mergeCell ref="C6:J6"/>
    <mergeCell ref="B7:C7"/>
    <mergeCell ref="B12:D14"/>
    <mergeCell ref="C2:L3"/>
    <mergeCell ref="L12:L14"/>
    <mergeCell ref="F4:K4"/>
    <mergeCell ref="E12:G14"/>
    <mergeCell ref="M12:O12"/>
    <mergeCell ref="B16:D16"/>
    <mergeCell ref="B15:D15"/>
    <mergeCell ref="H16:K16"/>
    <mergeCell ref="M15:O15"/>
    <mergeCell ref="B11:O11"/>
    <mergeCell ref="H15:K15"/>
    <mergeCell ref="M16:O16"/>
    <mergeCell ref="E15:F16"/>
    <mergeCell ref="E17:F18"/>
    <mergeCell ref="H18:K18"/>
    <mergeCell ref="M18:O18"/>
    <mergeCell ref="M17:O17"/>
    <mergeCell ref="H17:K17"/>
    <mergeCell ref="B34:D34"/>
    <mergeCell ref="B35:D35"/>
    <mergeCell ref="E33:K33"/>
    <mergeCell ref="E34:K34"/>
    <mergeCell ref="L34:O34"/>
    <mergeCell ref="E35:K35"/>
    <mergeCell ref="L35:O35"/>
    <mergeCell ref="L33:O33"/>
    <mergeCell ref="B33:D33"/>
    <mergeCell ref="B42:C42"/>
    <mergeCell ref="N42:O42"/>
    <mergeCell ref="F38:K38"/>
    <mergeCell ref="M38:O38"/>
    <mergeCell ref="F39:K39"/>
    <mergeCell ref="K42:L42"/>
    <mergeCell ref="F42:J42"/>
    <mergeCell ref="B39:C39"/>
    <mergeCell ref="B38:C38"/>
    <mergeCell ref="S46:T46"/>
    <mergeCell ref="U46:Y46"/>
    <mergeCell ref="U45:Y45"/>
    <mergeCell ref="Z46:AC46"/>
    <mergeCell ref="AD46:AF46"/>
    <mergeCell ref="S44:T45"/>
    <mergeCell ref="AE7:AN7"/>
    <mergeCell ref="U44:AF44"/>
    <mergeCell ref="Z45:AC45"/>
    <mergeCell ref="AD45:AF45"/>
    <mergeCell ref="M39:O39"/>
    <mergeCell ref="S19:Y19"/>
    <mergeCell ref="S20:Y34"/>
    <mergeCell ref="B32:O32"/>
    <mergeCell ref="B20:D31"/>
    <mergeCell ref="B19:D19"/>
    <mergeCell ref="E19:K19"/>
    <mergeCell ref="E20:K31"/>
    <mergeCell ref="L19:O19"/>
    <mergeCell ref="L20:O31"/>
    <mergeCell ref="B17:D17"/>
    <mergeCell ref="B18:D18"/>
  </mergeCells>
  <printOptions horizontalCentered="1" verticalCentered="1"/>
  <pageMargins left="0.70866141732283472" right="0.70866141732283472" top="0.15748031496062992" bottom="0.15748031496062992" header="0.31496062992125984" footer="0.31496062992125984"/>
  <pageSetup scale="79" fitToWidth="0" fitToHeight="0" orientation="portrait" r:id="rId1"/>
  <rowBreaks count="1" manualBreakCount="1">
    <brk id="43" max="1048575" man="1"/>
  </rowBreak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11597" r:id="rId4" name="Check Box 653">
              <controlPr defaultSize="0" autoFill="0" autoLine="0" autoPict="0">
                <anchor>
                  <from>
                    <xdr:col>0</xdr:col>
                    <xdr:colOff>0</xdr:colOff>
                    <xdr:row>0</xdr:row>
                    <xdr:rowOff>0</xdr:rowOff>
                  </from>
                  <to>
                    <xdr:col>0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598" r:id="rId5" name="Check Box 654">
              <controlPr defaultSize="0" autoFill="0" autoLine="0" autoPict="0">
                <anchor>
                  <from>
                    <xdr:col>0</xdr:col>
                    <xdr:colOff>0</xdr:colOff>
                    <xdr:row>0</xdr:row>
                    <xdr:rowOff>0</xdr:rowOff>
                  </from>
                  <to>
                    <xdr:col>0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599" r:id="rId6" name="Check Box 655">
              <controlPr defaultSize="0" autoFill="0" autoLine="0" autoPict="0">
                <anchor>
                  <from>
                    <xdr:col>0</xdr:col>
                    <xdr:colOff>0</xdr:colOff>
                    <xdr:row>0</xdr:row>
                    <xdr:rowOff>0</xdr:rowOff>
                  </from>
                  <to>
                    <xdr:col>0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600" r:id="rId7" name="Check Box 656">
              <controlPr defaultSize="0" autoFill="0" autoLine="0" autoPict="0">
                <anchor>
                  <from>
                    <xdr:col>0</xdr:col>
                    <xdr:colOff>0</xdr:colOff>
                    <xdr:row>0</xdr:row>
                    <xdr:rowOff>0</xdr:rowOff>
                  </from>
                  <to>
                    <xdr:col>0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601" r:id="rId8" name="Check Box 657">
              <controlPr defaultSize="0" autoFill="0" autoLine="0" autoPict="0">
                <anchor>
                  <from>
                    <xdr:col>0</xdr:col>
                    <xdr:colOff>0</xdr:colOff>
                    <xdr:row>0</xdr:row>
                    <xdr:rowOff>0</xdr:rowOff>
                  </from>
                  <to>
                    <xdr:col>0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602" r:id="rId9" name="Check Box 658">
              <controlPr defaultSize="0" autoFill="0" autoLine="0" autoPict="0">
                <anchor>
                  <from>
                    <xdr:col>0</xdr:col>
                    <xdr:colOff>0</xdr:colOff>
                    <xdr:row>0</xdr:row>
                    <xdr:rowOff>0</xdr:rowOff>
                  </from>
                  <to>
                    <xdr:col>0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603" r:id="rId10" name="Check Box 659">
              <controlPr defaultSize="0" autoFill="0" autoLine="0" autoPict="0">
                <anchor>
                  <from>
                    <xdr:col>0</xdr:col>
                    <xdr:colOff>0</xdr:colOff>
                    <xdr:row>0</xdr:row>
                    <xdr:rowOff>0</xdr:rowOff>
                  </from>
                  <to>
                    <xdr:col>0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950" r:id="rId11" name="Check Box 1006">
              <controlPr defaultSize="0" autoFill="0" autoLine="0" autoPict="0">
                <anchor moveWithCells="1">
                  <from>
                    <xdr:col>3</xdr:col>
                    <xdr:colOff>238125</xdr:colOff>
                    <xdr:row>6</xdr:row>
                    <xdr:rowOff>9525</xdr:rowOff>
                  </from>
                  <to>
                    <xdr:col>4</xdr:col>
                    <xdr:colOff>0</xdr:colOff>
                    <xdr:row>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951" r:id="rId12" name="Check Box 1007">
              <controlPr defaultSize="0" autoFill="0" autoLine="0" autoPict="0">
                <anchor moveWithCells="1">
                  <from>
                    <xdr:col>3</xdr:col>
                    <xdr:colOff>238125</xdr:colOff>
                    <xdr:row>7</xdr:row>
                    <xdr:rowOff>9525</xdr:rowOff>
                  </from>
                  <to>
                    <xdr:col>4</xdr:col>
                    <xdr:colOff>0</xdr:colOff>
                    <xdr:row>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952" r:id="rId13" name="Check Box 1008">
              <controlPr defaultSize="0" autoFill="0" autoLine="0" autoPict="0">
                <anchor moveWithCells="1">
                  <from>
                    <xdr:col>3</xdr:col>
                    <xdr:colOff>238125</xdr:colOff>
                    <xdr:row>7</xdr:row>
                    <xdr:rowOff>190500</xdr:rowOff>
                  </from>
                  <to>
                    <xdr:col>4</xdr:col>
                    <xdr:colOff>0</xdr:colOff>
                    <xdr:row>8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953" r:id="rId14" name="Check Box 1009">
              <controlPr defaultSize="0" autoFill="0" autoLine="0" autoPict="0">
                <anchor moveWithCells="1">
                  <from>
                    <xdr:col>3</xdr:col>
                    <xdr:colOff>238125</xdr:colOff>
                    <xdr:row>9</xdr:row>
                    <xdr:rowOff>19050</xdr:rowOff>
                  </from>
                  <to>
                    <xdr:col>4</xdr:col>
                    <xdr:colOff>0</xdr:colOff>
                    <xdr:row>10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954" r:id="rId15" name="Check Box 1010">
              <controlPr defaultSize="0" autoFill="0" autoLine="0" autoPict="0">
                <anchor moveWithCells="1">
                  <from>
                    <xdr:col>11</xdr:col>
                    <xdr:colOff>704850</xdr:colOff>
                    <xdr:row>6</xdr:row>
                    <xdr:rowOff>9525</xdr:rowOff>
                  </from>
                  <to>
                    <xdr:col>12</xdr:col>
                    <xdr:colOff>0</xdr:colOff>
                    <xdr:row>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955" r:id="rId16" name="Check Box 1011">
              <controlPr defaultSize="0" autoFill="0" autoLine="0" autoPict="0">
                <anchor moveWithCells="1">
                  <from>
                    <xdr:col>11</xdr:col>
                    <xdr:colOff>704850</xdr:colOff>
                    <xdr:row>7</xdr:row>
                    <xdr:rowOff>9525</xdr:rowOff>
                  </from>
                  <to>
                    <xdr:col>12</xdr:col>
                    <xdr:colOff>9525</xdr:colOff>
                    <xdr:row>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956" r:id="rId17" name="Check Box 1012">
              <controlPr defaultSize="0" autoFill="0" autoLine="0" autoPict="0">
                <anchor moveWithCells="1">
                  <from>
                    <xdr:col>11</xdr:col>
                    <xdr:colOff>695325</xdr:colOff>
                    <xdr:row>8</xdr:row>
                    <xdr:rowOff>9525</xdr:rowOff>
                  </from>
                  <to>
                    <xdr:col>12</xdr:col>
                    <xdr:colOff>9525</xdr:colOff>
                    <xdr:row>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961" r:id="rId18" name="Check Box 1017">
              <controlPr defaultSize="0" autoFill="0" autoLine="0" autoPict="0">
                <anchor moveWithCells="1">
                  <from>
                    <xdr:col>3</xdr:col>
                    <xdr:colOff>238125</xdr:colOff>
                    <xdr:row>6</xdr:row>
                    <xdr:rowOff>9525</xdr:rowOff>
                  </from>
                  <to>
                    <xdr:col>4</xdr:col>
                    <xdr:colOff>0</xdr:colOff>
                    <xdr:row>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962" r:id="rId19" name="Check Box 1018">
              <controlPr defaultSize="0" autoFill="0" autoLine="0" autoPict="0">
                <anchor moveWithCells="1">
                  <from>
                    <xdr:col>3</xdr:col>
                    <xdr:colOff>238125</xdr:colOff>
                    <xdr:row>7</xdr:row>
                    <xdr:rowOff>9525</xdr:rowOff>
                  </from>
                  <to>
                    <xdr:col>4</xdr:col>
                    <xdr:colOff>0</xdr:colOff>
                    <xdr:row>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963" r:id="rId20" name="Check Box 1019">
              <controlPr defaultSize="0" autoFill="0" autoLine="0" autoPict="0">
                <anchor moveWithCells="1">
                  <from>
                    <xdr:col>3</xdr:col>
                    <xdr:colOff>238125</xdr:colOff>
                    <xdr:row>7</xdr:row>
                    <xdr:rowOff>190500</xdr:rowOff>
                  </from>
                  <to>
                    <xdr:col>4</xdr:col>
                    <xdr:colOff>0</xdr:colOff>
                    <xdr:row>8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964" r:id="rId21" name="Check Box 1020">
              <controlPr defaultSize="0" autoFill="0" autoLine="0" autoPict="0">
                <anchor moveWithCells="1">
                  <from>
                    <xdr:col>11</xdr:col>
                    <xdr:colOff>704850</xdr:colOff>
                    <xdr:row>6</xdr:row>
                    <xdr:rowOff>9525</xdr:rowOff>
                  </from>
                  <to>
                    <xdr:col>12</xdr:col>
                    <xdr:colOff>0</xdr:colOff>
                    <xdr:row>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965" r:id="rId22" name="Check Box 1021">
              <controlPr defaultSize="0" autoFill="0" autoLine="0" autoPict="0">
                <anchor moveWithCells="1">
                  <from>
                    <xdr:col>11</xdr:col>
                    <xdr:colOff>704850</xdr:colOff>
                    <xdr:row>7</xdr:row>
                    <xdr:rowOff>9525</xdr:rowOff>
                  </from>
                  <to>
                    <xdr:col>12</xdr:col>
                    <xdr:colOff>9525</xdr:colOff>
                    <xdr:row>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966" r:id="rId23" name="Check Box 1022">
              <controlPr defaultSize="0" autoFill="0" autoLine="0" autoPict="0">
                <anchor moveWithCells="1">
                  <from>
                    <xdr:col>11</xdr:col>
                    <xdr:colOff>695325</xdr:colOff>
                    <xdr:row>8</xdr:row>
                    <xdr:rowOff>9525</xdr:rowOff>
                  </from>
                  <to>
                    <xdr:col>12</xdr:col>
                    <xdr:colOff>9525</xdr:colOff>
                    <xdr:row>9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6"/>
  <dimension ref="A1:AN70"/>
  <sheetViews>
    <sheetView showGridLines="0" view="pageBreakPreview" topLeftCell="A45" zoomScale="85" zoomScaleNormal="100" zoomScaleSheetLayoutView="85" workbookViewId="0">
      <selection activeCell="L43" sqref="L43"/>
    </sheetView>
  </sheetViews>
  <sheetFormatPr baseColWidth="10" defaultColWidth="11.42578125" defaultRowHeight="12.75" x14ac:dyDescent="0.2"/>
  <cols>
    <col min="1" max="1" width="4.7109375" customWidth="1"/>
    <col min="2" max="2" width="13.7109375" customWidth="1"/>
    <col min="3" max="3" width="14.7109375" customWidth="1"/>
    <col min="4" max="4" width="10.42578125" customWidth="1"/>
    <col min="5" max="5" width="18.28515625" customWidth="1"/>
    <col min="6" max="6" width="18.5703125" customWidth="1"/>
    <col min="7" max="7" width="14.28515625" customWidth="1"/>
    <col min="8" max="8" width="13.140625" customWidth="1"/>
    <col min="9" max="9" width="13.7109375" customWidth="1"/>
    <col min="10" max="10" width="4.7109375" customWidth="1"/>
    <col min="14" max="14" width="13.7109375" customWidth="1"/>
  </cols>
  <sheetData>
    <row r="1" spans="1:40" ht="15" customHeight="1" x14ac:dyDescent="0.45">
      <c r="A1" s="38"/>
      <c r="B1" s="38"/>
      <c r="C1" s="38"/>
      <c r="D1" s="38"/>
      <c r="E1" s="38"/>
      <c r="F1" s="38"/>
      <c r="G1" s="38"/>
      <c r="H1" s="38"/>
      <c r="I1" s="38"/>
      <c r="J1" s="38"/>
    </row>
    <row r="2" spans="1:40" ht="12.75" customHeight="1" x14ac:dyDescent="0.45">
      <c r="A2" s="38"/>
      <c r="B2" s="369"/>
      <c r="C2" s="370"/>
      <c r="D2" s="340" t="s">
        <v>443</v>
      </c>
      <c r="E2" s="340"/>
      <c r="F2" s="340"/>
      <c r="G2" s="341"/>
      <c r="H2" s="357" t="s">
        <v>88</v>
      </c>
      <c r="I2" s="358"/>
      <c r="J2" s="38"/>
    </row>
    <row r="3" spans="1:40" ht="12.75" customHeight="1" x14ac:dyDescent="0.45">
      <c r="A3" s="38"/>
      <c r="B3" s="371"/>
      <c r="C3" s="372"/>
      <c r="D3" s="367"/>
      <c r="E3" s="367"/>
      <c r="F3" s="367"/>
      <c r="G3" s="368"/>
      <c r="H3" s="359"/>
      <c r="I3" s="360"/>
      <c r="J3" s="38"/>
    </row>
    <row r="4" spans="1:40" ht="18.75" x14ac:dyDescent="0.45">
      <c r="A4" s="38"/>
      <c r="B4" s="371"/>
      <c r="C4" s="372"/>
      <c r="D4" s="367"/>
      <c r="E4" s="367"/>
      <c r="F4" s="367"/>
      <c r="G4" s="368"/>
      <c r="H4" s="359"/>
      <c r="I4" s="360"/>
      <c r="J4" s="38"/>
    </row>
    <row r="5" spans="1:40" ht="12.75" customHeight="1" x14ac:dyDescent="0.45">
      <c r="A5" s="38"/>
      <c r="B5" s="373"/>
      <c r="C5" s="374"/>
      <c r="D5" s="343"/>
      <c r="E5" s="343"/>
      <c r="F5" s="343"/>
      <c r="G5" s="344"/>
      <c r="H5" s="361"/>
      <c r="I5" s="362"/>
      <c r="J5" s="38"/>
    </row>
    <row r="6" spans="1:40" ht="18.75" x14ac:dyDescent="0.45">
      <c r="A6" s="38"/>
      <c r="B6" s="375" t="s">
        <v>52</v>
      </c>
      <c r="C6" s="376"/>
      <c r="D6" s="175">
        <f>+DATOS!AE7</f>
        <v>0</v>
      </c>
      <c r="E6" s="96"/>
      <c r="F6" s="96"/>
      <c r="G6" s="61" t="s">
        <v>48</v>
      </c>
      <c r="H6" s="377">
        <f>DATOS!AS84</f>
        <v>45331</v>
      </c>
      <c r="I6" s="378"/>
      <c r="J6" s="38"/>
    </row>
    <row r="7" spans="1:40" ht="18.75" x14ac:dyDescent="0.45">
      <c r="A7" s="38"/>
      <c r="B7" s="363" t="s">
        <v>89</v>
      </c>
      <c r="C7" s="364"/>
      <c r="D7" s="79" t="str">
        <f>DATOS!E8</f>
        <v>BMW G05 X5 4D U 2020</v>
      </c>
      <c r="E7" s="167"/>
      <c r="F7" s="167"/>
      <c r="G7" s="168" t="s">
        <v>53</v>
      </c>
      <c r="H7" s="379" t="str">
        <f>[1]DATOS!E7</f>
        <v>BENTELER</v>
      </c>
      <c r="I7" s="380"/>
      <c r="AE7" s="249" t="s">
        <v>456</v>
      </c>
      <c r="AF7" s="249"/>
      <c r="AG7" s="249"/>
      <c r="AH7" s="249"/>
      <c r="AI7" s="249"/>
      <c r="AJ7" s="249"/>
      <c r="AK7" s="249"/>
      <c r="AL7" s="249"/>
      <c r="AM7" s="249"/>
      <c r="AN7" s="249"/>
    </row>
    <row r="8" spans="1:40" ht="18.75" x14ac:dyDescent="0.45">
      <c r="A8" s="38"/>
      <c r="B8" s="98" t="s">
        <v>90</v>
      </c>
      <c r="C8" s="99"/>
      <c r="D8" s="96"/>
      <c r="E8" s="162"/>
      <c r="F8" s="162"/>
      <c r="G8" s="162"/>
      <c r="H8" s="162"/>
      <c r="I8" s="164"/>
      <c r="AE8" s="38"/>
      <c r="AF8" s="38"/>
      <c r="AG8" s="38"/>
      <c r="AH8" s="38"/>
      <c r="AI8" s="38"/>
      <c r="AJ8" s="38"/>
      <c r="AK8" s="38"/>
      <c r="AL8" s="38"/>
      <c r="AM8" s="38"/>
      <c r="AN8" s="38"/>
    </row>
    <row r="9" spans="1:40" ht="4.5" customHeight="1" x14ac:dyDescent="0.45">
      <c r="A9" s="38"/>
      <c r="B9" s="101"/>
      <c r="C9" s="102"/>
      <c r="D9" s="38"/>
      <c r="I9" s="166"/>
    </row>
    <row r="10" spans="1:40" ht="18.75" x14ac:dyDescent="0.45">
      <c r="A10" s="38"/>
      <c r="B10" s="104"/>
      <c r="C10" s="38"/>
      <c r="D10" s="66" t="s">
        <v>56</v>
      </c>
      <c r="E10" s="38"/>
      <c r="F10" s="38"/>
      <c r="G10" s="66" t="s">
        <v>57</v>
      </c>
      <c r="H10" s="38"/>
      <c r="I10" s="103"/>
      <c r="J10" s="38"/>
    </row>
    <row r="11" spans="1:40" ht="18.75" x14ac:dyDescent="0.45">
      <c r="A11" s="38"/>
      <c r="B11" s="104"/>
      <c r="C11" s="38"/>
      <c r="D11" s="66" t="s">
        <v>58</v>
      </c>
      <c r="E11" s="38"/>
      <c r="F11" s="38"/>
      <c r="G11" s="66" t="s">
        <v>59</v>
      </c>
      <c r="H11" s="38"/>
      <c r="I11" s="103"/>
      <c r="J11" s="38"/>
    </row>
    <row r="12" spans="1:40" ht="18.75" x14ac:dyDescent="0.45">
      <c r="A12" s="38"/>
      <c r="B12" s="104"/>
      <c r="C12" s="38"/>
      <c r="D12" s="66" t="s">
        <v>60</v>
      </c>
      <c r="E12" s="38"/>
      <c r="F12" s="38"/>
      <c r="G12" s="66" t="s">
        <v>61</v>
      </c>
      <c r="H12" s="38"/>
      <c r="I12" s="103"/>
      <c r="J12" s="38"/>
    </row>
    <row r="13" spans="1:40" ht="18.75" x14ac:dyDescent="0.45">
      <c r="A13" s="38"/>
      <c r="B13" s="105"/>
      <c r="C13" s="97"/>
      <c r="D13" s="79" t="s">
        <v>62</v>
      </c>
      <c r="E13" s="97"/>
      <c r="F13" s="97"/>
      <c r="G13" s="97"/>
      <c r="H13" s="97"/>
      <c r="I13" s="106"/>
      <c r="J13" s="38"/>
    </row>
    <row r="14" spans="1:40" ht="18.75" x14ac:dyDescent="0.45">
      <c r="A14" s="38"/>
      <c r="B14" s="375" t="s">
        <v>91</v>
      </c>
      <c r="C14" s="376"/>
      <c r="D14" s="376"/>
      <c r="E14" s="96" t="s">
        <v>92</v>
      </c>
      <c r="F14" s="96"/>
      <c r="G14" s="73" t="s">
        <v>93</v>
      </c>
      <c r="H14" s="74" t="s">
        <v>94</v>
      </c>
      <c r="I14" s="100"/>
      <c r="J14" s="38"/>
    </row>
    <row r="15" spans="1:40" ht="4.5" customHeight="1" x14ac:dyDescent="0.45">
      <c r="A15" s="38"/>
      <c r="B15" s="105"/>
      <c r="C15" s="97"/>
      <c r="D15" s="97"/>
      <c r="E15" s="97"/>
      <c r="F15" s="97"/>
      <c r="G15" s="79"/>
      <c r="H15" s="97"/>
      <c r="I15" s="106"/>
      <c r="J15" s="38"/>
    </row>
    <row r="16" spans="1:40" ht="18.75" x14ac:dyDescent="0.45">
      <c r="A16" s="38"/>
      <c r="B16" s="98" t="s">
        <v>95</v>
      </c>
      <c r="C16" s="99"/>
      <c r="D16" s="96"/>
      <c r="E16" s="96"/>
      <c r="F16" s="96"/>
      <c r="G16" s="96"/>
      <c r="H16" s="96"/>
      <c r="I16" s="100"/>
      <c r="J16" s="38"/>
    </row>
    <row r="17" spans="1:13" ht="18.75" x14ac:dyDescent="0.45">
      <c r="A17" s="38"/>
      <c r="B17" s="390" t="s">
        <v>96</v>
      </c>
      <c r="C17" s="391"/>
      <c r="D17" s="391"/>
      <c r="E17" s="391"/>
      <c r="F17" s="391"/>
      <c r="G17" s="391"/>
      <c r="H17" s="391"/>
      <c r="I17" s="103"/>
      <c r="J17" s="38"/>
    </row>
    <row r="18" spans="1:13" ht="4.5" customHeight="1" x14ac:dyDescent="0.45">
      <c r="A18" s="38"/>
      <c r="B18" s="105"/>
      <c r="C18" s="97"/>
      <c r="D18" s="97"/>
      <c r="E18" s="97"/>
      <c r="F18" s="97"/>
      <c r="G18" s="97"/>
      <c r="H18" s="97"/>
      <c r="I18" s="106"/>
      <c r="J18" s="38"/>
    </row>
    <row r="19" spans="1:13" ht="18.75" x14ac:dyDescent="0.45">
      <c r="A19" s="38"/>
      <c r="B19" s="38"/>
      <c r="C19" s="38"/>
      <c r="D19" s="38"/>
      <c r="E19" s="38"/>
      <c r="F19" s="38"/>
      <c r="G19" s="38"/>
      <c r="H19" s="38"/>
      <c r="I19" s="38"/>
      <c r="J19" s="38"/>
    </row>
    <row r="20" spans="1:13" ht="18.75" x14ac:dyDescent="0.45">
      <c r="A20" s="38"/>
      <c r="B20" s="102" t="s">
        <v>97</v>
      </c>
      <c r="C20" s="102"/>
      <c r="D20" s="108"/>
      <c r="E20" s="108"/>
      <c r="F20" s="38"/>
      <c r="G20" s="38"/>
      <c r="H20" s="38"/>
      <c r="I20" s="38"/>
      <c r="J20" s="38"/>
    </row>
    <row r="21" spans="1:13" ht="18.75" x14ac:dyDescent="0.45">
      <c r="A21" s="38"/>
      <c r="B21" s="38"/>
      <c r="C21" s="38"/>
      <c r="D21" s="108" t="s">
        <v>444</v>
      </c>
      <c r="E21" s="108" t="s">
        <v>445</v>
      </c>
      <c r="F21" s="38"/>
      <c r="G21" s="38"/>
      <c r="H21" s="38"/>
      <c r="I21" s="38"/>
      <c r="J21" s="38"/>
    </row>
    <row r="22" spans="1:13" ht="18.75" x14ac:dyDescent="0.45">
      <c r="A22" s="38"/>
      <c r="B22" s="38"/>
      <c r="C22" s="38"/>
      <c r="D22" s="38"/>
      <c r="E22" s="38"/>
      <c r="F22" s="38"/>
      <c r="G22" s="38"/>
      <c r="H22" s="38"/>
      <c r="I22" s="38"/>
      <c r="J22" s="38"/>
    </row>
    <row r="23" spans="1:13" ht="18.75" x14ac:dyDescent="0.45">
      <c r="A23" s="38"/>
      <c r="B23" s="102" t="s">
        <v>98</v>
      </c>
      <c r="C23" s="102"/>
      <c r="D23" s="38"/>
      <c r="E23" s="38"/>
      <c r="F23" s="38"/>
      <c r="G23" s="38"/>
      <c r="H23" s="38"/>
      <c r="I23" s="38"/>
      <c r="J23" s="38"/>
    </row>
    <row r="24" spans="1:13" ht="18.75" x14ac:dyDescent="0.45">
      <c r="A24" s="38"/>
      <c r="B24" s="38"/>
      <c r="C24" s="38"/>
      <c r="D24" s="38"/>
      <c r="E24" s="366" t="s">
        <v>99</v>
      </c>
      <c r="F24" s="366"/>
      <c r="G24" s="366" t="s">
        <v>100</v>
      </c>
      <c r="H24" s="366"/>
      <c r="I24" s="38"/>
      <c r="J24" s="38"/>
    </row>
    <row r="25" spans="1:13" ht="18.75" x14ac:dyDescent="0.45">
      <c r="A25" s="38"/>
      <c r="B25" s="151"/>
      <c r="C25" s="38"/>
      <c r="D25" s="38"/>
      <c r="E25" s="366" t="s">
        <v>101</v>
      </c>
      <c r="F25" s="366"/>
      <c r="G25" s="366" t="s">
        <v>102</v>
      </c>
      <c r="H25" s="366"/>
      <c r="I25" s="38"/>
      <c r="J25" s="38"/>
    </row>
    <row r="26" spans="1:13" ht="18.75" hidden="1" x14ac:dyDescent="0.45">
      <c r="A26" s="38"/>
      <c r="B26" s="38"/>
      <c r="C26" s="38"/>
      <c r="D26" s="110" t="s">
        <v>103</v>
      </c>
      <c r="E26" s="111">
        <v>10.3</v>
      </c>
      <c r="F26" s="111">
        <v>0</v>
      </c>
      <c r="G26" s="111">
        <v>11.1</v>
      </c>
      <c r="H26" s="111">
        <v>0</v>
      </c>
      <c r="I26" s="38"/>
      <c r="J26" s="38"/>
    </row>
    <row r="27" spans="1:13" ht="18.75" hidden="1" x14ac:dyDescent="0.45">
      <c r="A27" s="38"/>
      <c r="B27" s="38"/>
      <c r="C27" s="38"/>
      <c r="D27" s="110" t="s">
        <v>104</v>
      </c>
      <c r="E27" s="111">
        <v>10</v>
      </c>
      <c r="F27" s="111">
        <v>0</v>
      </c>
      <c r="G27" s="111">
        <v>11</v>
      </c>
      <c r="H27" s="111">
        <v>0</v>
      </c>
      <c r="I27" s="38"/>
      <c r="J27" s="38"/>
      <c r="K27" s="151"/>
      <c r="L27" s="151"/>
      <c r="M27" s="151"/>
    </row>
    <row r="28" spans="1:13" ht="18.75" hidden="1" x14ac:dyDescent="0.45">
      <c r="A28" s="38"/>
      <c r="B28" s="38"/>
      <c r="C28" s="38"/>
      <c r="D28" s="109" t="s">
        <v>105</v>
      </c>
      <c r="E28" s="111">
        <f>E26-E27</f>
        <v>0.30000000000000071</v>
      </c>
      <c r="F28" s="111">
        <f>F26-F27</f>
        <v>0</v>
      </c>
      <c r="G28" s="111">
        <f>G26-G27</f>
        <v>9.9999999999999645E-2</v>
      </c>
      <c r="H28" s="111">
        <f>H26-H27</f>
        <v>0</v>
      </c>
      <c r="I28" s="38"/>
      <c r="J28" s="38"/>
      <c r="K28" s="151"/>
      <c r="L28" s="151"/>
      <c r="M28" s="151"/>
    </row>
    <row r="29" spans="1:13" ht="18.75" hidden="1" x14ac:dyDescent="0.45">
      <c r="A29" s="38"/>
      <c r="B29" s="38"/>
      <c r="C29" s="38"/>
      <c r="D29" s="109" t="s">
        <v>106</v>
      </c>
      <c r="E29" s="111">
        <v>3.32</v>
      </c>
      <c r="F29" s="111">
        <v>3.32</v>
      </c>
      <c r="G29" s="111">
        <v>3.32</v>
      </c>
      <c r="H29" s="111">
        <v>3.32</v>
      </c>
      <c r="I29" s="38"/>
      <c r="J29" s="38"/>
    </row>
    <row r="30" spans="1:13" ht="18.75" hidden="1" x14ac:dyDescent="0.45">
      <c r="A30" s="38"/>
      <c r="B30" s="38"/>
      <c r="C30" s="38"/>
      <c r="D30" s="109" t="s">
        <v>107</v>
      </c>
      <c r="E30" s="109">
        <v>5.3</v>
      </c>
      <c r="F30" s="109">
        <v>5.3</v>
      </c>
      <c r="G30" s="109">
        <v>5.3</v>
      </c>
      <c r="H30" s="109">
        <v>5.3</v>
      </c>
      <c r="I30" s="38"/>
      <c r="J30" s="38"/>
    </row>
    <row r="31" spans="1:13" ht="18.75" hidden="1" x14ac:dyDescent="0.45">
      <c r="A31" s="38"/>
      <c r="B31" s="38"/>
      <c r="C31" s="38"/>
      <c r="D31" s="109" t="s">
        <v>108</v>
      </c>
      <c r="E31" s="112">
        <v>12</v>
      </c>
      <c r="F31" s="112">
        <v>12</v>
      </c>
      <c r="G31" s="112">
        <v>12</v>
      </c>
      <c r="H31" s="112">
        <v>12</v>
      </c>
      <c r="I31" s="38"/>
      <c r="J31" s="38"/>
    </row>
    <row r="32" spans="1:13" ht="18.75" hidden="1" x14ac:dyDescent="0.45">
      <c r="A32" s="38"/>
      <c r="B32" s="38"/>
      <c r="C32" s="38"/>
      <c r="D32" s="109" t="s">
        <v>109</v>
      </c>
      <c r="E32" s="113">
        <v>1.5</v>
      </c>
      <c r="F32" s="113">
        <v>1.5</v>
      </c>
      <c r="G32" s="113">
        <v>1.5</v>
      </c>
      <c r="H32" s="113">
        <v>1.5</v>
      </c>
      <c r="I32" s="38"/>
      <c r="J32" s="38"/>
    </row>
    <row r="33" spans="1:10" ht="18.75" hidden="1" x14ac:dyDescent="0.45">
      <c r="A33" s="38"/>
      <c r="B33" s="38"/>
      <c r="C33" s="38"/>
      <c r="D33" s="109" t="s">
        <v>110</v>
      </c>
      <c r="E33" s="111">
        <v>58</v>
      </c>
      <c r="F33" s="111">
        <v>58</v>
      </c>
      <c r="G33" s="111">
        <v>58</v>
      </c>
      <c r="H33" s="111">
        <v>58</v>
      </c>
      <c r="I33" s="38"/>
      <c r="J33" s="38"/>
    </row>
    <row r="34" spans="1:10" ht="18.75" hidden="1" x14ac:dyDescent="0.45">
      <c r="A34" s="38"/>
      <c r="B34" s="38"/>
      <c r="C34" s="38"/>
      <c r="D34" s="109" t="s">
        <v>111</v>
      </c>
      <c r="E34" s="113">
        <f>RADIANS(E33)</f>
        <v>1.0122909661567112</v>
      </c>
      <c r="F34" s="113">
        <f>RADIANS(F33)</f>
        <v>1.0122909661567112</v>
      </c>
      <c r="G34" s="113">
        <f>RADIANS(G33)</f>
        <v>1.0122909661567112</v>
      </c>
      <c r="H34" s="113">
        <f>RADIANS(H33)</f>
        <v>1.0122909661567112</v>
      </c>
      <c r="I34" s="38"/>
      <c r="J34" s="38"/>
    </row>
    <row r="35" spans="1:10" ht="18.75" hidden="1" x14ac:dyDescent="0.45">
      <c r="A35" s="38"/>
      <c r="B35" s="38"/>
      <c r="C35" s="38"/>
      <c r="D35" s="109" t="s">
        <v>112</v>
      </c>
      <c r="E35" s="113">
        <f>(E32^2-(SIN(E34))^2)^0.5/(COS(E34))-1</f>
        <v>1.3348101113476663</v>
      </c>
      <c r="F35" s="113">
        <f>(F32^2-(SIN(F34))^2)^0.5/(COS(F34))-1</f>
        <v>1.3348101113476663</v>
      </c>
      <c r="G35" s="113">
        <f>(G32^2-(SIN(G34))^2)^0.5/(COS(G34))-1</f>
        <v>1.3348101113476663</v>
      </c>
      <c r="H35" s="113">
        <f>(H32^2-(SIN(H34))^2)^0.5/(COS(H34))-1</f>
        <v>1.3348101113476663</v>
      </c>
      <c r="I35" s="38"/>
      <c r="J35" s="38"/>
    </row>
    <row r="36" spans="1:10" ht="18.75" hidden="1" x14ac:dyDescent="0.45">
      <c r="A36" s="38"/>
      <c r="B36" s="38"/>
      <c r="C36" s="38"/>
      <c r="D36" s="109" t="s">
        <v>113</v>
      </c>
      <c r="E36" s="114">
        <f>(E28*(E29+E30)*(E32-1)*COS(E34))/(E31*E29*E30*E35)</f>
        <v>2.4310480648552309E-3</v>
      </c>
      <c r="F36" s="114">
        <f>(F28*(F29+F30)*(F32-1)*COS(F34))/(F31*F29*F30*F35)</f>
        <v>0</v>
      </c>
      <c r="G36" s="114">
        <f>(G28*(G29+G30)*(G32-1)*COS(G34))/(G31*G29*G30*G35)</f>
        <v>8.1034935495173882E-4</v>
      </c>
      <c r="H36" s="114">
        <f>(H28*(H29+H30)*(H32-1)*COS(H34))/(H31*H29*H30*H35)</f>
        <v>0</v>
      </c>
      <c r="I36" s="38"/>
      <c r="J36" s="38"/>
    </row>
    <row r="37" spans="1:10" ht="18.75" x14ac:dyDescent="0.45">
      <c r="A37" s="38"/>
      <c r="B37" s="115"/>
      <c r="C37" s="116" t="s">
        <v>114</v>
      </c>
      <c r="D37" s="110" t="s">
        <v>115</v>
      </c>
      <c r="E37" s="117">
        <f>E36*10000</f>
        <v>24.310480648552311</v>
      </c>
      <c r="F37" s="117">
        <f>F36*10000</f>
        <v>0</v>
      </c>
      <c r="G37" s="117">
        <f>G36*10000</f>
        <v>8.1034935495173883</v>
      </c>
      <c r="H37" s="117">
        <f>H36*10000</f>
        <v>0</v>
      </c>
      <c r="I37" s="38"/>
      <c r="J37" s="38"/>
    </row>
    <row r="38" spans="1:10" ht="18.75" x14ac:dyDescent="0.45">
      <c r="A38" s="38"/>
      <c r="B38" s="115"/>
      <c r="C38" s="118" t="s">
        <v>116</v>
      </c>
      <c r="D38" s="110" t="s">
        <v>115</v>
      </c>
      <c r="E38" s="110" t="s">
        <v>117</v>
      </c>
      <c r="F38" s="110" t="s">
        <v>117</v>
      </c>
      <c r="G38" s="110" t="s">
        <v>118</v>
      </c>
      <c r="H38" s="110" t="s">
        <v>118</v>
      </c>
      <c r="I38" s="38"/>
      <c r="J38" s="38"/>
    </row>
    <row r="39" spans="1:10" ht="18.75" x14ac:dyDescent="0.45">
      <c r="A39" s="38"/>
      <c r="B39" s="38"/>
      <c r="C39" s="38"/>
      <c r="D39" s="38"/>
      <c r="E39" s="38"/>
      <c r="F39" s="38"/>
      <c r="G39" s="38"/>
      <c r="H39" s="38"/>
      <c r="I39" s="38"/>
      <c r="J39" s="38"/>
    </row>
    <row r="40" spans="1:10" ht="18.75" x14ac:dyDescent="0.45">
      <c r="A40" s="38"/>
      <c r="B40" s="395" t="s">
        <v>119</v>
      </c>
      <c r="C40" s="396"/>
      <c r="D40" s="397"/>
      <c r="E40" s="384" t="s">
        <v>120</v>
      </c>
      <c r="F40" s="384"/>
      <c r="G40" s="395" t="s">
        <v>121</v>
      </c>
      <c r="H40" s="396"/>
      <c r="I40" s="397"/>
      <c r="J40" s="38"/>
    </row>
    <row r="41" spans="1:10" ht="18.75" x14ac:dyDescent="0.45">
      <c r="A41" s="38"/>
      <c r="B41" s="369"/>
      <c r="C41" s="381"/>
      <c r="D41" s="370"/>
      <c r="E41" s="369"/>
      <c r="F41" s="370"/>
      <c r="G41" s="369"/>
      <c r="H41" s="381"/>
      <c r="I41" s="370"/>
      <c r="J41" s="38"/>
    </row>
    <row r="42" spans="1:10" ht="18.75" x14ac:dyDescent="0.45">
      <c r="A42" s="38"/>
      <c r="B42" s="371"/>
      <c r="C42" s="245"/>
      <c r="D42" s="372"/>
      <c r="E42" s="371"/>
      <c r="F42" s="372"/>
      <c r="G42" s="371"/>
      <c r="H42" s="245"/>
      <c r="I42" s="372"/>
      <c r="J42" s="38"/>
    </row>
    <row r="43" spans="1:10" ht="18.75" x14ac:dyDescent="0.45">
      <c r="A43" s="38"/>
      <c r="B43" s="371"/>
      <c r="C43" s="245"/>
      <c r="D43" s="372"/>
      <c r="E43" s="371"/>
      <c r="F43" s="372"/>
      <c r="G43" s="371"/>
      <c r="H43" s="245"/>
      <c r="I43" s="372"/>
      <c r="J43" s="38"/>
    </row>
    <row r="44" spans="1:10" ht="18.75" x14ac:dyDescent="0.45">
      <c r="A44" s="38"/>
      <c r="B44" s="371"/>
      <c r="C44" s="245"/>
      <c r="D44" s="372"/>
      <c r="E44" s="371"/>
      <c r="F44" s="372"/>
      <c r="G44" s="371"/>
      <c r="H44" s="245"/>
      <c r="I44" s="372"/>
      <c r="J44" s="38"/>
    </row>
    <row r="45" spans="1:10" ht="18.75" x14ac:dyDescent="0.45">
      <c r="A45" s="38"/>
      <c r="B45" s="371"/>
      <c r="C45" s="245"/>
      <c r="D45" s="372"/>
      <c r="E45" s="371"/>
      <c r="F45" s="372"/>
      <c r="G45" s="371"/>
      <c r="H45" s="245"/>
      <c r="I45" s="372"/>
      <c r="J45" s="38"/>
    </row>
    <row r="46" spans="1:10" ht="18.75" x14ac:dyDescent="0.45">
      <c r="A46" s="38"/>
      <c r="B46" s="371"/>
      <c r="C46" s="245"/>
      <c r="D46" s="372"/>
      <c r="E46" s="371"/>
      <c r="F46" s="372"/>
      <c r="G46" s="371"/>
      <c r="H46" s="245"/>
      <c r="I46" s="372"/>
      <c r="J46" s="38"/>
    </row>
    <row r="47" spans="1:10" ht="18.75" x14ac:dyDescent="0.45">
      <c r="A47" s="38"/>
      <c r="B47" s="371"/>
      <c r="C47" s="245"/>
      <c r="D47" s="372"/>
      <c r="E47" s="371"/>
      <c r="F47" s="372"/>
      <c r="G47" s="371"/>
      <c r="H47" s="245"/>
      <c r="I47" s="372"/>
      <c r="J47" s="38"/>
    </row>
    <row r="48" spans="1:10" ht="18.75" x14ac:dyDescent="0.45">
      <c r="A48" s="38"/>
      <c r="B48" s="371"/>
      <c r="C48" s="245"/>
      <c r="D48" s="372"/>
      <c r="E48" s="371"/>
      <c r="F48" s="372"/>
      <c r="G48" s="371"/>
      <c r="H48" s="245"/>
      <c r="I48" s="372"/>
      <c r="J48" s="38"/>
    </row>
    <row r="49" spans="1:10" ht="18.75" x14ac:dyDescent="0.45">
      <c r="A49" s="38"/>
      <c r="B49" s="373"/>
      <c r="C49" s="382"/>
      <c r="D49" s="374"/>
      <c r="E49" s="373"/>
      <c r="F49" s="374"/>
      <c r="G49" s="373"/>
      <c r="H49" s="382"/>
      <c r="I49" s="374"/>
      <c r="J49" s="38"/>
    </row>
    <row r="50" spans="1:10" ht="18.75" x14ac:dyDescent="0.45">
      <c r="A50" s="38"/>
      <c r="B50" s="38"/>
      <c r="C50" s="38"/>
      <c r="D50" s="38"/>
      <c r="E50" s="38"/>
      <c r="F50" s="38"/>
      <c r="G50" s="38"/>
      <c r="H50" s="38"/>
      <c r="I50" s="38"/>
      <c r="J50" s="38"/>
    </row>
    <row r="51" spans="1:10" ht="18.75" x14ac:dyDescent="0.45">
      <c r="A51" s="38"/>
      <c r="B51" s="392" t="s">
        <v>122</v>
      </c>
      <c r="C51" s="393"/>
      <c r="D51" s="394"/>
      <c r="E51" s="384" t="s">
        <v>123</v>
      </c>
      <c r="F51" s="384"/>
      <c r="G51" s="392" t="s">
        <v>124</v>
      </c>
      <c r="H51" s="393"/>
      <c r="I51" s="394"/>
      <c r="J51" s="38"/>
    </row>
    <row r="52" spans="1:10" ht="18.75" x14ac:dyDescent="0.45">
      <c r="A52" s="38"/>
      <c r="B52" s="383"/>
      <c r="C52" s="383"/>
      <c r="D52" s="383"/>
      <c r="E52" s="369"/>
      <c r="F52" s="370"/>
      <c r="G52" s="383"/>
      <c r="H52" s="383"/>
      <c r="I52" s="383"/>
      <c r="J52" s="38"/>
    </row>
    <row r="53" spans="1:10" ht="18.75" x14ac:dyDescent="0.45">
      <c r="A53" s="38"/>
      <c r="B53" s="383"/>
      <c r="C53" s="383"/>
      <c r="D53" s="383"/>
      <c r="E53" s="371"/>
      <c r="F53" s="372"/>
      <c r="G53" s="383"/>
      <c r="H53" s="383"/>
      <c r="I53" s="383"/>
      <c r="J53" s="38"/>
    </row>
    <row r="54" spans="1:10" ht="18.75" x14ac:dyDescent="0.45">
      <c r="A54" s="38"/>
      <c r="B54" s="383"/>
      <c r="C54" s="383"/>
      <c r="D54" s="383"/>
      <c r="E54" s="371"/>
      <c r="F54" s="372"/>
      <c r="G54" s="383"/>
      <c r="H54" s="383"/>
      <c r="I54" s="383"/>
      <c r="J54" s="38"/>
    </row>
    <row r="55" spans="1:10" ht="18.75" x14ac:dyDescent="0.45">
      <c r="A55" s="38"/>
      <c r="B55" s="383"/>
      <c r="C55" s="383"/>
      <c r="D55" s="383"/>
      <c r="E55" s="371"/>
      <c r="F55" s="372"/>
      <c r="G55" s="383"/>
      <c r="H55" s="383"/>
      <c r="I55" s="383"/>
      <c r="J55" s="38"/>
    </row>
    <row r="56" spans="1:10" ht="18.75" x14ac:dyDescent="0.45">
      <c r="A56" s="38"/>
      <c r="B56" s="383"/>
      <c r="C56" s="383"/>
      <c r="D56" s="383"/>
      <c r="E56" s="371"/>
      <c r="F56" s="372"/>
      <c r="G56" s="383"/>
      <c r="H56" s="383"/>
      <c r="I56" s="383"/>
      <c r="J56" s="38"/>
    </row>
    <row r="57" spans="1:10" ht="18.75" x14ac:dyDescent="0.45">
      <c r="A57" s="38"/>
      <c r="B57" s="383"/>
      <c r="C57" s="383"/>
      <c r="D57" s="383"/>
      <c r="E57" s="371"/>
      <c r="F57" s="372"/>
      <c r="G57" s="383"/>
      <c r="H57" s="383"/>
      <c r="I57" s="383"/>
      <c r="J57" s="38"/>
    </row>
    <row r="58" spans="1:10" ht="18.75" x14ac:dyDescent="0.45">
      <c r="A58" s="38"/>
      <c r="B58" s="383"/>
      <c r="C58" s="383"/>
      <c r="D58" s="383"/>
      <c r="E58" s="371"/>
      <c r="F58" s="372"/>
      <c r="G58" s="383"/>
      <c r="H58" s="383"/>
      <c r="I58" s="383"/>
      <c r="J58" s="38"/>
    </row>
    <row r="59" spans="1:10" ht="18.75" x14ac:dyDescent="0.45">
      <c r="A59" s="38"/>
      <c r="B59" s="383"/>
      <c r="C59" s="383"/>
      <c r="D59" s="383"/>
      <c r="E59" s="371"/>
      <c r="F59" s="372"/>
      <c r="G59" s="383"/>
      <c r="H59" s="383"/>
      <c r="I59" s="383"/>
      <c r="J59" s="38"/>
    </row>
    <row r="60" spans="1:10" ht="18.75" x14ac:dyDescent="0.45">
      <c r="A60" s="38"/>
      <c r="B60" s="383"/>
      <c r="C60" s="383"/>
      <c r="D60" s="383"/>
      <c r="E60" s="371"/>
      <c r="F60" s="372"/>
      <c r="G60" s="383"/>
      <c r="H60" s="383"/>
      <c r="I60" s="383"/>
      <c r="J60" s="38"/>
    </row>
    <row r="61" spans="1:10" ht="18.75" x14ac:dyDescent="0.45">
      <c r="A61" s="38"/>
      <c r="B61" s="385" t="s">
        <v>125</v>
      </c>
      <c r="C61" s="385"/>
      <c r="D61" s="385"/>
      <c r="E61" s="388" t="s">
        <v>125</v>
      </c>
      <c r="F61" s="389"/>
      <c r="G61" s="385" t="s">
        <v>125</v>
      </c>
      <c r="H61" s="385"/>
      <c r="I61" s="385"/>
      <c r="J61" s="38"/>
    </row>
    <row r="62" spans="1:10" ht="18.75" x14ac:dyDescent="0.45">
      <c r="A62" s="38"/>
      <c r="B62" s="38"/>
      <c r="C62" s="38"/>
      <c r="D62" s="38"/>
      <c r="E62" s="38"/>
      <c r="F62" s="38"/>
      <c r="G62" s="38"/>
      <c r="H62" s="38"/>
      <c r="I62" s="38"/>
      <c r="J62" s="38"/>
    </row>
    <row r="63" spans="1:10" ht="18.75" x14ac:dyDescent="0.45">
      <c r="A63" s="38"/>
      <c r="B63" s="102" t="s">
        <v>126</v>
      </c>
      <c r="C63" s="38"/>
      <c r="D63" s="38"/>
      <c r="E63" s="38"/>
      <c r="F63" s="38"/>
      <c r="G63" s="38"/>
      <c r="H63" s="38"/>
      <c r="I63" s="38"/>
      <c r="J63" s="38"/>
    </row>
    <row r="64" spans="1:10" ht="18.75" x14ac:dyDescent="0.45">
      <c r="A64" s="38"/>
      <c r="B64" s="386" t="s">
        <v>127</v>
      </c>
      <c r="C64" s="386"/>
      <c r="D64" s="386"/>
      <c r="E64" s="386"/>
      <c r="F64" s="386"/>
      <c r="G64" s="386"/>
      <c r="H64" s="386"/>
      <c r="I64" s="38"/>
      <c r="J64" s="38"/>
    </row>
    <row r="65" spans="1:10" ht="18.75" x14ac:dyDescent="0.45">
      <c r="A65" s="38"/>
      <c r="B65" s="38"/>
      <c r="C65" s="38"/>
      <c r="D65" s="38"/>
      <c r="E65" s="38"/>
      <c r="F65" s="38"/>
      <c r="G65" s="38"/>
      <c r="H65" s="38"/>
      <c r="I65" s="38"/>
      <c r="J65" s="38"/>
    </row>
    <row r="66" spans="1:10" ht="18.75" x14ac:dyDescent="0.45">
      <c r="A66" s="38"/>
      <c r="B66" s="382" t="s">
        <v>439</v>
      </c>
      <c r="C66" s="382"/>
      <c r="D66" s="38"/>
      <c r="E66" s="382" t="str">
        <f>+DATOS!N83</f>
        <v>ssanabria</v>
      </c>
      <c r="F66" s="382"/>
      <c r="G66" s="38"/>
      <c r="H66" s="387" t="s">
        <v>438</v>
      </c>
      <c r="I66" s="387"/>
      <c r="J66" s="38"/>
    </row>
    <row r="67" spans="1:10" ht="18.75" x14ac:dyDescent="0.45">
      <c r="A67" s="38"/>
      <c r="B67" s="365" t="s">
        <v>45</v>
      </c>
      <c r="C67" s="365"/>
      <c r="D67" s="38"/>
      <c r="E67" s="365" t="s">
        <v>46</v>
      </c>
      <c r="F67" s="365"/>
      <c r="G67" s="38"/>
      <c r="H67" s="365" t="s">
        <v>81</v>
      </c>
      <c r="I67" s="365"/>
      <c r="J67" s="38"/>
    </row>
    <row r="68" spans="1:10" ht="18.75" x14ac:dyDescent="0.45">
      <c r="A68" s="38"/>
      <c r="B68" s="38"/>
      <c r="C68" s="38"/>
      <c r="D68" s="38"/>
      <c r="E68" s="38"/>
      <c r="F68" s="38"/>
      <c r="G68" s="38"/>
      <c r="H68" s="38"/>
      <c r="I68" s="38"/>
      <c r="J68" s="38"/>
    </row>
    <row r="69" spans="1:10" ht="18.75" x14ac:dyDescent="0.45">
      <c r="A69" s="38"/>
      <c r="B69" s="300" t="s">
        <v>49</v>
      </c>
      <c r="C69" s="300"/>
      <c r="D69" s="38"/>
      <c r="E69" s="38"/>
      <c r="F69" s="38"/>
      <c r="G69" s="38"/>
      <c r="H69" s="301" t="s">
        <v>460</v>
      </c>
      <c r="I69" s="301"/>
      <c r="J69" s="38"/>
    </row>
    <row r="70" spans="1:10" ht="15" customHeight="1" x14ac:dyDescent="0.45">
      <c r="A70" s="38"/>
      <c r="B70" s="38"/>
      <c r="C70" s="38"/>
      <c r="D70" s="38"/>
      <c r="E70" s="38"/>
      <c r="F70" s="38"/>
      <c r="G70" s="38"/>
      <c r="H70" s="38"/>
      <c r="I70" s="38"/>
      <c r="J70" s="38"/>
    </row>
  </sheetData>
  <mergeCells count="38">
    <mergeCell ref="B14:D14"/>
    <mergeCell ref="B17:H17"/>
    <mergeCell ref="E25:F25"/>
    <mergeCell ref="B51:D51"/>
    <mergeCell ref="G51:I51"/>
    <mergeCell ref="E51:F51"/>
    <mergeCell ref="B40:D40"/>
    <mergeCell ref="G40:I40"/>
    <mergeCell ref="G52:I60"/>
    <mergeCell ref="E52:F60"/>
    <mergeCell ref="E40:F40"/>
    <mergeCell ref="E41:F49"/>
    <mergeCell ref="B69:C69"/>
    <mergeCell ref="H69:I69"/>
    <mergeCell ref="B61:D61"/>
    <mergeCell ref="G61:I61"/>
    <mergeCell ref="B64:H64"/>
    <mergeCell ref="B66:C66"/>
    <mergeCell ref="H66:I66"/>
    <mergeCell ref="E66:F66"/>
    <mergeCell ref="H67:I67"/>
    <mergeCell ref="E61:F61"/>
    <mergeCell ref="AE7:AN7"/>
    <mergeCell ref="H2:I5"/>
    <mergeCell ref="B7:C7"/>
    <mergeCell ref="B67:C67"/>
    <mergeCell ref="E67:F67"/>
    <mergeCell ref="E24:F24"/>
    <mergeCell ref="G24:H24"/>
    <mergeCell ref="G25:H25"/>
    <mergeCell ref="D2:G5"/>
    <mergeCell ref="B2:C5"/>
    <mergeCell ref="B6:C6"/>
    <mergeCell ref="H6:I6"/>
    <mergeCell ref="H7:I7"/>
    <mergeCell ref="B41:D49"/>
    <mergeCell ref="G41:I49"/>
    <mergeCell ref="B52:D60"/>
  </mergeCells>
  <pageMargins left="0.7" right="0.7" top="0.75" bottom="0.75" header="0.3" footer="0.3"/>
  <pageSetup paperSize="9" scale="72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34498" r:id="rId4" name="Check Box 2">
              <controlPr defaultSize="0" autoFill="0" autoLine="0" autoPict="0">
                <anchor moveWithCells="1">
                  <from>
                    <xdr:col>2</xdr:col>
                    <xdr:colOff>723900</xdr:colOff>
                    <xdr:row>8</xdr:row>
                    <xdr:rowOff>38100</xdr:rowOff>
                  </from>
                  <to>
                    <xdr:col>2</xdr:col>
                    <xdr:colOff>914400</xdr:colOff>
                    <xdr:row>9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4499" r:id="rId5" name="Check Box 3">
              <controlPr defaultSize="0" autoFill="0" autoLine="0" autoPict="0">
                <anchor moveWithCells="1">
                  <from>
                    <xdr:col>2</xdr:col>
                    <xdr:colOff>723900</xdr:colOff>
                    <xdr:row>9</xdr:row>
                    <xdr:rowOff>161925</xdr:rowOff>
                  </from>
                  <to>
                    <xdr:col>2</xdr:col>
                    <xdr:colOff>914400</xdr:colOff>
                    <xdr:row>10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4500" r:id="rId6" name="Check Box 4">
              <controlPr defaultSize="0" autoFill="0" autoLine="0" autoPict="0">
                <anchor moveWithCells="1">
                  <from>
                    <xdr:col>2</xdr:col>
                    <xdr:colOff>723900</xdr:colOff>
                    <xdr:row>10</xdr:row>
                    <xdr:rowOff>142875</xdr:rowOff>
                  </from>
                  <to>
                    <xdr:col>2</xdr:col>
                    <xdr:colOff>914400</xdr:colOff>
                    <xdr:row>11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4501" r:id="rId7" name="Check Box 5">
              <controlPr defaultSize="0" autoFill="0" autoLine="0" autoPict="0">
                <anchor moveWithCells="1">
                  <from>
                    <xdr:col>2</xdr:col>
                    <xdr:colOff>723900</xdr:colOff>
                    <xdr:row>12</xdr:row>
                    <xdr:rowOff>0</xdr:rowOff>
                  </from>
                  <to>
                    <xdr:col>2</xdr:col>
                    <xdr:colOff>914400</xdr:colOff>
                    <xdr:row>12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4502" r:id="rId8" name="Check Box 6">
              <controlPr defaultSize="0" autoFill="0" autoLine="0" autoPict="0">
                <anchor moveWithCells="1">
                  <from>
                    <xdr:col>5</xdr:col>
                    <xdr:colOff>771525</xdr:colOff>
                    <xdr:row>8</xdr:row>
                    <xdr:rowOff>28575</xdr:rowOff>
                  </from>
                  <to>
                    <xdr:col>5</xdr:col>
                    <xdr:colOff>952500</xdr:colOff>
                    <xdr:row>9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4503" r:id="rId9" name="Check Box 7">
              <controlPr defaultSize="0" autoFill="0" autoLine="0" autoPict="0">
                <anchor moveWithCells="1">
                  <from>
                    <xdr:col>5</xdr:col>
                    <xdr:colOff>771525</xdr:colOff>
                    <xdr:row>9</xdr:row>
                    <xdr:rowOff>161925</xdr:rowOff>
                  </from>
                  <to>
                    <xdr:col>5</xdr:col>
                    <xdr:colOff>952500</xdr:colOff>
                    <xdr:row>10</xdr:row>
                    <xdr:rowOff>95250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4504" r:id="rId10" name="Check Box 8">
              <controlPr defaultSize="0" autoFill="0" autoLine="0" autoPict="0">
                <anchor moveWithCells="1">
                  <from>
                    <xdr:col>5</xdr:col>
                    <xdr:colOff>771525</xdr:colOff>
                    <xdr:row>10</xdr:row>
                    <xdr:rowOff>171450</xdr:rowOff>
                  </from>
                  <to>
                    <xdr:col>5</xdr:col>
                    <xdr:colOff>952500</xdr:colOff>
                    <xdr:row>11</xdr:row>
                    <xdr:rowOff>114300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4506" r:id="rId11" name="Check Box 10">
              <controlPr defaultSize="0" autoFill="0" autoLine="0" autoPict="0">
                <anchor moveWithCells="1">
                  <from>
                    <xdr:col>5</xdr:col>
                    <xdr:colOff>771525</xdr:colOff>
                    <xdr:row>8</xdr:row>
                    <xdr:rowOff>28575</xdr:rowOff>
                  </from>
                  <to>
                    <xdr:col>5</xdr:col>
                    <xdr:colOff>952500</xdr:colOff>
                    <xdr:row>9</xdr:row>
                    <xdr:rowOff>161925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7"/>
  <dimension ref="A1:AN45"/>
  <sheetViews>
    <sheetView showGridLines="0" view="pageBreakPreview" topLeftCell="A34" zoomScaleNormal="100" zoomScaleSheetLayoutView="100" workbookViewId="0">
      <selection activeCell="F35" sqref="F35"/>
    </sheetView>
  </sheetViews>
  <sheetFormatPr baseColWidth="10" defaultColWidth="9.140625" defaultRowHeight="12.75" x14ac:dyDescent="0.2"/>
  <cols>
    <col min="1" max="1" width="4.7109375" customWidth="1"/>
    <col min="2" max="2" width="21.5703125" customWidth="1"/>
    <col min="3" max="3" width="13.85546875" customWidth="1"/>
    <col min="4" max="5" width="13" customWidth="1"/>
    <col min="6" max="6" width="14.42578125" customWidth="1"/>
    <col min="7" max="7" width="13" customWidth="1"/>
    <col min="8" max="8" width="12.85546875" customWidth="1"/>
    <col min="9" max="9" width="4.7109375" customWidth="1"/>
  </cols>
  <sheetData>
    <row r="1" spans="1:40" ht="18" customHeight="1" x14ac:dyDescent="0.45">
      <c r="A1" s="38"/>
      <c r="B1" s="38"/>
      <c r="C1" s="38"/>
      <c r="D1" s="38"/>
      <c r="E1" s="38"/>
      <c r="F1" s="38"/>
      <c r="G1" s="38"/>
      <c r="H1" s="38"/>
      <c r="I1" s="38"/>
    </row>
    <row r="2" spans="1:40" ht="12.75" customHeight="1" x14ac:dyDescent="0.45">
      <c r="A2" s="38"/>
      <c r="B2" s="120"/>
      <c r="C2" s="406" t="s">
        <v>128</v>
      </c>
      <c r="D2" s="407"/>
      <c r="E2" s="407"/>
      <c r="F2" s="408"/>
      <c r="G2" s="319" t="s">
        <v>51</v>
      </c>
      <c r="H2" s="320"/>
      <c r="I2" s="38"/>
    </row>
    <row r="3" spans="1:40" ht="12.75" customHeight="1" x14ac:dyDescent="0.45">
      <c r="A3" s="38"/>
      <c r="B3" s="104"/>
      <c r="C3" s="409"/>
      <c r="D3" s="410"/>
      <c r="E3" s="410"/>
      <c r="F3" s="411"/>
      <c r="G3" s="415"/>
      <c r="H3" s="416"/>
      <c r="I3" s="38"/>
    </row>
    <row r="4" spans="1:40" ht="12.75" customHeight="1" x14ac:dyDescent="0.45">
      <c r="A4" s="38"/>
      <c r="B4" s="104"/>
      <c r="C4" s="409"/>
      <c r="D4" s="410"/>
      <c r="E4" s="410"/>
      <c r="F4" s="411"/>
      <c r="G4" s="415"/>
      <c r="H4" s="416"/>
      <c r="I4" s="38"/>
    </row>
    <row r="5" spans="1:40" ht="12.75" customHeight="1" x14ac:dyDescent="0.45">
      <c r="A5" s="38"/>
      <c r="B5" s="105"/>
      <c r="C5" s="412"/>
      <c r="D5" s="413"/>
      <c r="E5" s="413"/>
      <c r="F5" s="414"/>
      <c r="G5" s="322"/>
      <c r="H5" s="323"/>
      <c r="I5" s="38"/>
    </row>
    <row r="6" spans="1:40" ht="18.75" x14ac:dyDescent="0.45">
      <c r="A6" s="38"/>
      <c r="B6" s="121" t="s">
        <v>52</v>
      </c>
      <c r="C6" s="156">
        <f>+TERMO!C4</f>
        <v>0</v>
      </c>
      <c r="D6" s="38"/>
      <c r="E6" s="38"/>
      <c r="F6" s="122" t="s">
        <v>48</v>
      </c>
      <c r="G6" s="179">
        <f>DATOS!AS84</f>
        <v>45331</v>
      </c>
      <c r="H6" s="103"/>
      <c r="I6" s="38"/>
    </row>
    <row r="7" spans="1:40" ht="18.75" x14ac:dyDescent="0.45">
      <c r="A7" s="38"/>
      <c r="B7" s="123" t="s">
        <v>89</v>
      </c>
      <c r="C7" s="124" t="str">
        <f>+DATOS!$E$8</f>
        <v>BMW G05 X5 4D U 2020</v>
      </c>
      <c r="D7" s="38"/>
      <c r="F7" s="161" t="s">
        <v>53</v>
      </c>
      <c r="G7" s="417" t="s">
        <v>129</v>
      </c>
      <c r="H7" s="418"/>
      <c r="AE7" s="249" t="s">
        <v>456</v>
      </c>
      <c r="AF7" s="249"/>
      <c r="AG7" s="249"/>
      <c r="AH7" s="249"/>
      <c r="AI7" s="249"/>
      <c r="AJ7" s="249"/>
      <c r="AK7" s="249"/>
      <c r="AL7" s="249"/>
      <c r="AM7" s="249"/>
      <c r="AN7" s="249"/>
    </row>
    <row r="8" spans="1:40" ht="21" x14ac:dyDescent="0.5">
      <c r="A8" s="38"/>
      <c r="B8" s="98" t="s">
        <v>55</v>
      </c>
      <c r="C8" s="96"/>
      <c r="D8" s="125" t="s">
        <v>56</v>
      </c>
      <c r="E8" s="162"/>
      <c r="F8" s="162"/>
      <c r="G8" s="163" t="s">
        <v>57</v>
      </c>
      <c r="H8" s="164"/>
      <c r="AE8" s="38"/>
      <c r="AF8" s="38"/>
      <c r="AG8" s="38"/>
      <c r="AH8" s="38"/>
      <c r="AI8" s="38"/>
      <c r="AJ8" s="38"/>
      <c r="AK8" s="38"/>
      <c r="AL8" s="38"/>
      <c r="AM8" s="38"/>
      <c r="AN8" s="38"/>
    </row>
    <row r="9" spans="1:40" ht="21" x14ac:dyDescent="0.5">
      <c r="A9" s="38"/>
      <c r="B9" s="104"/>
      <c r="C9" s="38"/>
      <c r="D9" s="126" t="s">
        <v>58</v>
      </c>
      <c r="G9" s="165" t="s">
        <v>59</v>
      </c>
      <c r="H9" s="166"/>
    </row>
    <row r="10" spans="1:40" ht="21" x14ac:dyDescent="0.5">
      <c r="A10" s="38"/>
      <c r="B10" s="104"/>
      <c r="C10" s="38"/>
      <c r="D10" s="126" t="s">
        <v>60</v>
      </c>
      <c r="E10" s="38"/>
      <c r="F10" s="38"/>
      <c r="G10" s="126" t="s">
        <v>61</v>
      </c>
      <c r="H10" s="103"/>
      <c r="I10" s="38"/>
    </row>
    <row r="11" spans="1:40" ht="21" x14ac:dyDescent="0.5">
      <c r="A11" s="38"/>
      <c r="B11" s="105"/>
      <c r="C11" s="97"/>
      <c r="D11" s="127" t="s">
        <v>62</v>
      </c>
      <c r="E11" s="97"/>
      <c r="F11" s="97"/>
      <c r="G11" s="97"/>
      <c r="H11" s="106"/>
      <c r="I11" s="38"/>
    </row>
    <row r="12" spans="1:40" ht="21.75" x14ac:dyDescent="0.45">
      <c r="A12" s="38"/>
      <c r="B12" s="128" t="s">
        <v>91</v>
      </c>
      <c r="C12" s="129" t="s">
        <v>130</v>
      </c>
      <c r="D12" s="130"/>
      <c r="E12" s="130"/>
      <c r="F12" s="131" t="s">
        <v>93</v>
      </c>
      <c r="G12" s="132" t="s">
        <v>131</v>
      </c>
      <c r="H12" s="133"/>
      <c r="I12" s="38"/>
    </row>
    <row r="13" spans="1:40" ht="18.75" x14ac:dyDescent="0.45">
      <c r="A13" s="38"/>
      <c r="B13" s="38"/>
      <c r="C13" s="38"/>
      <c r="D13" s="38"/>
      <c r="E13" s="38"/>
      <c r="F13" s="38"/>
      <c r="G13" s="38"/>
      <c r="H13" s="38"/>
      <c r="I13" s="38"/>
    </row>
    <row r="14" spans="1:40" ht="18.75" x14ac:dyDescent="0.45">
      <c r="A14" s="38"/>
      <c r="B14" s="102" t="s">
        <v>95</v>
      </c>
      <c r="C14" s="38"/>
      <c r="D14" s="38"/>
      <c r="E14" s="38"/>
      <c r="F14" s="38"/>
      <c r="G14" s="38"/>
      <c r="H14" s="38"/>
      <c r="I14" s="38"/>
    </row>
    <row r="15" spans="1:40" ht="18.75" x14ac:dyDescent="0.45">
      <c r="A15" s="38"/>
      <c r="B15" s="38"/>
      <c r="C15" s="38"/>
      <c r="D15" s="38"/>
      <c r="E15" s="38"/>
      <c r="F15" s="38"/>
      <c r="G15" s="38"/>
      <c r="H15" s="38"/>
      <c r="I15" s="38"/>
    </row>
    <row r="16" spans="1:40" ht="18.75" x14ac:dyDescent="0.45">
      <c r="A16" s="38"/>
      <c r="B16" s="38"/>
      <c r="C16" s="38"/>
      <c r="D16" s="38"/>
      <c r="E16" s="38"/>
      <c r="F16" s="38"/>
      <c r="G16" s="38"/>
      <c r="H16" s="38"/>
      <c r="I16" s="38"/>
    </row>
    <row r="17" spans="1:9" ht="18.75" x14ac:dyDescent="0.45">
      <c r="A17" s="38"/>
      <c r="B17" s="38"/>
      <c r="C17" s="38"/>
      <c r="D17" s="38"/>
      <c r="E17" s="38"/>
      <c r="F17" s="38"/>
      <c r="G17" s="38"/>
      <c r="H17" s="38"/>
      <c r="I17" s="38"/>
    </row>
    <row r="18" spans="1:9" ht="18.75" x14ac:dyDescent="0.45">
      <c r="A18" s="38"/>
      <c r="B18" s="102" t="s">
        <v>132</v>
      </c>
      <c r="C18" s="38"/>
      <c r="D18" s="38"/>
      <c r="E18" s="38"/>
      <c r="F18" s="38"/>
      <c r="G18" s="38"/>
      <c r="H18" s="38"/>
      <c r="I18" s="38"/>
    </row>
    <row r="19" spans="1:9" ht="18.75" x14ac:dyDescent="0.45">
      <c r="A19" s="38"/>
      <c r="B19" s="102" t="s">
        <v>97</v>
      </c>
      <c r="C19" s="38"/>
      <c r="D19" s="38"/>
      <c r="E19" s="38"/>
      <c r="F19" s="38"/>
      <c r="G19" s="38"/>
      <c r="H19" s="38"/>
      <c r="I19" s="38"/>
    </row>
    <row r="20" spans="1:9" ht="18.75" x14ac:dyDescent="0.45">
      <c r="A20" s="38"/>
      <c r="B20" s="122" t="s">
        <v>133</v>
      </c>
      <c r="C20" s="134">
        <v>0.6</v>
      </c>
      <c r="D20" s="38"/>
      <c r="E20" s="38"/>
      <c r="F20" s="38"/>
      <c r="G20" s="38"/>
      <c r="H20" s="38"/>
      <c r="I20" s="38"/>
    </row>
    <row r="21" spans="1:9" ht="18.75" x14ac:dyDescent="0.45">
      <c r="A21" s="38"/>
      <c r="B21" s="122" t="s">
        <v>134</v>
      </c>
      <c r="C21" s="107" t="s">
        <v>135</v>
      </c>
      <c r="D21" s="38"/>
      <c r="E21" s="38"/>
      <c r="F21" s="38"/>
      <c r="G21" s="38"/>
      <c r="H21" s="38"/>
      <c r="I21" s="38"/>
    </row>
    <row r="22" spans="1:9" ht="18.75" x14ac:dyDescent="0.45">
      <c r="A22" s="38"/>
      <c r="B22" s="122"/>
      <c r="C22" s="107"/>
      <c r="D22" s="38"/>
      <c r="E22" s="38"/>
      <c r="F22" s="38"/>
      <c r="G22" s="38"/>
      <c r="H22" s="38"/>
      <c r="I22" s="38"/>
    </row>
    <row r="23" spans="1:9" ht="18.75" x14ac:dyDescent="0.45">
      <c r="A23" s="38"/>
      <c r="B23" s="38"/>
      <c r="C23" s="108"/>
      <c r="D23" s="365" t="s">
        <v>136</v>
      </c>
      <c r="E23" s="365"/>
      <c r="F23" s="365"/>
      <c r="G23" s="102"/>
      <c r="H23" s="38"/>
      <c r="I23" s="38"/>
    </row>
    <row r="24" spans="1:9" ht="18.75" x14ac:dyDescent="0.45">
      <c r="A24" s="38"/>
      <c r="B24" s="38"/>
      <c r="C24" s="38"/>
      <c r="D24" s="38"/>
      <c r="E24" s="38"/>
      <c r="F24" s="38"/>
      <c r="G24" s="38"/>
      <c r="H24" s="38"/>
      <c r="I24" s="38"/>
    </row>
    <row r="25" spans="1:9" ht="18.75" x14ac:dyDescent="0.45">
      <c r="A25" s="38"/>
      <c r="B25" s="38"/>
      <c r="C25" s="38"/>
      <c r="D25" s="392" t="s">
        <v>137</v>
      </c>
      <c r="E25" s="393"/>
      <c r="F25" s="394"/>
      <c r="G25" s="119"/>
      <c r="H25" s="38"/>
      <c r="I25" s="38"/>
    </row>
    <row r="26" spans="1:9" ht="18.75" x14ac:dyDescent="0.45">
      <c r="A26" s="38"/>
      <c r="B26" s="38"/>
      <c r="C26" s="38"/>
      <c r="D26" s="399"/>
      <c r="E26" s="398"/>
      <c r="F26" s="400"/>
      <c r="G26" s="38"/>
      <c r="H26" s="38"/>
      <c r="I26" s="38"/>
    </row>
    <row r="27" spans="1:9" ht="18.75" x14ac:dyDescent="0.45">
      <c r="A27" s="38"/>
      <c r="B27" s="38"/>
      <c r="C27" s="38"/>
      <c r="D27" s="401"/>
      <c r="E27" s="365"/>
      <c r="F27" s="402"/>
      <c r="G27" s="38"/>
      <c r="H27" s="38"/>
      <c r="I27" s="38"/>
    </row>
    <row r="28" spans="1:9" ht="18.75" x14ac:dyDescent="0.45">
      <c r="A28" s="38"/>
      <c r="B28" s="38"/>
      <c r="C28" s="38"/>
      <c r="D28" s="401"/>
      <c r="E28" s="365"/>
      <c r="F28" s="402"/>
      <c r="G28" s="38"/>
      <c r="H28" s="38"/>
      <c r="I28" s="38"/>
    </row>
    <row r="29" spans="1:9" ht="18.75" x14ac:dyDescent="0.45">
      <c r="A29" s="38"/>
      <c r="B29" s="38"/>
      <c r="C29" s="38"/>
      <c r="D29" s="401"/>
      <c r="E29" s="365"/>
      <c r="F29" s="402"/>
      <c r="G29" s="38"/>
      <c r="H29" s="38"/>
      <c r="I29" s="38"/>
    </row>
    <row r="30" spans="1:9" ht="18.75" x14ac:dyDescent="0.45">
      <c r="A30" s="38"/>
      <c r="B30" s="38"/>
      <c r="C30" s="38"/>
      <c r="D30" s="401"/>
      <c r="E30" s="365"/>
      <c r="F30" s="402"/>
      <c r="G30" s="38"/>
      <c r="H30" s="38"/>
      <c r="I30" s="38"/>
    </row>
    <row r="31" spans="1:9" ht="21" x14ac:dyDescent="0.5">
      <c r="A31" s="38"/>
      <c r="B31" s="38"/>
      <c r="C31" s="135"/>
      <c r="D31" s="401"/>
      <c r="E31" s="365"/>
      <c r="F31" s="402"/>
      <c r="G31" s="136"/>
      <c r="H31" s="38"/>
      <c r="I31" s="38"/>
    </row>
    <row r="32" spans="1:9" ht="18.75" x14ac:dyDescent="0.45">
      <c r="A32" s="38"/>
      <c r="B32" s="38"/>
      <c r="C32" s="38"/>
      <c r="D32" s="401"/>
      <c r="E32" s="365"/>
      <c r="F32" s="402"/>
      <c r="G32" s="38"/>
      <c r="H32" s="38"/>
      <c r="I32" s="38"/>
    </row>
    <row r="33" spans="1:9" ht="18.75" x14ac:dyDescent="0.45">
      <c r="A33" s="38"/>
      <c r="B33" s="38"/>
      <c r="C33" s="38"/>
      <c r="D33" s="403"/>
      <c r="E33" s="404"/>
      <c r="F33" s="405"/>
      <c r="G33" s="38"/>
      <c r="H33" s="38"/>
      <c r="I33" s="38"/>
    </row>
    <row r="34" spans="1:9" ht="18.75" x14ac:dyDescent="0.45">
      <c r="A34" s="38"/>
      <c r="B34" s="38"/>
      <c r="C34" s="38"/>
      <c r="D34" s="38"/>
      <c r="E34" s="38"/>
      <c r="F34" s="38"/>
      <c r="G34" s="38"/>
      <c r="H34" s="38"/>
      <c r="I34" s="38"/>
    </row>
    <row r="35" spans="1:9" ht="18.75" x14ac:dyDescent="0.45">
      <c r="A35" s="38"/>
      <c r="B35" s="102" t="s">
        <v>446</v>
      </c>
      <c r="C35" s="38"/>
      <c r="D35" s="38"/>
      <c r="E35" s="38"/>
      <c r="F35" s="38"/>
      <c r="G35" s="38"/>
      <c r="H35" s="38"/>
      <c r="I35" s="38"/>
    </row>
    <row r="36" spans="1:9" ht="18.75" x14ac:dyDescent="0.45">
      <c r="A36" s="38"/>
      <c r="B36" s="38"/>
      <c r="C36" s="38"/>
      <c r="D36" s="38"/>
      <c r="E36" s="38"/>
      <c r="F36" s="38"/>
      <c r="G36" s="38"/>
      <c r="H36" s="38"/>
      <c r="I36" s="38"/>
    </row>
    <row r="37" spans="1:9" ht="18.75" x14ac:dyDescent="0.45">
      <c r="A37" s="38"/>
      <c r="B37" s="38"/>
      <c r="C37" s="38"/>
      <c r="D37" s="38"/>
      <c r="E37" s="38"/>
      <c r="F37" s="38"/>
      <c r="G37" s="38"/>
      <c r="H37" s="38"/>
      <c r="I37" s="38"/>
    </row>
    <row r="38" spans="1:9" ht="18.75" x14ac:dyDescent="0.45">
      <c r="A38" s="38"/>
      <c r="B38" s="38"/>
      <c r="C38" s="38"/>
      <c r="D38" s="38"/>
      <c r="E38" s="38"/>
      <c r="F38" s="38"/>
      <c r="G38" s="38"/>
      <c r="H38" s="38"/>
      <c r="I38" s="38"/>
    </row>
    <row r="39" spans="1:9" ht="18.75" x14ac:dyDescent="0.45">
      <c r="A39" s="38"/>
      <c r="B39" s="38"/>
      <c r="C39" s="38"/>
      <c r="D39" s="38"/>
      <c r="E39" s="38"/>
      <c r="F39" s="38"/>
      <c r="G39" s="38"/>
      <c r="H39" s="38"/>
      <c r="I39" s="38"/>
    </row>
    <row r="40" spans="1:9" ht="18.75" x14ac:dyDescent="0.45">
      <c r="A40" s="38"/>
      <c r="B40" s="137" t="s">
        <v>439</v>
      </c>
      <c r="C40" s="38"/>
      <c r="D40" s="382" t="str">
        <f>+DISTORSION!E66</f>
        <v>ssanabria</v>
      </c>
      <c r="E40" s="382"/>
      <c r="F40" s="138"/>
      <c r="G40" s="387" t="s">
        <v>438</v>
      </c>
      <c r="H40" s="387"/>
      <c r="I40" s="38"/>
    </row>
    <row r="41" spans="1:9" ht="18.75" x14ac:dyDescent="0.45">
      <c r="A41" s="38"/>
      <c r="B41" s="82" t="s">
        <v>45</v>
      </c>
      <c r="C41" s="102"/>
      <c r="D41" s="365" t="s">
        <v>46</v>
      </c>
      <c r="E41" s="365"/>
      <c r="F41" s="102"/>
      <c r="G41" s="398" t="s">
        <v>47</v>
      </c>
      <c r="H41" s="398"/>
      <c r="I41" s="38"/>
    </row>
    <row r="42" spans="1:9" ht="18.75" x14ac:dyDescent="0.45">
      <c r="A42" s="38"/>
      <c r="B42" s="38"/>
      <c r="C42" s="119"/>
      <c r="D42" s="119"/>
      <c r="E42" s="38"/>
      <c r="F42" s="119"/>
      <c r="G42" s="119"/>
      <c r="H42" s="38"/>
      <c r="I42" s="38"/>
    </row>
    <row r="43" spans="1:9" ht="18.75" x14ac:dyDescent="0.45">
      <c r="A43" s="38"/>
      <c r="B43" s="38"/>
      <c r="C43" s="119"/>
      <c r="D43" s="119"/>
      <c r="E43" s="38"/>
      <c r="F43" s="119"/>
      <c r="G43" s="119"/>
      <c r="H43" s="38"/>
      <c r="I43" s="38"/>
    </row>
    <row r="44" spans="1:9" ht="18.75" x14ac:dyDescent="0.45">
      <c r="A44" s="38"/>
      <c r="B44" s="300" t="s">
        <v>49</v>
      </c>
      <c r="C44" s="300"/>
      <c r="D44" s="119"/>
      <c r="E44" s="38"/>
      <c r="F44" s="119"/>
      <c r="G44" s="301" t="s">
        <v>461</v>
      </c>
      <c r="H44" s="301"/>
      <c r="I44" s="38"/>
    </row>
    <row r="45" spans="1:9" ht="18" customHeight="1" x14ac:dyDescent="0.45">
      <c r="A45" s="38"/>
      <c r="B45" s="38"/>
      <c r="C45" s="38"/>
      <c r="D45" s="38"/>
      <c r="E45" s="38"/>
      <c r="F45" s="38"/>
      <c r="G45" s="38"/>
      <c r="H45" s="38"/>
      <c r="I45" s="38"/>
    </row>
  </sheetData>
  <mergeCells count="13">
    <mergeCell ref="B44:C44"/>
    <mergeCell ref="G44:H44"/>
    <mergeCell ref="D23:F23"/>
    <mergeCell ref="C2:F5"/>
    <mergeCell ref="G2:H5"/>
    <mergeCell ref="G7:H7"/>
    <mergeCell ref="G40:H40"/>
    <mergeCell ref="D40:E40"/>
    <mergeCell ref="AE7:AN7"/>
    <mergeCell ref="D41:E41"/>
    <mergeCell ref="G41:H41"/>
    <mergeCell ref="D26:F33"/>
    <mergeCell ref="D25:F25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scale="81" orientation="portrait" r:id="rId1"/>
  <rowBreaks count="1" manualBreakCount="1">
    <brk id="51" max="1048575" man="1"/>
  </rowBreaks>
  <ignoredErrors>
    <ignoredError sqref="C7 G6" unlockedFormula="1"/>
  </ignoredError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24284" r:id="rId4" name="Check Box 28">
              <controlPr defaultSize="0" autoFill="0" autoLine="0" autoPict="0">
                <anchor moveWithCells="1">
                  <from>
                    <xdr:col>2</xdr:col>
                    <xdr:colOff>847725</xdr:colOff>
                    <xdr:row>7</xdr:row>
                    <xdr:rowOff>9525</xdr:rowOff>
                  </from>
                  <to>
                    <xdr:col>3</xdr:col>
                    <xdr:colOff>66675</xdr:colOff>
                    <xdr:row>7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4285" r:id="rId5" name="Check Box 29">
              <controlPr defaultSize="0" autoFill="0" autoLine="0" autoPict="0">
                <anchor moveWithCells="1">
                  <from>
                    <xdr:col>2</xdr:col>
                    <xdr:colOff>847725</xdr:colOff>
                    <xdr:row>8</xdr:row>
                    <xdr:rowOff>0</xdr:rowOff>
                  </from>
                  <to>
                    <xdr:col>3</xdr:col>
                    <xdr:colOff>66675</xdr:colOff>
                    <xdr:row>8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4286" r:id="rId6" name="Check Box 30">
              <controlPr defaultSize="0" autoFill="0" autoLine="0" autoPict="0">
                <anchor moveWithCells="1">
                  <from>
                    <xdr:col>2</xdr:col>
                    <xdr:colOff>847725</xdr:colOff>
                    <xdr:row>8</xdr:row>
                    <xdr:rowOff>171450</xdr:rowOff>
                  </from>
                  <to>
                    <xdr:col>3</xdr:col>
                    <xdr:colOff>66675</xdr:colOff>
                    <xdr:row>9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4287" r:id="rId7" name="Check Box 31">
              <controlPr defaultSize="0" autoFill="0" autoLine="0" autoPict="0">
                <anchor moveWithCells="1">
                  <from>
                    <xdr:col>2</xdr:col>
                    <xdr:colOff>847725</xdr:colOff>
                    <xdr:row>9</xdr:row>
                    <xdr:rowOff>171450</xdr:rowOff>
                  </from>
                  <to>
                    <xdr:col>3</xdr:col>
                    <xdr:colOff>66675</xdr:colOff>
                    <xdr:row>10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4288" r:id="rId8" name="Check Box 32">
              <controlPr defaultSize="0" autoFill="0" autoLine="0" autoPict="0">
                <anchor moveWithCells="1">
                  <from>
                    <xdr:col>5</xdr:col>
                    <xdr:colOff>790575</xdr:colOff>
                    <xdr:row>7</xdr:row>
                    <xdr:rowOff>9525</xdr:rowOff>
                  </from>
                  <to>
                    <xdr:col>6</xdr:col>
                    <xdr:colOff>0</xdr:colOff>
                    <xdr:row>7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4289" r:id="rId9" name="Check Box 33">
              <controlPr defaultSize="0" autoFill="0" autoLine="0" autoPict="0">
                <anchor moveWithCells="1">
                  <from>
                    <xdr:col>5</xdr:col>
                    <xdr:colOff>790575</xdr:colOff>
                    <xdr:row>8</xdr:row>
                    <xdr:rowOff>0</xdr:rowOff>
                  </from>
                  <to>
                    <xdr:col>6</xdr:col>
                    <xdr:colOff>0</xdr:colOff>
                    <xdr:row>8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4290" r:id="rId10" name="Check Box 34">
              <controlPr defaultSize="0" autoFill="0" autoLine="0" autoPict="0">
                <anchor moveWithCells="1">
                  <from>
                    <xdr:col>5</xdr:col>
                    <xdr:colOff>790575</xdr:colOff>
                    <xdr:row>8</xdr:row>
                    <xdr:rowOff>171450</xdr:rowOff>
                  </from>
                  <to>
                    <xdr:col>6</xdr:col>
                    <xdr:colOff>0</xdr:colOff>
                    <xdr:row>9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4293" r:id="rId11" name="Check Box 37">
              <controlPr defaultSize="0" autoFill="0" autoLine="0" autoPict="0">
                <anchor moveWithCells="1">
                  <from>
                    <xdr:col>5</xdr:col>
                    <xdr:colOff>790575</xdr:colOff>
                    <xdr:row>7</xdr:row>
                    <xdr:rowOff>9525</xdr:rowOff>
                  </from>
                  <to>
                    <xdr:col>6</xdr:col>
                    <xdr:colOff>0</xdr:colOff>
                    <xdr:row>7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4294" r:id="rId12" name="Check Box 38">
              <controlPr defaultSize="0" autoFill="0" autoLine="0" autoPict="0">
                <anchor moveWithCells="1">
                  <from>
                    <xdr:col>5</xdr:col>
                    <xdr:colOff>790575</xdr:colOff>
                    <xdr:row>8</xdr:row>
                    <xdr:rowOff>0</xdr:rowOff>
                  </from>
                  <to>
                    <xdr:col>6</xdr:col>
                    <xdr:colOff>0</xdr:colOff>
                    <xdr:row>8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4295" r:id="rId13" name="Check Box 39">
              <controlPr defaultSize="0" autoFill="0" autoLine="0" autoPict="0">
                <anchor moveWithCells="1">
                  <from>
                    <xdr:col>5</xdr:col>
                    <xdr:colOff>790575</xdr:colOff>
                    <xdr:row>8</xdr:row>
                    <xdr:rowOff>171450</xdr:rowOff>
                  </from>
                  <to>
                    <xdr:col>6</xdr:col>
                    <xdr:colOff>0</xdr:colOff>
                    <xdr:row>9</xdr:row>
                    <xdr:rowOff>85725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Hoja8"/>
  <dimension ref="A1:AP50"/>
  <sheetViews>
    <sheetView showGridLines="0" view="pageBreakPreview" topLeftCell="A27" zoomScale="70" zoomScaleNormal="100" zoomScaleSheetLayoutView="70" workbookViewId="0">
      <selection activeCell="R24" sqref="R24"/>
    </sheetView>
  </sheetViews>
  <sheetFormatPr baseColWidth="10" defaultColWidth="11.42578125" defaultRowHeight="12.75" x14ac:dyDescent="0.2"/>
  <cols>
    <col min="1" max="1" width="3.28515625" customWidth="1"/>
    <col min="2" max="2" width="20.5703125" customWidth="1"/>
    <col min="3" max="3" width="9.140625" customWidth="1"/>
    <col min="4" max="4" width="6.140625" customWidth="1"/>
    <col min="5" max="5" width="7.7109375" customWidth="1"/>
    <col min="6" max="6" width="4.28515625" customWidth="1"/>
    <col min="7" max="7" width="5.140625" customWidth="1"/>
    <col min="8" max="8" width="4.5703125" customWidth="1"/>
    <col min="9" max="9" width="4.85546875" customWidth="1"/>
    <col min="10" max="10" width="4.28515625" customWidth="1"/>
    <col min="11" max="11" width="7" customWidth="1"/>
    <col min="12" max="12" width="12.42578125" customWidth="1"/>
    <col min="13" max="13" width="13.42578125" customWidth="1"/>
    <col min="14" max="14" width="7.85546875" customWidth="1"/>
    <col min="15" max="15" width="7.5703125" customWidth="1"/>
    <col min="16" max="16" width="3.28515625" customWidth="1"/>
  </cols>
  <sheetData>
    <row r="1" spans="1:40" ht="20.100000000000001" customHeight="1" x14ac:dyDescent="0.45">
      <c r="A1" s="95"/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  <c r="O1" s="38"/>
      <c r="P1" s="95"/>
    </row>
    <row r="2" spans="1:40" ht="27.75" customHeight="1" x14ac:dyDescent="0.3">
      <c r="A2" s="95"/>
      <c r="B2" s="332"/>
      <c r="C2" s="339" t="s">
        <v>138</v>
      </c>
      <c r="D2" s="340"/>
      <c r="E2" s="340"/>
      <c r="F2" s="340"/>
      <c r="G2" s="340"/>
      <c r="H2" s="340"/>
      <c r="I2" s="340"/>
      <c r="J2" s="340"/>
      <c r="K2" s="340"/>
      <c r="L2" s="340"/>
      <c r="M2" s="318" t="s">
        <v>51</v>
      </c>
      <c r="N2" s="319"/>
      <c r="O2" s="320"/>
      <c r="P2" s="95"/>
    </row>
    <row r="3" spans="1:40" ht="27.75" customHeight="1" x14ac:dyDescent="0.3">
      <c r="A3" s="95"/>
      <c r="B3" s="333"/>
      <c r="C3" s="342"/>
      <c r="D3" s="343"/>
      <c r="E3" s="343"/>
      <c r="F3" s="343"/>
      <c r="G3" s="343"/>
      <c r="H3" s="343"/>
      <c r="I3" s="343"/>
      <c r="J3" s="343"/>
      <c r="K3" s="343"/>
      <c r="L3" s="343"/>
      <c r="M3" s="321"/>
      <c r="N3" s="322"/>
      <c r="O3" s="323"/>
      <c r="P3" s="95"/>
    </row>
    <row r="4" spans="1:40" ht="18.75" x14ac:dyDescent="0.3">
      <c r="A4" s="95"/>
      <c r="B4" s="60" t="s">
        <v>52</v>
      </c>
      <c r="C4" s="335">
        <f>DATOS!AE7</f>
        <v>0</v>
      </c>
      <c r="D4" s="335"/>
      <c r="E4" s="335"/>
      <c r="F4" s="338"/>
      <c r="G4" s="338"/>
      <c r="H4" s="338"/>
      <c r="I4" s="338"/>
      <c r="J4" s="338"/>
      <c r="K4" s="338"/>
      <c r="L4" s="61" t="s">
        <v>48</v>
      </c>
      <c r="M4" s="180">
        <f>DATOS!AS84</f>
        <v>45331</v>
      </c>
      <c r="N4" s="62"/>
      <c r="O4" s="63"/>
      <c r="P4" s="95"/>
    </row>
    <row r="5" spans="1:40" ht="18.75" x14ac:dyDescent="0.3">
      <c r="A5" s="95"/>
      <c r="B5" s="64" t="s">
        <v>7</v>
      </c>
      <c r="C5" s="65" t="str">
        <f>+DATOS!E9</f>
        <v>WINDSHIELD / FRONTSHEIBE</v>
      </c>
      <c r="D5" s="66"/>
      <c r="E5" s="66"/>
      <c r="F5" s="67"/>
      <c r="G5" s="67"/>
      <c r="H5" s="67"/>
      <c r="I5" s="67"/>
      <c r="J5" s="67"/>
      <c r="K5" s="67"/>
      <c r="L5" s="67"/>
      <c r="M5" s="67"/>
      <c r="N5" s="67"/>
      <c r="O5" s="68"/>
      <c r="P5" s="139"/>
      <c r="Q5" s="4"/>
      <c r="R5" s="4"/>
      <c r="S5" s="4"/>
    </row>
    <row r="6" spans="1:40" ht="18.75" x14ac:dyDescent="0.3">
      <c r="A6" s="95"/>
      <c r="B6" s="69" t="s">
        <v>53</v>
      </c>
      <c r="C6" s="336" t="s">
        <v>54</v>
      </c>
      <c r="D6" s="336"/>
      <c r="E6" s="336"/>
      <c r="F6" s="336"/>
      <c r="G6" s="336"/>
      <c r="H6" s="336"/>
      <c r="I6" s="336"/>
      <c r="J6" s="336"/>
      <c r="K6" s="70"/>
      <c r="L6" s="71"/>
      <c r="M6" s="70"/>
      <c r="N6" s="70"/>
      <c r="O6" s="72"/>
      <c r="P6" s="95"/>
      <c r="R6" s="6"/>
      <c r="S6" s="8"/>
      <c r="T6" s="8"/>
      <c r="U6" s="8"/>
      <c r="V6" s="8"/>
      <c r="W6" s="8"/>
    </row>
    <row r="7" spans="1:40" ht="15" customHeight="1" x14ac:dyDescent="0.3">
      <c r="A7" s="95"/>
      <c r="B7" s="337" t="s">
        <v>55</v>
      </c>
      <c r="C7" s="338"/>
      <c r="D7" s="73"/>
      <c r="E7" s="157" t="s">
        <v>56</v>
      </c>
      <c r="F7" s="158"/>
      <c r="G7" s="158"/>
      <c r="H7" s="157"/>
      <c r="I7" s="157"/>
      <c r="J7" s="157"/>
      <c r="K7" s="157"/>
      <c r="L7" s="157"/>
      <c r="M7" s="157" t="s">
        <v>57</v>
      </c>
      <c r="N7" s="157"/>
      <c r="O7" s="159"/>
      <c r="R7" s="6"/>
      <c r="S7" s="8"/>
      <c r="T7" s="8"/>
      <c r="U7" s="8"/>
      <c r="V7" s="8"/>
      <c r="W7" s="8"/>
      <c r="AE7" s="249" t="s">
        <v>456</v>
      </c>
      <c r="AF7" s="249"/>
      <c r="AG7" s="249"/>
      <c r="AH7" s="249"/>
      <c r="AI7" s="249"/>
      <c r="AJ7" s="249"/>
      <c r="AK7" s="249"/>
      <c r="AL7" s="249"/>
      <c r="AM7" s="249"/>
      <c r="AN7" s="249"/>
    </row>
    <row r="8" spans="1:40" ht="15" customHeight="1" x14ac:dyDescent="0.45">
      <c r="A8" s="95"/>
      <c r="B8" s="75"/>
      <c r="C8" s="76"/>
      <c r="D8" s="76"/>
      <c r="E8" s="8" t="s">
        <v>58</v>
      </c>
      <c r="F8" s="10"/>
      <c r="G8" s="10"/>
      <c r="H8" s="8"/>
      <c r="I8" s="8"/>
      <c r="J8" s="8"/>
      <c r="K8" s="8"/>
      <c r="L8" s="8"/>
      <c r="M8" s="8" t="s">
        <v>59</v>
      </c>
      <c r="N8" s="8"/>
      <c r="O8" s="160"/>
      <c r="R8" s="6"/>
      <c r="S8" s="8"/>
      <c r="T8" s="8"/>
      <c r="U8" s="8"/>
      <c r="V8" s="8"/>
      <c r="W8" s="8"/>
      <c r="AE8" s="38"/>
      <c r="AF8" s="38"/>
      <c r="AG8" s="38"/>
      <c r="AH8" s="38"/>
      <c r="AI8" s="38"/>
      <c r="AJ8" s="38"/>
      <c r="AK8" s="38"/>
      <c r="AL8" s="38"/>
      <c r="AM8" s="38"/>
      <c r="AN8" s="38"/>
    </row>
    <row r="9" spans="1:40" ht="15" customHeight="1" x14ac:dyDescent="0.3">
      <c r="A9" s="95"/>
      <c r="B9" s="77"/>
      <c r="C9" s="66"/>
      <c r="D9" s="66"/>
      <c r="E9" s="8" t="s">
        <v>60</v>
      </c>
      <c r="F9" s="8"/>
      <c r="G9" s="8"/>
      <c r="H9" s="8"/>
      <c r="I9" s="8"/>
      <c r="J9" s="8"/>
      <c r="K9" s="8"/>
      <c r="L9" s="8"/>
      <c r="M9" s="8" t="s">
        <v>61</v>
      </c>
      <c r="N9" s="8"/>
      <c r="O9" s="160"/>
      <c r="R9" s="6"/>
      <c r="S9" s="8"/>
      <c r="T9" s="8"/>
      <c r="U9" s="8"/>
      <c r="V9" s="8"/>
      <c r="W9" s="8"/>
    </row>
    <row r="10" spans="1:40" ht="15" customHeight="1" x14ac:dyDescent="0.3">
      <c r="A10" s="95"/>
      <c r="B10" s="78"/>
      <c r="C10" s="79"/>
      <c r="D10" s="79"/>
      <c r="E10" s="79" t="s">
        <v>62</v>
      </c>
      <c r="F10" s="79"/>
      <c r="G10" s="79"/>
      <c r="H10" s="79"/>
      <c r="I10" s="79"/>
      <c r="J10" s="79"/>
      <c r="K10" s="79"/>
      <c r="L10" s="79"/>
      <c r="M10" s="79"/>
      <c r="N10" s="79"/>
      <c r="O10" s="80"/>
      <c r="P10" s="95"/>
      <c r="R10" s="6"/>
      <c r="S10" s="8"/>
      <c r="T10" s="8"/>
      <c r="U10" s="8"/>
      <c r="V10" s="8"/>
      <c r="W10" s="8"/>
    </row>
    <row r="11" spans="1:40" ht="15" customHeight="1" x14ac:dyDescent="0.3">
      <c r="A11" s="95"/>
      <c r="B11" s="66"/>
      <c r="C11" s="66"/>
      <c r="D11" s="66"/>
      <c r="E11" s="66"/>
      <c r="F11" s="66"/>
      <c r="G11" s="66"/>
      <c r="H11" s="66"/>
      <c r="I11" s="66"/>
      <c r="J11" s="66"/>
      <c r="K11" s="66"/>
      <c r="L11" s="66"/>
      <c r="M11" s="66"/>
      <c r="N11" s="66"/>
      <c r="O11" s="66"/>
      <c r="P11" s="95"/>
      <c r="R11" s="6"/>
      <c r="S11" s="8"/>
      <c r="T11" s="8"/>
      <c r="U11" s="8"/>
      <c r="V11" s="8"/>
      <c r="W11" s="8"/>
    </row>
    <row r="12" spans="1:40" ht="15" customHeight="1" x14ac:dyDescent="0.3">
      <c r="A12" s="95"/>
      <c r="B12" s="66"/>
      <c r="C12" s="66"/>
      <c r="D12" s="66"/>
      <c r="E12" s="66"/>
      <c r="F12" s="66"/>
      <c r="G12" s="66"/>
      <c r="H12" s="66"/>
      <c r="I12" s="66"/>
      <c r="J12" s="66"/>
      <c r="K12" s="66"/>
      <c r="L12" s="66"/>
      <c r="M12" s="66"/>
      <c r="N12" s="66"/>
      <c r="O12" s="66"/>
      <c r="P12" s="95"/>
      <c r="R12" s="6"/>
      <c r="S12" s="8"/>
      <c r="T12" s="8"/>
      <c r="U12" s="8"/>
      <c r="V12" s="8"/>
      <c r="W12" s="8"/>
    </row>
    <row r="13" spans="1:40" ht="15" customHeight="1" x14ac:dyDescent="0.3">
      <c r="A13" s="95"/>
      <c r="B13" s="76"/>
      <c r="C13" s="76"/>
      <c r="D13" s="76"/>
      <c r="E13" s="76"/>
      <c r="F13" s="76"/>
      <c r="G13" s="76"/>
      <c r="H13" s="76"/>
      <c r="I13" s="76"/>
      <c r="J13" s="76"/>
      <c r="K13" s="76"/>
      <c r="L13" s="76"/>
      <c r="M13" s="76"/>
      <c r="N13" s="76"/>
      <c r="O13" s="76"/>
      <c r="P13" s="95"/>
    </row>
    <row r="14" spans="1:40" ht="15" customHeight="1" x14ac:dyDescent="0.3">
      <c r="A14" s="95"/>
      <c r="B14" s="294" t="s">
        <v>139</v>
      </c>
      <c r="C14" s="295"/>
      <c r="D14" s="295"/>
      <c r="E14" s="295"/>
      <c r="F14" s="295"/>
      <c r="G14" s="295"/>
      <c r="H14" s="295"/>
      <c r="I14" s="295"/>
      <c r="J14" s="295"/>
      <c r="K14" s="295"/>
      <c r="L14" s="295"/>
      <c r="M14" s="295"/>
      <c r="N14" s="295"/>
      <c r="O14" s="317"/>
      <c r="P14" s="95"/>
      <c r="S14" s="280"/>
      <c r="T14" s="280"/>
      <c r="U14" s="280"/>
      <c r="V14" s="280"/>
      <c r="W14" s="280"/>
      <c r="X14" s="280"/>
      <c r="Y14" s="280"/>
    </row>
    <row r="15" spans="1:40" ht="13.5" customHeight="1" x14ac:dyDescent="0.3">
      <c r="A15" s="95"/>
      <c r="B15" s="419"/>
      <c r="C15" s="419"/>
      <c r="D15" s="419"/>
      <c r="E15" s="419"/>
      <c r="F15" s="419"/>
      <c r="G15" s="419"/>
      <c r="H15" s="419"/>
      <c r="I15" s="419"/>
      <c r="J15" s="419"/>
      <c r="K15" s="419"/>
      <c r="L15" s="419"/>
      <c r="M15" s="419"/>
      <c r="N15" s="419"/>
      <c r="O15" s="419"/>
      <c r="P15" s="95"/>
      <c r="S15" s="281"/>
      <c r="T15" s="281"/>
      <c r="U15" s="281"/>
      <c r="V15" s="281"/>
      <c r="W15" s="281"/>
      <c r="X15" s="281"/>
      <c r="Y15" s="281"/>
    </row>
    <row r="16" spans="1:40" ht="13.5" customHeight="1" x14ac:dyDescent="0.3">
      <c r="A16" s="95"/>
      <c r="B16" s="419"/>
      <c r="C16" s="419"/>
      <c r="D16" s="419"/>
      <c r="E16" s="419"/>
      <c r="F16" s="419"/>
      <c r="G16" s="419"/>
      <c r="H16" s="419"/>
      <c r="I16" s="419"/>
      <c r="J16" s="419"/>
      <c r="K16" s="419"/>
      <c r="L16" s="419"/>
      <c r="M16" s="419"/>
      <c r="N16" s="419"/>
      <c r="O16" s="419"/>
      <c r="P16" s="95"/>
      <c r="S16" s="281"/>
      <c r="T16" s="281"/>
      <c r="U16" s="281"/>
      <c r="V16" s="281"/>
      <c r="W16" s="281"/>
      <c r="X16" s="281"/>
      <c r="Y16" s="281"/>
    </row>
    <row r="17" spans="1:25" ht="13.5" customHeight="1" x14ac:dyDescent="0.3">
      <c r="A17" s="95"/>
      <c r="B17" s="419"/>
      <c r="C17" s="419"/>
      <c r="D17" s="419"/>
      <c r="E17" s="419"/>
      <c r="F17" s="419"/>
      <c r="G17" s="419"/>
      <c r="H17" s="419"/>
      <c r="I17" s="419"/>
      <c r="J17" s="419"/>
      <c r="K17" s="419"/>
      <c r="L17" s="419"/>
      <c r="M17" s="419"/>
      <c r="N17" s="419"/>
      <c r="O17" s="419"/>
      <c r="P17" s="95"/>
      <c r="S17" s="281"/>
      <c r="T17" s="281"/>
      <c r="U17" s="281"/>
      <c r="V17" s="281"/>
      <c r="W17" s="281"/>
      <c r="X17" s="281"/>
      <c r="Y17" s="281"/>
    </row>
    <row r="18" spans="1:25" ht="13.5" customHeight="1" x14ac:dyDescent="0.3">
      <c r="A18" s="95"/>
      <c r="B18" s="419"/>
      <c r="C18" s="419"/>
      <c r="D18" s="419"/>
      <c r="E18" s="419"/>
      <c r="F18" s="419"/>
      <c r="G18" s="419"/>
      <c r="H18" s="419"/>
      <c r="I18" s="419"/>
      <c r="J18" s="419"/>
      <c r="K18" s="419"/>
      <c r="L18" s="419"/>
      <c r="M18" s="419"/>
      <c r="N18" s="419"/>
      <c r="O18" s="419"/>
      <c r="P18" s="95"/>
      <c r="S18" s="281"/>
      <c r="T18" s="281"/>
      <c r="U18" s="281"/>
      <c r="V18" s="281"/>
      <c r="W18" s="281"/>
      <c r="X18" s="281"/>
      <c r="Y18" s="281"/>
    </row>
    <row r="19" spans="1:25" ht="13.5" customHeight="1" x14ac:dyDescent="0.3">
      <c r="A19" s="95"/>
      <c r="B19" s="419"/>
      <c r="C19" s="419"/>
      <c r="D19" s="419"/>
      <c r="E19" s="419"/>
      <c r="F19" s="419"/>
      <c r="G19" s="419"/>
      <c r="H19" s="419"/>
      <c r="I19" s="419"/>
      <c r="J19" s="419"/>
      <c r="K19" s="419"/>
      <c r="L19" s="419"/>
      <c r="M19" s="419"/>
      <c r="N19" s="419"/>
      <c r="O19" s="419"/>
      <c r="P19" s="95"/>
      <c r="S19" s="281"/>
      <c r="T19" s="281"/>
      <c r="U19" s="281"/>
      <c r="V19" s="281"/>
      <c r="W19" s="281"/>
      <c r="X19" s="281"/>
      <c r="Y19" s="281"/>
    </row>
    <row r="20" spans="1:25" ht="13.5" customHeight="1" x14ac:dyDescent="0.3">
      <c r="A20" s="95"/>
      <c r="B20" s="419"/>
      <c r="C20" s="419"/>
      <c r="D20" s="419"/>
      <c r="E20" s="419"/>
      <c r="F20" s="419"/>
      <c r="G20" s="419"/>
      <c r="H20" s="419"/>
      <c r="I20" s="419"/>
      <c r="J20" s="419"/>
      <c r="K20" s="419"/>
      <c r="L20" s="419"/>
      <c r="M20" s="419"/>
      <c r="N20" s="419"/>
      <c r="O20" s="419"/>
      <c r="P20" s="95"/>
      <c r="S20" s="281"/>
      <c r="T20" s="281"/>
      <c r="U20" s="281"/>
      <c r="V20" s="281"/>
      <c r="W20" s="281"/>
      <c r="X20" s="281"/>
      <c r="Y20" s="281"/>
    </row>
    <row r="21" spans="1:25" ht="13.5" customHeight="1" x14ac:dyDescent="0.3">
      <c r="A21" s="95"/>
      <c r="B21" s="419"/>
      <c r="C21" s="419"/>
      <c r="D21" s="419"/>
      <c r="E21" s="419"/>
      <c r="F21" s="419"/>
      <c r="G21" s="419"/>
      <c r="H21" s="419"/>
      <c r="I21" s="419"/>
      <c r="J21" s="419"/>
      <c r="K21" s="419"/>
      <c r="L21" s="419"/>
      <c r="M21" s="419"/>
      <c r="N21" s="419"/>
      <c r="O21" s="419"/>
      <c r="P21" s="95"/>
      <c r="S21" s="281"/>
      <c r="T21" s="281"/>
      <c r="U21" s="281"/>
      <c r="V21" s="281"/>
      <c r="W21" s="281"/>
      <c r="X21" s="281"/>
      <c r="Y21" s="281"/>
    </row>
    <row r="22" spans="1:25" ht="13.5" customHeight="1" x14ac:dyDescent="0.3">
      <c r="A22" s="95"/>
      <c r="B22" s="419"/>
      <c r="C22" s="419"/>
      <c r="D22" s="419"/>
      <c r="E22" s="419"/>
      <c r="F22" s="419"/>
      <c r="G22" s="419"/>
      <c r="H22" s="419"/>
      <c r="I22" s="419"/>
      <c r="J22" s="419"/>
      <c r="K22" s="419"/>
      <c r="L22" s="419"/>
      <c r="M22" s="419"/>
      <c r="N22" s="419"/>
      <c r="O22" s="419"/>
      <c r="P22" s="95"/>
      <c r="S22" s="281"/>
      <c r="T22" s="281"/>
      <c r="U22" s="281"/>
      <c r="V22" s="281"/>
      <c r="W22" s="281"/>
      <c r="X22" s="281"/>
      <c r="Y22" s="281"/>
    </row>
    <row r="23" spans="1:25" s="6" customFormat="1" ht="15" customHeight="1" x14ac:dyDescent="0.3">
      <c r="A23" s="95"/>
      <c r="B23" s="419" t="s">
        <v>20</v>
      </c>
      <c r="C23" s="419"/>
      <c r="D23" s="419" t="s">
        <v>20</v>
      </c>
      <c r="E23" s="419"/>
      <c r="F23" s="419"/>
      <c r="G23" s="419"/>
      <c r="H23" s="419"/>
      <c r="I23" s="419" t="s">
        <v>20</v>
      </c>
      <c r="J23" s="419"/>
      <c r="K23" s="419"/>
      <c r="L23" s="419"/>
      <c r="M23" s="419" t="s">
        <v>20</v>
      </c>
      <c r="N23" s="419"/>
      <c r="O23" s="419"/>
      <c r="P23" s="95"/>
      <c r="S23" s="281"/>
      <c r="T23" s="281"/>
      <c r="U23" s="281"/>
      <c r="V23" s="281"/>
      <c r="W23" s="281"/>
      <c r="X23" s="281"/>
      <c r="Y23" s="281"/>
    </row>
    <row r="24" spans="1:25" s="6" customFormat="1" ht="15" customHeight="1" x14ac:dyDescent="0.3">
      <c r="A24" s="95"/>
      <c r="B24" s="90"/>
      <c r="C24" s="90"/>
      <c r="D24" s="90"/>
      <c r="E24" s="90"/>
      <c r="F24" s="90"/>
      <c r="G24" s="90"/>
      <c r="H24" s="90"/>
      <c r="I24" s="90"/>
      <c r="J24" s="90"/>
      <c r="K24" s="90"/>
      <c r="L24" s="90"/>
      <c r="M24" s="90"/>
      <c r="N24" s="90"/>
      <c r="O24" s="90"/>
      <c r="P24" s="95"/>
      <c r="S24" s="281"/>
      <c r="T24" s="281"/>
      <c r="U24" s="281"/>
      <c r="V24" s="281"/>
      <c r="W24" s="281"/>
      <c r="X24" s="281"/>
      <c r="Y24" s="281"/>
    </row>
    <row r="25" spans="1:25" s="6" customFormat="1" ht="15" customHeight="1" x14ac:dyDescent="0.3">
      <c r="A25" s="95"/>
      <c r="B25" s="90"/>
      <c r="C25" s="90"/>
      <c r="D25" s="90"/>
      <c r="E25" s="90"/>
      <c r="F25" s="90"/>
      <c r="G25" s="90"/>
      <c r="H25" s="90"/>
      <c r="I25" s="90"/>
      <c r="J25" s="90"/>
      <c r="K25" s="90"/>
      <c r="L25" s="90"/>
      <c r="M25" s="90"/>
      <c r="N25" s="90"/>
      <c r="O25" s="90"/>
      <c r="P25" s="95"/>
      <c r="Q25"/>
      <c r="S25" s="281"/>
      <c r="T25" s="281"/>
      <c r="U25" s="281"/>
      <c r="V25" s="281"/>
      <c r="W25" s="281"/>
      <c r="X25" s="281"/>
      <c r="Y25" s="281"/>
    </row>
    <row r="26" spans="1:25" ht="15" customHeight="1" x14ac:dyDescent="0.3">
      <c r="A26" s="95"/>
      <c r="B26" s="92"/>
      <c r="C26" s="395" t="s">
        <v>140</v>
      </c>
      <c r="D26" s="396"/>
      <c r="E26" s="396"/>
      <c r="F26" s="396"/>
      <c r="G26" s="396"/>
      <c r="H26" s="396"/>
      <c r="I26" s="396"/>
      <c r="J26" s="396"/>
      <c r="K26" s="396"/>
      <c r="L26" s="396"/>
      <c r="M26" s="397"/>
      <c r="N26" s="75"/>
      <c r="O26" s="76"/>
      <c r="P26" s="95"/>
      <c r="S26" s="281"/>
      <c r="T26" s="281"/>
      <c r="U26" s="281"/>
      <c r="V26" s="281"/>
      <c r="W26" s="281"/>
      <c r="X26" s="281"/>
      <c r="Y26" s="281"/>
    </row>
    <row r="27" spans="1:25" ht="111.75" customHeight="1" x14ac:dyDescent="0.45">
      <c r="A27" s="95"/>
      <c r="B27" s="38"/>
      <c r="C27" s="304"/>
      <c r="D27" s="305"/>
      <c r="E27" s="305"/>
      <c r="F27" s="306"/>
      <c r="G27" s="304"/>
      <c r="H27" s="305"/>
      <c r="I27" s="305"/>
      <c r="J27" s="305"/>
      <c r="K27" s="306"/>
      <c r="L27" s="304"/>
      <c r="M27" s="305"/>
      <c r="N27" s="140"/>
      <c r="O27" s="92"/>
      <c r="P27" s="95"/>
      <c r="S27" s="281"/>
      <c r="T27" s="281"/>
      <c r="U27" s="281"/>
      <c r="V27" s="281"/>
      <c r="W27" s="281"/>
      <c r="X27" s="281"/>
      <c r="Y27" s="281"/>
    </row>
    <row r="28" spans="1:25" ht="15" customHeight="1" x14ac:dyDescent="0.3">
      <c r="A28" s="95"/>
      <c r="B28" s="91"/>
      <c r="C28" s="307" t="s">
        <v>20</v>
      </c>
      <c r="D28" s="308"/>
      <c r="E28" s="308"/>
      <c r="F28" s="309"/>
      <c r="G28" s="307" t="s">
        <v>20</v>
      </c>
      <c r="H28" s="308"/>
      <c r="I28" s="308"/>
      <c r="J28" s="308"/>
      <c r="K28" s="309"/>
      <c r="L28" s="307" t="s">
        <v>20</v>
      </c>
      <c r="M28" s="308"/>
      <c r="N28" s="141"/>
      <c r="O28" s="91"/>
      <c r="P28" s="95"/>
    </row>
    <row r="29" spans="1:25" ht="15" customHeight="1" x14ac:dyDescent="0.3">
      <c r="A29" s="95"/>
      <c r="B29" s="90"/>
      <c r="C29" s="90"/>
      <c r="D29" s="90"/>
      <c r="E29" s="90"/>
      <c r="F29" s="90"/>
      <c r="G29" s="90"/>
      <c r="H29" s="90"/>
      <c r="I29" s="90"/>
      <c r="J29" s="90"/>
      <c r="K29" s="90"/>
      <c r="L29" s="90"/>
      <c r="M29" s="90"/>
      <c r="N29" s="90"/>
      <c r="O29" s="90"/>
      <c r="P29" s="95"/>
    </row>
    <row r="30" spans="1:25" ht="15" customHeight="1" x14ac:dyDescent="0.3">
      <c r="A30" s="95"/>
      <c r="B30" s="90"/>
      <c r="C30" s="90"/>
      <c r="D30" s="90"/>
      <c r="E30" s="90"/>
      <c r="F30" s="90"/>
      <c r="G30" s="90"/>
      <c r="H30" s="90"/>
      <c r="I30" s="90"/>
      <c r="J30" s="90"/>
      <c r="K30" s="90"/>
      <c r="L30" s="90"/>
      <c r="M30" s="90"/>
      <c r="N30" s="90"/>
      <c r="O30" s="90"/>
      <c r="P30" s="95"/>
    </row>
    <row r="31" spans="1:25" ht="15" customHeight="1" x14ac:dyDescent="0.3">
      <c r="A31" s="95"/>
      <c r="B31" s="420" t="s">
        <v>28</v>
      </c>
      <c r="C31" s="420"/>
      <c r="D31" s="422" t="s">
        <v>430</v>
      </c>
      <c r="E31" s="422"/>
      <c r="F31" s="422"/>
      <c r="G31" s="422"/>
      <c r="H31" s="422"/>
      <c r="I31" s="422" t="s">
        <v>431</v>
      </c>
      <c r="J31" s="422"/>
      <c r="K31" s="422"/>
      <c r="L31" s="422"/>
      <c r="M31" s="422" t="s">
        <v>432</v>
      </c>
      <c r="N31" s="422"/>
      <c r="O31" s="422"/>
      <c r="P31" s="95"/>
      <c r="S31" s="280"/>
      <c r="T31" s="280"/>
      <c r="U31" s="280"/>
      <c r="V31" s="280"/>
      <c r="W31" s="280"/>
      <c r="X31" s="280"/>
      <c r="Y31" s="280"/>
    </row>
    <row r="32" spans="1:25" ht="13.5" customHeight="1" x14ac:dyDescent="0.3">
      <c r="A32" s="95"/>
      <c r="B32" s="419"/>
      <c r="C32" s="419"/>
      <c r="D32" s="419"/>
      <c r="E32" s="419"/>
      <c r="F32" s="419"/>
      <c r="G32" s="419"/>
      <c r="H32" s="419"/>
      <c r="I32" s="419"/>
      <c r="J32" s="419"/>
      <c r="K32" s="419"/>
      <c r="L32" s="419"/>
      <c r="M32" s="419"/>
      <c r="N32" s="419"/>
      <c r="O32" s="419"/>
      <c r="P32" s="95"/>
    </row>
    <row r="33" spans="1:42" ht="13.5" customHeight="1" x14ac:dyDescent="0.3">
      <c r="A33" s="95"/>
      <c r="B33" s="419"/>
      <c r="C33" s="419"/>
      <c r="D33" s="419"/>
      <c r="E33" s="419"/>
      <c r="F33" s="419"/>
      <c r="G33" s="419"/>
      <c r="H33" s="419"/>
      <c r="I33" s="419"/>
      <c r="J33" s="419"/>
      <c r="K33" s="419"/>
      <c r="L33" s="419"/>
      <c r="M33" s="419"/>
      <c r="N33" s="419"/>
      <c r="O33" s="419"/>
      <c r="P33" s="95"/>
    </row>
    <row r="34" spans="1:42" ht="13.5" customHeight="1" x14ac:dyDescent="0.3">
      <c r="A34" s="95"/>
      <c r="B34" s="419"/>
      <c r="C34" s="419"/>
      <c r="D34" s="419"/>
      <c r="E34" s="419"/>
      <c r="F34" s="419"/>
      <c r="G34" s="419"/>
      <c r="H34" s="419"/>
      <c r="I34" s="419"/>
      <c r="J34" s="419"/>
      <c r="K34" s="419"/>
      <c r="L34" s="419"/>
      <c r="M34" s="419"/>
      <c r="N34" s="419"/>
      <c r="O34" s="419"/>
      <c r="P34" s="95"/>
    </row>
    <row r="35" spans="1:42" ht="13.5" customHeight="1" x14ac:dyDescent="0.3">
      <c r="A35" s="95"/>
      <c r="B35" s="419"/>
      <c r="C35" s="419"/>
      <c r="D35" s="419"/>
      <c r="E35" s="419"/>
      <c r="F35" s="419"/>
      <c r="G35" s="419"/>
      <c r="H35" s="419"/>
      <c r="I35" s="419"/>
      <c r="J35" s="419"/>
      <c r="K35" s="419"/>
      <c r="L35" s="419"/>
      <c r="M35" s="419"/>
      <c r="N35" s="419"/>
      <c r="O35" s="419"/>
      <c r="P35" s="95"/>
    </row>
    <row r="36" spans="1:42" ht="13.5" customHeight="1" x14ac:dyDescent="0.3">
      <c r="A36" s="95"/>
      <c r="B36" s="419"/>
      <c r="C36" s="419"/>
      <c r="D36" s="419"/>
      <c r="E36" s="419"/>
      <c r="F36" s="419"/>
      <c r="G36" s="419"/>
      <c r="H36" s="419"/>
      <c r="I36" s="419"/>
      <c r="J36" s="419"/>
      <c r="K36" s="419"/>
      <c r="L36" s="419"/>
      <c r="M36" s="419"/>
      <c r="N36" s="419"/>
      <c r="O36" s="419"/>
      <c r="P36" s="95"/>
    </row>
    <row r="37" spans="1:42" ht="13.5" customHeight="1" x14ac:dyDescent="0.3">
      <c r="A37" s="95"/>
      <c r="B37" s="419"/>
      <c r="C37" s="419"/>
      <c r="D37" s="419"/>
      <c r="E37" s="419"/>
      <c r="F37" s="419"/>
      <c r="G37" s="419"/>
      <c r="H37" s="419"/>
      <c r="I37" s="419"/>
      <c r="J37" s="419"/>
      <c r="K37" s="419"/>
      <c r="L37" s="419"/>
      <c r="M37" s="419"/>
      <c r="N37" s="419"/>
      <c r="O37" s="419"/>
      <c r="P37" s="95"/>
    </row>
    <row r="38" spans="1:42" ht="13.5" customHeight="1" x14ac:dyDescent="0.3">
      <c r="A38" s="95"/>
      <c r="B38" s="419"/>
      <c r="C38" s="419"/>
      <c r="D38" s="419"/>
      <c r="E38" s="419"/>
      <c r="F38" s="419"/>
      <c r="G38" s="419"/>
      <c r="H38" s="419"/>
      <c r="I38" s="419"/>
      <c r="J38" s="419"/>
      <c r="K38" s="419"/>
      <c r="L38" s="419"/>
      <c r="M38" s="419"/>
      <c r="N38" s="419"/>
      <c r="O38" s="419"/>
      <c r="P38" s="95"/>
    </row>
    <row r="39" spans="1:42" ht="13.5" customHeight="1" x14ac:dyDescent="0.3">
      <c r="A39" s="95"/>
      <c r="B39" s="419"/>
      <c r="C39" s="419"/>
      <c r="D39" s="419"/>
      <c r="E39" s="419"/>
      <c r="F39" s="419"/>
      <c r="G39" s="419"/>
      <c r="H39" s="419"/>
      <c r="I39" s="419"/>
      <c r="J39" s="419"/>
      <c r="K39" s="419"/>
      <c r="L39" s="419"/>
      <c r="M39" s="419"/>
      <c r="N39" s="419"/>
      <c r="O39" s="419"/>
      <c r="P39" s="95"/>
    </row>
    <row r="40" spans="1:42" s="6" customFormat="1" ht="15" customHeight="1" x14ac:dyDescent="0.3">
      <c r="A40" s="95"/>
      <c r="B40" s="419" t="s">
        <v>20</v>
      </c>
      <c r="C40" s="419"/>
      <c r="D40" s="419" t="s">
        <v>20</v>
      </c>
      <c r="E40" s="419"/>
      <c r="F40" s="419"/>
      <c r="G40" s="419"/>
      <c r="H40" s="419"/>
      <c r="I40" s="419" t="s">
        <v>20</v>
      </c>
      <c r="J40" s="419"/>
      <c r="K40" s="419"/>
      <c r="L40" s="419"/>
      <c r="M40" s="419" t="s">
        <v>20</v>
      </c>
      <c r="N40" s="419"/>
      <c r="O40" s="419"/>
      <c r="P40" s="95"/>
      <c r="S40"/>
      <c r="T40"/>
      <c r="U40"/>
      <c r="V40"/>
      <c r="W40"/>
      <c r="X40"/>
      <c r="Y40"/>
    </row>
    <row r="41" spans="1:42" ht="15" customHeight="1" x14ac:dyDescent="0.3">
      <c r="A41" s="95"/>
      <c r="B41" s="90"/>
      <c r="C41" s="90"/>
      <c r="D41" s="90"/>
      <c r="E41" s="90"/>
      <c r="F41" s="90"/>
      <c r="G41" s="90"/>
      <c r="H41" s="90"/>
      <c r="I41" s="90"/>
      <c r="J41" s="90"/>
      <c r="K41" s="90"/>
      <c r="L41" s="90"/>
      <c r="M41" s="90"/>
      <c r="N41" s="90"/>
      <c r="O41" s="90"/>
      <c r="P41" s="95"/>
    </row>
    <row r="42" spans="1:42" ht="15" customHeight="1" x14ac:dyDescent="0.45">
      <c r="A42" s="95"/>
      <c r="B42" s="292" t="s">
        <v>439</v>
      </c>
      <c r="C42" s="292"/>
      <c r="D42" s="91"/>
      <c r="E42" s="91"/>
      <c r="F42" s="382" t="str">
        <f>+DISTORSION!E66</f>
        <v>ssanabria</v>
      </c>
      <c r="G42" s="382"/>
      <c r="H42" s="382"/>
      <c r="I42" s="382"/>
      <c r="J42" s="382"/>
      <c r="K42" s="382"/>
      <c r="L42" s="91"/>
      <c r="M42" s="292" t="s">
        <v>438</v>
      </c>
      <c r="N42" s="292"/>
      <c r="O42" s="292"/>
      <c r="P42" s="95"/>
    </row>
    <row r="43" spans="1:42" ht="15" customHeight="1" x14ac:dyDescent="0.3">
      <c r="A43" s="95"/>
      <c r="B43" s="421" t="s">
        <v>45</v>
      </c>
      <c r="C43" s="421"/>
      <c r="D43" s="91"/>
      <c r="E43" s="92"/>
      <c r="F43" s="421" t="s">
        <v>46</v>
      </c>
      <c r="G43" s="421"/>
      <c r="H43" s="421"/>
      <c r="I43" s="421"/>
      <c r="J43" s="421"/>
      <c r="K43" s="421"/>
      <c r="L43" s="92"/>
      <c r="M43" s="421" t="s">
        <v>47</v>
      </c>
      <c r="N43" s="421"/>
      <c r="O43" s="421"/>
      <c r="P43" s="95"/>
    </row>
    <row r="44" spans="1:42" ht="15" customHeight="1" x14ac:dyDescent="0.3">
      <c r="A44" s="95"/>
      <c r="B44" s="90"/>
      <c r="C44" s="142"/>
      <c r="D44" s="142"/>
      <c r="E44" s="142"/>
      <c r="F44" s="142"/>
      <c r="G44" s="90"/>
      <c r="H44" s="90"/>
      <c r="I44" s="142"/>
      <c r="J44" s="142"/>
      <c r="K44" s="142"/>
      <c r="L44" s="142"/>
      <c r="M44" s="90"/>
      <c r="N44" s="90"/>
      <c r="O44" s="90"/>
      <c r="P44" s="95"/>
    </row>
    <row r="45" spans="1:42" ht="18.75" x14ac:dyDescent="0.3">
      <c r="A45" s="95"/>
      <c r="B45" s="92"/>
      <c r="C45" s="76"/>
      <c r="D45" s="76"/>
      <c r="E45" s="76"/>
      <c r="F45" s="66"/>
      <c r="G45" s="66"/>
      <c r="H45" s="66"/>
      <c r="I45" s="66"/>
      <c r="J45" s="66"/>
      <c r="K45" s="66"/>
      <c r="L45" s="66"/>
      <c r="M45" s="66"/>
      <c r="N45" s="66"/>
      <c r="O45" s="66"/>
      <c r="P45" s="95"/>
    </row>
    <row r="46" spans="1:42" ht="15.75" customHeight="1" x14ac:dyDescent="0.3">
      <c r="A46" s="95"/>
      <c r="B46" s="300" t="s">
        <v>49</v>
      </c>
      <c r="C46" s="300"/>
      <c r="D46" s="66"/>
      <c r="E46" s="66"/>
      <c r="F46" s="303"/>
      <c r="G46" s="303"/>
      <c r="H46" s="303"/>
      <c r="I46" s="303"/>
      <c r="J46" s="303"/>
      <c r="K46" s="302"/>
      <c r="L46" s="302"/>
      <c r="M46" s="66"/>
      <c r="N46" s="301" t="s">
        <v>462</v>
      </c>
      <c r="O46" s="301"/>
      <c r="P46" s="95"/>
    </row>
    <row r="47" spans="1:42" ht="20.100000000000001" customHeight="1" x14ac:dyDescent="0.45">
      <c r="A47" s="95"/>
      <c r="B47" s="38"/>
      <c r="C47" s="38"/>
      <c r="D47" s="38"/>
      <c r="E47" s="38"/>
      <c r="F47" s="38"/>
      <c r="G47" s="38"/>
      <c r="H47" s="38"/>
      <c r="I47" s="38"/>
      <c r="J47" s="38"/>
      <c r="K47" s="38"/>
      <c r="L47" s="38"/>
      <c r="M47" s="38"/>
      <c r="N47" s="38"/>
      <c r="O47" s="38"/>
      <c r="P47" s="95"/>
    </row>
    <row r="48" spans="1:42" x14ac:dyDescent="0.2">
      <c r="S48" s="277"/>
      <c r="T48" s="277"/>
      <c r="U48" s="277"/>
      <c r="V48" s="277"/>
      <c r="W48" s="277"/>
      <c r="X48" s="277"/>
      <c r="Y48" s="277"/>
      <c r="Z48" s="277"/>
      <c r="AA48" s="277"/>
      <c r="AB48" s="277"/>
      <c r="AC48" s="277"/>
      <c r="AD48" s="277"/>
      <c r="AE48" s="277"/>
      <c r="AF48" s="277"/>
      <c r="AP48" s="12"/>
    </row>
    <row r="49" spans="19:32" x14ac:dyDescent="0.2">
      <c r="S49" s="277"/>
      <c r="T49" s="277"/>
      <c r="U49" s="278"/>
      <c r="V49" s="278"/>
      <c r="W49" s="278"/>
      <c r="X49" s="278"/>
      <c r="Y49" s="278"/>
      <c r="Z49" s="278"/>
      <c r="AA49" s="278"/>
      <c r="AB49" s="278"/>
      <c r="AC49" s="278"/>
      <c r="AD49" s="278"/>
      <c r="AE49" s="278"/>
      <c r="AF49" s="278"/>
    </row>
    <row r="50" spans="19:32" x14ac:dyDescent="0.2">
      <c r="S50" s="278"/>
      <c r="T50" s="278"/>
      <c r="U50" s="278"/>
      <c r="V50" s="278"/>
      <c r="W50" s="278"/>
      <c r="X50" s="278"/>
      <c r="Y50" s="278"/>
      <c r="Z50" s="278"/>
      <c r="AA50" s="278"/>
      <c r="AB50" s="278"/>
      <c r="AC50" s="278"/>
      <c r="AD50" s="299"/>
      <c r="AE50" s="299"/>
      <c r="AF50" s="299"/>
    </row>
  </sheetData>
  <mergeCells count="58">
    <mergeCell ref="S14:Y14"/>
    <mergeCell ref="S15:Y27"/>
    <mergeCell ref="B7:C7"/>
    <mergeCell ref="B2:B3"/>
    <mergeCell ref="C2:L3"/>
    <mergeCell ref="M2:O3"/>
    <mergeCell ref="C4:E4"/>
    <mergeCell ref="F4:K4"/>
    <mergeCell ref="C6:J6"/>
    <mergeCell ref="B14:O14"/>
    <mergeCell ref="B23:C23"/>
    <mergeCell ref="D23:H23"/>
    <mergeCell ref="C26:M26"/>
    <mergeCell ref="G27:K27"/>
    <mergeCell ref="L27:M27"/>
    <mergeCell ref="S31:Y31"/>
    <mergeCell ref="D32:H39"/>
    <mergeCell ref="I32:L39"/>
    <mergeCell ref="M32:O39"/>
    <mergeCell ref="B42:C42"/>
    <mergeCell ref="G28:K28"/>
    <mergeCell ref="L28:M28"/>
    <mergeCell ref="C27:F27"/>
    <mergeCell ref="C28:F28"/>
    <mergeCell ref="D40:H40"/>
    <mergeCell ref="I40:L40"/>
    <mergeCell ref="Z49:AC49"/>
    <mergeCell ref="AD50:AF50"/>
    <mergeCell ref="B15:C22"/>
    <mergeCell ref="B46:C46"/>
    <mergeCell ref="F46:J46"/>
    <mergeCell ref="K46:L46"/>
    <mergeCell ref="N46:O46"/>
    <mergeCell ref="S48:T49"/>
    <mergeCell ref="U48:AF48"/>
    <mergeCell ref="I23:L23"/>
    <mergeCell ref="M23:O23"/>
    <mergeCell ref="S50:T50"/>
    <mergeCell ref="D15:H22"/>
    <mergeCell ref="M15:O22"/>
    <mergeCell ref="I15:L22"/>
    <mergeCell ref="AD49:AF49"/>
    <mergeCell ref="AE7:AN7"/>
    <mergeCell ref="B32:C39"/>
    <mergeCell ref="B40:C40"/>
    <mergeCell ref="B31:C31"/>
    <mergeCell ref="U50:Y50"/>
    <mergeCell ref="Z50:AC50"/>
    <mergeCell ref="B43:C43"/>
    <mergeCell ref="M42:O42"/>
    <mergeCell ref="F42:K42"/>
    <mergeCell ref="M43:O43"/>
    <mergeCell ref="F43:K43"/>
    <mergeCell ref="M40:O40"/>
    <mergeCell ref="D31:H31"/>
    <mergeCell ref="I31:L31"/>
    <mergeCell ref="M31:O31"/>
    <mergeCell ref="U49:Y49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scale="76" orientation="portrait" r:id="rId1"/>
  <colBreaks count="1" manualBreakCount="1">
    <brk id="16" max="16383" man="1"/>
  </colBreak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23233" r:id="rId4" name="Check Box 1">
              <controlPr defaultSize="0" autoFill="0" autoLine="0" autoPict="0">
                <anchor>
                  <from>
                    <xdr:col>0</xdr:col>
                    <xdr:colOff>0</xdr:colOff>
                    <xdr:row>0</xdr:row>
                    <xdr:rowOff>0</xdr:rowOff>
                  </from>
                  <to>
                    <xdr:col>0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3234" r:id="rId5" name="Check Box 2">
              <controlPr defaultSize="0" autoFill="0" autoLine="0" autoPict="0">
                <anchor>
                  <from>
                    <xdr:col>0</xdr:col>
                    <xdr:colOff>0</xdr:colOff>
                    <xdr:row>0</xdr:row>
                    <xdr:rowOff>0</xdr:rowOff>
                  </from>
                  <to>
                    <xdr:col>0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3235" r:id="rId6" name="Check Box 3">
              <controlPr defaultSize="0" autoFill="0" autoLine="0" autoPict="0">
                <anchor>
                  <from>
                    <xdr:col>0</xdr:col>
                    <xdr:colOff>0</xdr:colOff>
                    <xdr:row>0</xdr:row>
                    <xdr:rowOff>0</xdr:rowOff>
                  </from>
                  <to>
                    <xdr:col>0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3236" r:id="rId7" name="Check Box 4">
              <controlPr defaultSize="0" autoFill="0" autoLine="0" autoPict="0">
                <anchor>
                  <from>
                    <xdr:col>0</xdr:col>
                    <xdr:colOff>0</xdr:colOff>
                    <xdr:row>0</xdr:row>
                    <xdr:rowOff>0</xdr:rowOff>
                  </from>
                  <to>
                    <xdr:col>0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3237" r:id="rId8" name="Check Box 5">
              <controlPr defaultSize="0" autoFill="0" autoLine="0" autoPict="0">
                <anchor>
                  <from>
                    <xdr:col>0</xdr:col>
                    <xdr:colOff>0</xdr:colOff>
                    <xdr:row>0</xdr:row>
                    <xdr:rowOff>0</xdr:rowOff>
                  </from>
                  <to>
                    <xdr:col>0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3238" r:id="rId9" name="Check Box 6">
              <controlPr defaultSize="0" autoFill="0" autoLine="0" autoPict="0">
                <anchor>
                  <from>
                    <xdr:col>0</xdr:col>
                    <xdr:colOff>0</xdr:colOff>
                    <xdr:row>0</xdr:row>
                    <xdr:rowOff>0</xdr:rowOff>
                  </from>
                  <to>
                    <xdr:col>0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3239" r:id="rId10" name="Check Box 7">
              <controlPr defaultSize="0" autoFill="0" autoLine="0" autoPict="0">
                <anchor>
                  <from>
                    <xdr:col>0</xdr:col>
                    <xdr:colOff>0</xdr:colOff>
                    <xdr:row>0</xdr:row>
                    <xdr:rowOff>0</xdr:rowOff>
                  </from>
                  <to>
                    <xdr:col>0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3255" r:id="rId11" name="Check Box 23">
              <controlPr defaultSize="0" autoFill="0" autoLine="0" autoPict="0">
                <anchor moveWithCells="1">
                  <from>
                    <xdr:col>3</xdr:col>
                    <xdr:colOff>219075</xdr:colOff>
                    <xdr:row>6</xdr:row>
                    <xdr:rowOff>9525</xdr:rowOff>
                  </from>
                  <to>
                    <xdr:col>4</xdr:col>
                    <xdr:colOff>0</xdr:colOff>
                    <xdr:row>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3256" r:id="rId12" name="Check Box 24">
              <controlPr defaultSize="0" autoFill="0" autoLine="0" autoPict="0">
                <anchor moveWithCells="1">
                  <from>
                    <xdr:col>3</xdr:col>
                    <xdr:colOff>219075</xdr:colOff>
                    <xdr:row>7</xdr:row>
                    <xdr:rowOff>9525</xdr:rowOff>
                  </from>
                  <to>
                    <xdr:col>4</xdr:col>
                    <xdr:colOff>0</xdr:colOff>
                    <xdr:row>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3257" r:id="rId13" name="Check Box 25">
              <controlPr defaultSize="0" autoFill="0" autoLine="0" autoPict="0">
                <anchor moveWithCells="1">
                  <from>
                    <xdr:col>3</xdr:col>
                    <xdr:colOff>219075</xdr:colOff>
                    <xdr:row>8</xdr:row>
                    <xdr:rowOff>0</xdr:rowOff>
                  </from>
                  <to>
                    <xdr:col>3</xdr:col>
                    <xdr:colOff>400050</xdr:colOff>
                    <xdr:row>8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3258" r:id="rId14" name="Check Box 26">
              <controlPr defaultSize="0" autoFill="0" autoLine="0" autoPict="0">
                <anchor moveWithCells="1">
                  <from>
                    <xdr:col>3</xdr:col>
                    <xdr:colOff>219075</xdr:colOff>
                    <xdr:row>9</xdr:row>
                    <xdr:rowOff>0</xdr:rowOff>
                  </from>
                  <to>
                    <xdr:col>3</xdr:col>
                    <xdr:colOff>400050</xdr:colOff>
                    <xdr:row>9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3259" r:id="rId15" name="Check Box 27">
              <controlPr defaultSize="0" autoFill="0" autoLine="0" autoPict="0">
                <anchor moveWithCells="1">
                  <from>
                    <xdr:col>11</xdr:col>
                    <xdr:colOff>657225</xdr:colOff>
                    <xdr:row>6</xdr:row>
                    <xdr:rowOff>9525</xdr:rowOff>
                  </from>
                  <to>
                    <xdr:col>12</xdr:col>
                    <xdr:colOff>0</xdr:colOff>
                    <xdr:row>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3260" r:id="rId16" name="Check Box 28">
              <controlPr defaultSize="0" autoFill="0" autoLine="0" autoPict="0">
                <anchor moveWithCells="1">
                  <from>
                    <xdr:col>11</xdr:col>
                    <xdr:colOff>657225</xdr:colOff>
                    <xdr:row>7</xdr:row>
                    <xdr:rowOff>9525</xdr:rowOff>
                  </from>
                  <to>
                    <xdr:col>12</xdr:col>
                    <xdr:colOff>0</xdr:colOff>
                    <xdr:row>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3261" r:id="rId17" name="Check Box 29">
              <controlPr defaultSize="0" autoFill="0" autoLine="0" autoPict="0">
                <anchor moveWithCells="1">
                  <from>
                    <xdr:col>11</xdr:col>
                    <xdr:colOff>657225</xdr:colOff>
                    <xdr:row>8</xdr:row>
                    <xdr:rowOff>0</xdr:rowOff>
                  </from>
                  <to>
                    <xdr:col>12</xdr:col>
                    <xdr:colOff>0</xdr:colOff>
                    <xdr:row>8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3268" r:id="rId18" name="Check Box 36">
              <controlPr defaultSize="0" autoFill="0" autoLine="0" autoPict="0">
                <anchor moveWithCells="1">
                  <from>
                    <xdr:col>3</xdr:col>
                    <xdr:colOff>219075</xdr:colOff>
                    <xdr:row>6</xdr:row>
                    <xdr:rowOff>9525</xdr:rowOff>
                  </from>
                  <to>
                    <xdr:col>4</xdr:col>
                    <xdr:colOff>0</xdr:colOff>
                    <xdr:row>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3269" r:id="rId19" name="Check Box 37">
              <controlPr defaultSize="0" autoFill="0" autoLine="0" autoPict="0">
                <anchor moveWithCells="1">
                  <from>
                    <xdr:col>3</xdr:col>
                    <xdr:colOff>219075</xdr:colOff>
                    <xdr:row>7</xdr:row>
                    <xdr:rowOff>9525</xdr:rowOff>
                  </from>
                  <to>
                    <xdr:col>4</xdr:col>
                    <xdr:colOff>0</xdr:colOff>
                    <xdr:row>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3270" r:id="rId20" name="Check Box 38">
              <controlPr defaultSize="0" autoFill="0" autoLine="0" autoPict="0">
                <anchor moveWithCells="1">
                  <from>
                    <xdr:col>11</xdr:col>
                    <xdr:colOff>657225</xdr:colOff>
                    <xdr:row>6</xdr:row>
                    <xdr:rowOff>9525</xdr:rowOff>
                  </from>
                  <to>
                    <xdr:col>12</xdr:col>
                    <xdr:colOff>0</xdr:colOff>
                    <xdr:row>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3271" r:id="rId21" name="Check Box 39">
              <controlPr defaultSize="0" autoFill="0" autoLine="0" autoPict="0">
                <anchor moveWithCells="1">
                  <from>
                    <xdr:col>11</xdr:col>
                    <xdr:colOff>657225</xdr:colOff>
                    <xdr:row>7</xdr:row>
                    <xdr:rowOff>9525</xdr:rowOff>
                  </from>
                  <to>
                    <xdr:col>12</xdr:col>
                    <xdr:colOff>0</xdr:colOff>
                    <xdr:row>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3272" r:id="rId22" name="Check Box 40">
              <controlPr defaultSize="0" autoFill="0" autoLine="0" autoPict="0">
                <anchor moveWithCells="1">
                  <from>
                    <xdr:col>11</xdr:col>
                    <xdr:colOff>657225</xdr:colOff>
                    <xdr:row>8</xdr:row>
                    <xdr:rowOff>0</xdr:rowOff>
                  </from>
                  <to>
                    <xdr:col>12</xdr:col>
                    <xdr:colOff>0</xdr:colOff>
                    <xdr:row>8</xdr:row>
                    <xdr:rowOff>180975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Hoja9"/>
  <dimension ref="A1:AP56"/>
  <sheetViews>
    <sheetView showGridLines="0" view="pageBreakPreview" topLeftCell="C3" zoomScale="130" zoomScaleNormal="154" zoomScaleSheetLayoutView="130" workbookViewId="0">
      <selection activeCell="O35" sqref="O35"/>
    </sheetView>
  </sheetViews>
  <sheetFormatPr baseColWidth="10" defaultColWidth="11.42578125" defaultRowHeight="12.75" x14ac:dyDescent="0.2"/>
  <cols>
    <col min="1" max="1" width="3.28515625" customWidth="1"/>
    <col min="2" max="2" width="19.28515625" customWidth="1"/>
    <col min="3" max="3" width="9.140625" customWidth="1"/>
    <col min="4" max="4" width="6.140625" customWidth="1"/>
    <col min="5" max="5" width="7.7109375" customWidth="1"/>
    <col min="6" max="6" width="4.28515625" customWidth="1"/>
    <col min="7" max="7" width="5.140625" customWidth="1"/>
    <col min="8" max="8" width="4.5703125" customWidth="1"/>
    <col min="9" max="9" width="4.85546875" customWidth="1"/>
    <col min="10" max="10" width="4.28515625" customWidth="1"/>
    <col min="11" max="11" width="7" customWidth="1"/>
    <col min="12" max="12" width="12.42578125" customWidth="1"/>
    <col min="13" max="13" width="13" customWidth="1"/>
    <col min="14" max="14" width="8.85546875" customWidth="1"/>
    <col min="15" max="15" width="7.5703125" customWidth="1"/>
    <col min="16" max="16" width="3.28515625" customWidth="1"/>
  </cols>
  <sheetData>
    <row r="1" spans="1:40" ht="20.100000000000001" customHeight="1" x14ac:dyDescent="0.45">
      <c r="A1" s="38"/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  <c r="O1" s="38"/>
      <c r="P1" s="38"/>
    </row>
    <row r="2" spans="1:40" ht="27.75" customHeight="1" x14ac:dyDescent="0.45">
      <c r="A2" s="38"/>
      <c r="B2" s="332"/>
      <c r="C2" s="339" t="s">
        <v>141</v>
      </c>
      <c r="D2" s="340"/>
      <c r="E2" s="340"/>
      <c r="F2" s="340"/>
      <c r="G2" s="340"/>
      <c r="H2" s="340"/>
      <c r="I2" s="340"/>
      <c r="J2" s="340"/>
      <c r="K2" s="340"/>
      <c r="L2" s="340"/>
      <c r="M2" s="318" t="s">
        <v>51</v>
      </c>
      <c r="N2" s="319"/>
      <c r="O2" s="320"/>
      <c r="P2" s="38"/>
    </row>
    <row r="3" spans="1:40" ht="27.75" customHeight="1" x14ac:dyDescent="0.45">
      <c r="A3" s="38"/>
      <c r="B3" s="333"/>
      <c r="C3" s="342"/>
      <c r="D3" s="343"/>
      <c r="E3" s="343"/>
      <c r="F3" s="343"/>
      <c r="G3" s="343"/>
      <c r="H3" s="343"/>
      <c r="I3" s="343"/>
      <c r="J3" s="343"/>
      <c r="K3" s="343"/>
      <c r="L3" s="343"/>
      <c r="M3" s="321"/>
      <c r="N3" s="322"/>
      <c r="O3" s="323"/>
      <c r="P3" s="38"/>
    </row>
    <row r="4" spans="1:40" ht="18.75" x14ac:dyDescent="0.45">
      <c r="A4" s="38"/>
      <c r="B4" s="60" t="s">
        <v>52</v>
      </c>
      <c r="C4" s="335">
        <f>+ACCESSORIES!C4</f>
        <v>0</v>
      </c>
      <c r="D4" s="335"/>
      <c r="E4" s="335"/>
      <c r="F4" s="338"/>
      <c r="G4" s="338"/>
      <c r="H4" s="338"/>
      <c r="I4" s="338"/>
      <c r="J4" s="338"/>
      <c r="K4" s="338"/>
      <c r="L4" s="61" t="s">
        <v>48</v>
      </c>
      <c r="M4" s="180">
        <f>DATOS!AS84</f>
        <v>45331</v>
      </c>
      <c r="N4" s="62"/>
      <c r="O4" s="63"/>
      <c r="P4" s="38"/>
    </row>
    <row r="5" spans="1:40" ht="18.75" x14ac:dyDescent="0.45">
      <c r="A5" s="38"/>
      <c r="B5" s="64" t="s">
        <v>7</v>
      </c>
      <c r="C5" s="65" t="str">
        <f>DATOS!E9</f>
        <v>WINDSHIELD / FRONTSHEIBE</v>
      </c>
      <c r="D5" s="66"/>
      <c r="E5" s="66"/>
      <c r="F5" s="67"/>
      <c r="G5" s="67"/>
      <c r="H5" s="67"/>
      <c r="I5" s="67"/>
      <c r="J5" s="67"/>
      <c r="K5" s="67"/>
      <c r="L5" s="67"/>
      <c r="M5" s="67"/>
      <c r="N5" s="67"/>
      <c r="O5" s="68"/>
      <c r="P5" s="36"/>
      <c r="Q5" s="14"/>
      <c r="R5" s="14"/>
      <c r="S5" s="14"/>
    </row>
    <row r="6" spans="1:40" ht="18.75" x14ac:dyDescent="0.45">
      <c r="A6" s="38"/>
      <c r="B6" s="69" t="s">
        <v>53</v>
      </c>
      <c r="C6" s="336" t="s">
        <v>54</v>
      </c>
      <c r="D6" s="336"/>
      <c r="E6" s="336"/>
      <c r="F6" s="336"/>
      <c r="G6" s="336"/>
      <c r="H6" s="336"/>
      <c r="I6" s="336"/>
      <c r="J6" s="336"/>
      <c r="K6" s="70"/>
      <c r="L6" s="71"/>
      <c r="M6" s="70"/>
      <c r="N6" s="70"/>
      <c r="O6" s="72"/>
      <c r="P6" s="38"/>
      <c r="R6" s="6"/>
      <c r="S6" s="8"/>
      <c r="T6" s="8"/>
      <c r="U6" s="8"/>
      <c r="V6" s="8"/>
      <c r="W6" s="8"/>
    </row>
    <row r="7" spans="1:40" ht="15" customHeight="1" x14ac:dyDescent="0.45">
      <c r="A7" s="38"/>
      <c r="B7" s="337" t="s">
        <v>55</v>
      </c>
      <c r="C7" s="338"/>
      <c r="D7" s="73"/>
      <c r="E7" s="157" t="s">
        <v>56</v>
      </c>
      <c r="F7" s="158"/>
      <c r="G7" s="158"/>
      <c r="H7" s="157"/>
      <c r="I7" s="157"/>
      <c r="J7" s="157"/>
      <c r="K7" s="157"/>
      <c r="L7" s="157"/>
      <c r="M7" s="157" t="s">
        <v>57</v>
      </c>
      <c r="N7" s="157"/>
      <c r="O7" s="159"/>
      <c r="R7" s="6"/>
      <c r="S7" s="8"/>
      <c r="T7" s="8"/>
      <c r="U7" s="8"/>
      <c r="V7" s="8"/>
      <c r="W7" s="8"/>
      <c r="AE7" s="249" t="s">
        <v>456</v>
      </c>
      <c r="AF7" s="249"/>
      <c r="AG7" s="249"/>
      <c r="AH7" s="249"/>
      <c r="AI7" s="249"/>
      <c r="AJ7" s="249"/>
      <c r="AK7" s="249"/>
      <c r="AL7" s="249"/>
      <c r="AM7" s="249"/>
      <c r="AN7" s="249"/>
    </row>
    <row r="8" spans="1:40" ht="15" customHeight="1" x14ac:dyDescent="0.45">
      <c r="A8" s="38"/>
      <c r="B8" s="75"/>
      <c r="C8" s="76"/>
      <c r="D8" s="76"/>
      <c r="E8" s="8" t="s">
        <v>58</v>
      </c>
      <c r="F8" s="10"/>
      <c r="G8" s="10"/>
      <c r="H8" s="8"/>
      <c r="I8" s="8"/>
      <c r="J8" s="8"/>
      <c r="K8" s="8"/>
      <c r="L8" s="8"/>
      <c r="M8" s="8" t="s">
        <v>59</v>
      </c>
      <c r="N8" s="8"/>
      <c r="O8" s="160"/>
      <c r="R8" s="6"/>
      <c r="S8" s="8"/>
      <c r="T8" s="8"/>
      <c r="U8" s="8"/>
      <c r="V8" s="8"/>
      <c r="W8" s="8"/>
      <c r="AE8" s="38"/>
      <c r="AF8" s="38"/>
      <c r="AG8" s="38"/>
      <c r="AH8" s="38"/>
      <c r="AI8" s="38"/>
      <c r="AJ8" s="38"/>
      <c r="AK8" s="38"/>
      <c r="AL8" s="38"/>
      <c r="AM8" s="38"/>
      <c r="AN8" s="38"/>
    </row>
    <row r="9" spans="1:40" ht="15" customHeight="1" x14ac:dyDescent="0.45">
      <c r="A9" s="38"/>
      <c r="B9" s="77"/>
      <c r="C9" s="66"/>
      <c r="D9" s="66"/>
      <c r="E9" s="8" t="s">
        <v>60</v>
      </c>
      <c r="F9" s="8"/>
      <c r="G9" s="8"/>
      <c r="H9" s="8"/>
      <c r="I9" s="8"/>
      <c r="J9" s="8"/>
      <c r="K9" s="8"/>
      <c r="L9" s="8"/>
      <c r="M9" s="8" t="s">
        <v>61</v>
      </c>
      <c r="N9" s="8"/>
      <c r="O9" s="160"/>
      <c r="R9" s="6"/>
      <c r="S9" s="8"/>
      <c r="T9" s="8"/>
      <c r="U9" s="8"/>
      <c r="V9" s="8"/>
      <c r="W9" s="8"/>
    </row>
    <row r="10" spans="1:40" ht="15" customHeight="1" x14ac:dyDescent="0.45">
      <c r="A10" s="38"/>
      <c r="B10" s="78"/>
      <c r="C10" s="79"/>
      <c r="D10" s="79"/>
      <c r="E10" s="79" t="s">
        <v>62</v>
      </c>
      <c r="F10" s="79"/>
      <c r="G10" s="79"/>
      <c r="H10" s="79"/>
      <c r="I10" s="79"/>
      <c r="J10" s="79"/>
      <c r="K10" s="79"/>
      <c r="L10" s="79"/>
      <c r="M10" s="79"/>
      <c r="N10" s="79"/>
      <c r="O10" s="80"/>
      <c r="P10" s="38"/>
      <c r="R10" s="6"/>
      <c r="S10" s="8"/>
      <c r="T10" s="8"/>
      <c r="U10" s="8"/>
      <c r="V10" s="8"/>
      <c r="W10" s="8"/>
    </row>
    <row r="11" spans="1:40" ht="15" customHeight="1" x14ac:dyDescent="0.45">
      <c r="A11" s="38"/>
      <c r="B11" s="66"/>
      <c r="C11" s="66"/>
      <c r="D11" s="66"/>
      <c r="E11" s="66"/>
      <c r="F11" s="66"/>
      <c r="G11" s="66"/>
      <c r="H11" s="66"/>
      <c r="I11" s="66"/>
      <c r="J11" s="66"/>
      <c r="K11" s="66"/>
      <c r="L11" s="66"/>
      <c r="M11" s="66"/>
      <c r="N11" s="66"/>
      <c r="O11" s="66"/>
      <c r="P11" s="38"/>
      <c r="R11" s="6"/>
      <c r="S11" s="8"/>
      <c r="T11" s="8"/>
      <c r="U11" s="8"/>
      <c r="V11" s="8"/>
      <c r="W11" s="8"/>
    </row>
    <row r="12" spans="1:40" ht="14.25" customHeight="1" x14ac:dyDescent="0.45">
      <c r="A12" s="38"/>
      <c r="B12" s="66"/>
      <c r="C12" s="294" t="s">
        <v>31</v>
      </c>
      <c r="D12" s="295"/>
      <c r="E12" s="295"/>
      <c r="F12" s="295"/>
      <c r="G12" s="295"/>
      <c r="H12" s="295"/>
      <c r="I12" s="295"/>
      <c r="J12" s="295"/>
      <c r="K12" s="295"/>
      <c r="L12" s="295"/>
      <c r="M12" s="317"/>
      <c r="N12" s="66"/>
      <c r="O12" s="66"/>
      <c r="P12" s="38"/>
      <c r="R12" s="6"/>
      <c r="S12" s="8"/>
      <c r="T12" s="8"/>
      <c r="U12" s="8"/>
      <c r="V12" s="8"/>
      <c r="W12" s="8"/>
    </row>
    <row r="13" spans="1:40" ht="15" customHeight="1" x14ac:dyDescent="0.45">
      <c r="A13" s="38"/>
      <c r="B13" s="102"/>
      <c r="C13" s="399"/>
      <c r="D13" s="398"/>
      <c r="E13" s="398"/>
      <c r="F13" s="398"/>
      <c r="G13" s="398"/>
      <c r="H13" s="398"/>
      <c r="I13" s="398"/>
      <c r="J13" s="398"/>
      <c r="K13" s="398"/>
      <c r="L13" s="398"/>
      <c r="M13" s="400"/>
      <c r="N13" s="102"/>
      <c r="O13" s="102"/>
      <c r="P13" s="38"/>
    </row>
    <row r="14" spans="1:40" ht="15" customHeight="1" x14ac:dyDescent="0.45">
      <c r="A14" s="38"/>
      <c r="B14" s="76"/>
      <c r="C14" s="401"/>
      <c r="D14" s="365"/>
      <c r="E14" s="365"/>
      <c r="F14" s="365"/>
      <c r="G14" s="365"/>
      <c r="H14" s="365"/>
      <c r="I14" s="365"/>
      <c r="J14" s="365"/>
      <c r="K14" s="365"/>
      <c r="L14" s="365"/>
      <c r="M14" s="402"/>
      <c r="N14" s="76"/>
      <c r="O14" s="76"/>
      <c r="P14" s="38"/>
      <c r="S14" s="15" t="s">
        <v>142</v>
      </c>
      <c r="T14" s="15"/>
      <c r="U14" s="15"/>
      <c r="V14" s="15"/>
      <c r="W14" s="15"/>
      <c r="X14" s="15"/>
      <c r="Y14" s="15"/>
    </row>
    <row r="15" spans="1:40" ht="13.5" customHeight="1" x14ac:dyDescent="0.45">
      <c r="A15" s="38"/>
      <c r="B15" s="76"/>
      <c r="C15" s="401"/>
      <c r="D15" s="365"/>
      <c r="E15" s="365"/>
      <c r="F15" s="365"/>
      <c r="G15" s="365"/>
      <c r="H15" s="365"/>
      <c r="I15" s="365"/>
      <c r="J15" s="365"/>
      <c r="K15" s="365"/>
      <c r="L15" s="365"/>
      <c r="M15" s="402"/>
      <c r="N15" s="76"/>
      <c r="O15" s="76"/>
      <c r="P15" s="38"/>
      <c r="S15" s="16"/>
      <c r="T15" s="16"/>
      <c r="U15" s="16"/>
      <c r="V15" s="16"/>
      <c r="W15" s="16"/>
      <c r="X15" s="16"/>
      <c r="Y15" s="16"/>
    </row>
    <row r="16" spans="1:40" ht="13.5" customHeight="1" x14ac:dyDescent="0.45">
      <c r="A16" s="38"/>
      <c r="B16" s="76"/>
      <c r="C16" s="401"/>
      <c r="D16" s="365"/>
      <c r="E16" s="365"/>
      <c r="F16" s="365"/>
      <c r="G16" s="365"/>
      <c r="H16" s="365"/>
      <c r="I16" s="365"/>
      <c r="J16" s="365"/>
      <c r="K16" s="365"/>
      <c r="L16" s="365"/>
      <c r="M16" s="402"/>
      <c r="N16" s="76"/>
      <c r="O16" s="76"/>
      <c r="P16" s="38"/>
      <c r="S16" s="16"/>
      <c r="T16" s="16"/>
      <c r="U16" s="16"/>
      <c r="V16" s="16"/>
      <c r="W16" s="16"/>
      <c r="X16" s="16"/>
      <c r="Y16" s="16"/>
    </row>
    <row r="17" spans="1:25" ht="13.5" customHeight="1" x14ac:dyDescent="0.45">
      <c r="A17" s="38"/>
      <c r="B17" s="76"/>
      <c r="C17" s="401"/>
      <c r="D17" s="365"/>
      <c r="E17" s="365"/>
      <c r="F17" s="365"/>
      <c r="G17" s="365"/>
      <c r="H17" s="365"/>
      <c r="I17" s="365"/>
      <c r="J17" s="365"/>
      <c r="K17" s="365"/>
      <c r="L17" s="365"/>
      <c r="M17" s="402"/>
      <c r="N17" s="76"/>
      <c r="O17" s="76"/>
      <c r="P17" s="38"/>
      <c r="S17" s="16"/>
      <c r="T17" s="16"/>
      <c r="U17" s="16"/>
      <c r="V17" s="16"/>
      <c r="W17" s="16"/>
      <c r="X17" s="16"/>
      <c r="Y17" s="16"/>
    </row>
    <row r="18" spans="1:25" ht="13.5" customHeight="1" x14ac:dyDescent="0.45">
      <c r="A18" s="38"/>
      <c r="B18" s="76"/>
      <c r="C18" s="401"/>
      <c r="D18" s="365"/>
      <c r="E18" s="365"/>
      <c r="F18" s="365"/>
      <c r="G18" s="365"/>
      <c r="H18" s="365"/>
      <c r="I18" s="365"/>
      <c r="J18" s="365"/>
      <c r="K18" s="365"/>
      <c r="L18" s="365"/>
      <c r="M18" s="402"/>
      <c r="N18" s="76"/>
      <c r="O18" s="76"/>
      <c r="P18" s="38"/>
      <c r="S18" s="16"/>
      <c r="T18" s="16"/>
      <c r="U18" s="16"/>
      <c r="V18" s="16"/>
      <c r="W18" s="16"/>
      <c r="X18" s="16"/>
      <c r="Y18" s="16"/>
    </row>
    <row r="19" spans="1:25" ht="13.5" customHeight="1" x14ac:dyDescent="0.45">
      <c r="A19" s="38"/>
      <c r="B19" s="76"/>
      <c r="C19" s="401"/>
      <c r="D19" s="365"/>
      <c r="E19" s="365"/>
      <c r="F19" s="365"/>
      <c r="G19" s="365"/>
      <c r="H19" s="365"/>
      <c r="I19" s="365"/>
      <c r="J19" s="365"/>
      <c r="K19" s="365"/>
      <c r="L19" s="365"/>
      <c r="M19" s="402"/>
      <c r="N19" s="76"/>
      <c r="O19" s="76"/>
      <c r="P19" s="38"/>
      <c r="S19" s="16"/>
      <c r="T19" s="16"/>
      <c r="U19" s="16"/>
      <c r="V19" s="16"/>
      <c r="W19" s="16"/>
      <c r="X19" s="16"/>
      <c r="Y19" s="16"/>
    </row>
    <row r="20" spans="1:25" ht="13.5" customHeight="1" x14ac:dyDescent="0.45">
      <c r="A20" s="38"/>
      <c r="B20" s="76"/>
      <c r="C20" s="401"/>
      <c r="D20" s="365"/>
      <c r="E20" s="365"/>
      <c r="F20" s="365"/>
      <c r="G20" s="365"/>
      <c r="H20" s="365"/>
      <c r="I20" s="365"/>
      <c r="J20" s="365"/>
      <c r="K20" s="365"/>
      <c r="L20" s="365"/>
      <c r="M20" s="402"/>
      <c r="N20" s="76"/>
      <c r="O20" s="76"/>
      <c r="P20" s="38"/>
      <c r="S20" s="16"/>
      <c r="T20" s="16"/>
      <c r="U20" s="16"/>
      <c r="V20" s="16"/>
      <c r="W20" s="16"/>
      <c r="X20" s="16"/>
      <c r="Y20" s="16"/>
    </row>
    <row r="21" spans="1:25" ht="13.5" customHeight="1" x14ac:dyDescent="0.45">
      <c r="A21" s="38"/>
      <c r="B21" s="76"/>
      <c r="C21" s="401"/>
      <c r="D21" s="365"/>
      <c r="E21" s="365"/>
      <c r="F21" s="365"/>
      <c r="G21" s="365"/>
      <c r="H21" s="365"/>
      <c r="I21" s="365"/>
      <c r="J21" s="365"/>
      <c r="K21" s="365"/>
      <c r="L21" s="365"/>
      <c r="M21" s="402"/>
      <c r="N21" s="76"/>
      <c r="O21" s="76"/>
      <c r="P21" s="38"/>
      <c r="S21" s="16"/>
      <c r="T21" s="16"/>
      <c r="U21" s="16"/>
      <c r="V21" s="16"/>
      <c r="W21" s="16"/>
      <c r="X21" s="16"/>
      <c r="Y21" s="16"/>
    </row>
    <row r="22" spans="1:25" ht="13.5" customHeight="1" x14ac:dyDescent="0.45">
      <c r="A22" s="38"/>
      <c r="B22" s="76"/>
      <c r="C22" s="401"/>
      <c r="D22" s="365"/>
      <c r="E22" s="365"/>
      <c r="F22" s="365"/>
      <c r="G22" s="365"/>
      <c r="H22" s="365"/>
      <c r="I22" s="365"/>
      <c r="J22" s="365"/>
      <c r="K22" s="365"/>
      <c r="L22" s="365"/>
      <c r="M22" s="402"/>
      <c r="N22" s="76"/>
      <c r="O22" s="76"/>
      <c r="P22" s="38"/>
      <c r="S22" s="16"/>
      <c r="T22" s="16"/>
      <c r="U22" s="16"/>
      <c r="V22" s="16"/>
      <c r="W22" s="16"/>
      <c r="X22" s="16"/>
      <c r="Y22" s="16"/>
    </row>
    <row r="23" spans="1:25" ht="13.5" customHeight="1" x14ac:dyDescent="0.45">
      <c r="A23" s="38"/>
      <c r="B23" s="76"/>
      <c r="C23" s="401"/>
      <c r="D23" s="365"/>
      <c r="E23" s="365"/>
      <c r="F23" s="365"/>
      <c r="G23" s="365"/>
      <c r="H23" s="365"/>
      <c r="I23" s="365"/>
      <c r="J23" s="365"/>
      <c r="K23" s="365"/>
      <c r="L23" s="365"/>
      <c r="M23" s="402"/>
      <c r="N23" s="76"/>
      <c r="O23" s="76"/>
      <c r="P23" s="38"/>
      <c r="S23" s="16"/>
      <c r="T23" s="16"/>
      <c r="U23" s="16"/>
      <c r="V23" s="16"/>
      <c r="W23" s="16"/>
      <c r="X23" s="16"/>
      <c r="Y23" s="16"/>
    </row>
    <row r="24" spans="1:25" ht="13.5" customHeight="1" x14ac:dyDescent="0.45">
      <c r="A24" s="38"/>
      <c r="B24" s="76"/>
      <c r="C24" s="401"/>
      <c r="D24" s="365"/>
      <c r="E24" s="365"/>
      <c r="F24" s="365"/>
      <c r="G24" s="365"/>
      <c r="H24" s="365"/>
      <c r="I24" s="365"/>
      <c r="J24" s="365"/>
      <c r="K24" s="365"/>
      <c r="L24" s="365"/>
      <c r="M24" s="402"/>
      <c r="N24" s="76"/>
      <c r="O24" s="76"/>
      <c r="P24" s="38"/>
      <c r="S24" s="16"/>
      <c r="T24" s="16"/>
      <c r="U24" s="16"/>
      <c r="V24" s="16"/>
      <c r="W24" s="16"/>
      <c r="X24" s="16"/>
      <c r="Y24" s="16"/>
    </row>
    <row r="25" spans="1:25" ht="13.5" customHeight="1" x14ac:dyDescent="0.45">
      <c r="A25" s="38"/>
      <c r="B25" s="76"/>
      <c r="C25" s="401"/>
      <c r="D25" s="365"/>
      <c r="E25" s="365"/>
      <c r="F25" s="365"/>
      <c r="G25" s="365"/>
      <c r="H25" s="365"/>
      <c r="I25" s="365"/>
      <c r="J25" s="365"/>
      <c r="K25" s="365"/>
      <c r="L25" s="365"/>
      <c r="M25" s="402"/>
      <c r="N25" s="76"/>
      <c r="O25" s="76"/>
      <c r="P25" s="38"/>
      <c r="S25" s="16"/>
      <c r="T25" s="16"/>
      <c r="U25" s="16"/>
      <c r="V25" s="16"/>
      <c r="W25" s="16"/>
      <c r="X25" s="16"/>
      <c r="Y25" s="16"/>
    </row>
    <row r="26" spans="1:25" ht="13.5" customHeight="1" x14ac:dyDescent="0.45">
      <c r="A26" s="38"/>
      <c r="B26" s="76"/>
      <c r="C26" s="401"/>
      <c r="D26" s="365"/>
      <c r="E26" s="365"/>
      <c r="F26" s="365"/>
      <c r="G26" s="365"/>
      <c r="H26" s="365"/>
      <c r="I26" s="365"/>
      <c r="J26" s="365"/>
      <c r="K26" s="365"/>
      <c r="L26" s="365"/>
      <c r="M26" s="402"/>
      <c r="N26" s="76"/>
      <c r="O26" s="76"/>
      <c r="P26" s="38"/>
      <c r="S26" s="16"/>
      <c r="T26" s="16"/>
      <c r="U26" s="16"/>
      <c r="V26" s="16"/>
      <c r="W26" s="16"/>
      <c r="X26" s="16"/>
      <c r="Y26" s="16"/>
    </row>
    <row r="27" spans="1:25" ht="13.5" customHeight="1" x14ac:dyDescent="0.45">
      <c r="A27" s="38"/>
      <c r="B27" s="76"/>
      <c r="C27" s="403"/>
      <c r="D27" s="404"/>
      <c r="E27" s="404"/>
      <c r="F27" s="404"/>
      <c r="G27" s="404"/>
      <c r="H27" s="404"/>
      <c r="I27" s="404"/>
      <c r="J27" s="404"/>
      <c r="K27" s="404"/>
      <c r="L27" s="404"/>
      <c r="M27" s="405"/>
      <c r="N27" s="76"/>
      <c r="O27" s="76"/>
      <c r="P27" s="38"/>
      <c r="S27" s="16"/>
      <c r="T27" s="16"/>
      <c r="U27" s="16"/>
      <c r="V27" s="16"/>
      <c r="W27" s="16"/>
      <c r="X27" s="16"/>
      <c r="Y27" s="16"/>
    </row>
    <row r="28" spans="1:25" ht="13.5" customHeight="1" x14ac:dyDescent="0.45">
      <c r="A28" s="38"/>
      <c r="B28" s="76"/>
      <c r="C28" s="76"/>
      <c r="D28" s="76"/>
      <c r="E28" s="76"/>
      <c r="F28" s="76"/>
      <c r="G28" s="76"/>
      <c r="H28" s="76"/>
      <c r="I28" s="76"/>
      <c r="J28" s="76"/>
      <c r="K28" s="76"/>
      <c r="L28" s="76"/>
      <c r="M28" s="76"/>
      <c r="N28" s="76"/>
      <c r="O28" s="76"/>
      <c r="P28" s="38"/>
      <c r="S28" s="16"/>
      <c r="T28" s="16"/>
      <c r="U28" s="16"/>
      <c r="V28" s="16"/>
      <c r="W28" s="16"/>
      <c r="X28" s="16"/>
      <c r="Y28" s="16"/>
    </row>
    <row r="29" spans="1:25" ht="13.5" customHeight="1" x14ac:dyDescent="0.45">
      <c r="A29" s="38"/>
      <c r="B29" s="76"/>
      <c r="C29" s="76"/>
      <c r="D29" s="76"/>
      <c r="E29" s="76"/>
      <c r="F29" s="76"/>
      <c r="G29" s="76"/>
      <c r="H29" s="76"/>
      <c r="I29" s="76"/>
      <c r="J29" s="76"/>
      <c r="K29" s="76"/>
      <c r="L29" s="76"/>
      <c r="M29" s="76"/>
      <c r="N29" s="76"/>
      <c r="O29" s="76"/>
      <c r="P29" s="38"/>
      <c r="S29" s="16"/>
      <c r="T29" s="16"/>
      <c r="U29" s="16"/>
      <c r="V29" s="16"/>
      <c r="W29" s="16"/>
      <c r="X29" s="16"/>
      <c r="Y29" s="16"/>
    </row>
    <row r="30" spans="1:25" ht="15" customHeight="1" x14ac:dyDescent="0.45">
      <c r="A30" s="38"/>
      <c r="B30" s="76"/>
      <c r="C30" s="294" t="s">
        <v>29</v>
      </c>
      <c r="D30" s="295"/>
      <c r="E30" s="295"/>
      <c r="F30" s="295"/>
      <c r="G30" s="295"/>
      <c r="H30" s="295"/>
      <c r="I30" s="295"/>
      <c r="J30" s="295"/>
      <c r="K30" s="295"/>
      <c r="L30" s="295"/>
      <c r="M30" s="317"/>
      <c r="N30" s="76"/>
      <c r="O30" s="76"/>
      <c r="P30" s="38"/>
      <c r="S30" s="16"/>
      <c r="T30" s="16"/>
      <c r="U30" s="16"/>
      <c r="V30" s="16"/>
      <c r="W30" s="16"/>
      <c r="X30" s="16"/>
      <c r="Y30" s="16"/>
    </row>
    <row r="31" spans="1:25" ht="13.5" customHeight="1" x14ac:dyDescent="0.45">
      <c r="A31" s="38"/>
      <c r="B31" s="76"/>
      <c r="C31" s="324"/>
      <c r="D31" s="325"/>
      <c r="E31" s="325"/>
      <c r="F31" s="325"/>
      <c r="G31" s="325"/>
      <c r="H31" s="325"/>
      <c r="I31" s="325"/>
      <c r="J31" s="325"/>
      <c r="K31" s="325"/>
      <c r="L31" s="325"/>
      <c r="M31" s="326"/>
      <c r="N31" s="76"/>
      <c r="O31" s="76"/>
      <c r="P31" s="38"/>
      <c r="S31" s="16"/>
      <c r="T31" s="16"/>
      <c r="U31" s="16"/>
      <c r="V31" s="16"/>
      <c r="W31" s="16"/>
      <c r="X31" s="16"/>
      <c r="Y31" s="16"/>
    </row>
    <row r="32" spans="1:25" ht="13.5" customHeight="1" x14ac:dyDescent="0.45">
      <c r="A32" s="38"/>
      <c r="B32" s="76"/>
      <c r="C32" s="327"/>
      <c r="D32" s="303"/>
      <c r="E32" s="303"/>
      <c r="F32" s="303"/>
      <c r="G32" s="303"/>
      <c r="H32" s="303"/>
      <c r="I32" s="303"/>
      <c r="J32" s="303"/>
      <c r="K32" s="303"/>
      <c r="L32" s="303"/>
      <c r="M32" s="328"/>
      <c r="N32" s="76"/>
      <c r="O32" s="76"/>
      <c r="P32" s="38"/>
      <c r="S32" s="16"/>
      <c r="T32" s="16"/>
      <c r="U32" s="16"/>
      <c r="V32" s="16"/>
      <c r="W32" s="16"/>
      <c r="X32" s="16"/>
      <c r="Y32" s="16"/>
    </row>
    <row r="33" spans="1:33" ht="13.5" customHeight="1" x14ac:dyDescent="0.45">
      <c r="A33" s="38"/>
      <c r="B33" s="76"/>
      <c r="C33" s="327"/>
      <c r="D33" s="303"/>
      <c r="E33" s="303"/>
      <c r="F33" s="303"/>
      <c r="G33" s="303"/>
      <c r="H33" s="303"/>
      <c r="I33" s="303"/>
      <c r="J33" s="303"/>
      <c r="K33" s="303"/>
      <c r="L33" s="303"/>
      <c r="M33" s="328"/>
      <c r="N33" s="76"/>
      <c r="O33" s="76"/>
      <c r="P33" s="38"/>
      <c r="S33" s="16"/>
      <c r="T33" s="16"/>
      <c r="U33" s="16"/>
      <c r="V33" s="16"/>
      <c r="W33" s="16"/>
      <c r="X33" s="16"/>
      <c r="Y33" s="16"/>
    </row>
    <row r="34" spans="1:33" ht="13.5" customHeight="1" x14ac:dyDescent="0.45">
      <c r="A34" s="38"/>
      <c r="B34" s="76"/>
      <c r="C34" s="327"/>
      <c r="D34" s="303"/>
      <c r="E34" s="303"/>
      <c r="F34" s="303"/>
      <c r="G34" s="303"/>
      <c r="H34" s="303"/>
      <c r="I34" s="303"/>
      <c r="J34" s="303"/>
      <c r="K34" s="303"/>
      <c r="L34" s="303"/>
      <c r="M34" s="328"/>
      <c r="N34" s="76"/>
      <c r="O34" s="76"/>
      <c r="P34" s="38"/>
      <c r="S34" s="16"/>
      <c r="T34" s="16"/>
      <c r="U34" s="16"/>
      <c r="V34" s="16"/>
      <c r="W34" s="16"/>
      <c r="X34" s="16"/>
      <c r="Y34" s="16"/>
    </row>
    <row r="35" spans="1:33" ht="13.5" customHeight="1" x14ac:dyDescent="0.45">
      <c r="A35" s="38"/>
      <c r="B35" s="76"/>
      <c r="C35" s="327"/>
      <c r="D35" s="303"/>
      <c r="E35" s="303"/>
      <c r="F35" s="303"/>
      <c r="G35" s="303"/>
      <c r="H35" s="303"/>
      <c r="I35" s="303"/>
      <c r="J35" s="303"/>
      <c r="K35" s="303"/>
      <c r="L35" s="303"/>
      <c r="M35" s="328"/>
      <c r="N35" s="76"/>
      <c r="O35" s="76"/>
      <c r="P35" s="38"/>
      <c r="S35" s="16"/>
      <c r="T35" s="16"/>
      <c r="U35" s="16"/>
      <c r="V35" s="16"/>
      <c r="W35" s="16"/>
      <c r="X35" s="16"/>
      <c r="Y35" s="16"/>
    </row>
    <row r="36" spans="1:33" s="6" customFormat="1" ht="15" customHeight="1" x14ac:dyDescent="0.45">
      <c r="A36" s="38"/>
      <c r="B36" s="76"/>
      <c r="C36" s="327"/>
      <c r="D36" s="303"/>
      <c r="E36" s="303"/>
      <c r="F36" s="303"/>
      <c r="G36" s="303"/>
      <c r="H36" s="303"/>
      <c r="I36" s="303"/>
      <c r="J36" s="303"/>
      <c r="K36" s="303"/>
      <c r="L36" s="303"/>
      <c r="M36" s="328"/>
      <c r="N36" s="76"/>
      <c r="O36" s="76"/>
      <c r="P36" s="38"/>
      <c r="S36" s="16"/>
      <c r="T36" s="16"/>
      <c r="U36" s="16"/>
      <c r="V36" s="16"/>
      <c r="W36" s="16"/>
      <c r="X36" s="16"/>
      <c r="Y36" s="16"/>
    </row>
    <row r="37" spans="1:33" s="6" customFormat="1" ht="15" customHeight="1" x14ac:dyDescent="0.45">
      <c r="A37" s="38"/>
      <c r="B37" s="76"/>
      <c r="C37" s="327"/>
      <c r="D37" s="303"/>
      <c r="E37" s="303"/>
      <c r="F37" s="303"/>
      <c r="G37" s="303"/>
      <c r="H37" s="303"/>
      <c r="I37" s="303"/>
      <c r="J37" s="303"/>
      <c r="K37" s="303"/>
      <c r="L37" s="303"/>
      <c r="M37" s="328"/>
      <c r="N37" s="76"/>
      <c r="O37" s="76"/>
      <c r="P37" s="38"/>
      <c r="S37" s="16"/>
      <c r="T37" s="16"/>
      <c r="U37" s="16"/>
      <c r="V37" s="16"/>
      <c r="W37" s="16"/>
      <c r="X37" s="16"/>
      <c r="Y37" s="16"/>
    </row>
    <row r="38" spans="1:33" s="6" customFormat="1" ht="15" customHeight="1" x14ac:dyDescent="0.45">
      <c r="A38" s="38"/>
      <c r="B38" s="76"/>
      <c r="C38" s="327"/>
      <c r="D38" s="303"/>
      <c r="E38" s="303"/>
      <c r="F38" s="303"/>
      <c r="G38" s="303"/>
      <c r="H38" s="303"/>
      <c r="I38" s="303"/>
      <c r="J38" s="303"/>
      <c r="K38" s="303"/>
      <c r="L38" s="303"/>
      <c r="M38" s="328"/>
      <c r="N38" s="76"/>
      <c r="O38" s="76"/>
      <c r="P38" s="38"/>
      <c r="S38" s="16"/>
      <c r="T38" s="16"/>
      <c r="U38" s="16"/>
      <c r="V38" s="16"/>
      <c r="W38" s="16"/>
      <c r="X38" s="16"/>
      <c r="Y38" s="16"/>
    </row>
    <row r="39" spans="1:33" s="6" customFormat="1" ht="15" customHeight="1" x14ac:dyDescent="0.45">
      <c r="A39" s="38"/>
      <c r="B39" s="76"/>
      <c r="C39" s="327"/>
      <c r="D39" s="303"/>
      <c r="E39" s="303"/>
      <c r="F39" s="303"/>
      <c r="G39" s="303"/>
      <c r="H39" s="303"/>
      <c r="I39" s="303"/>
      <c r="J39" s="303"/>
      <c r="K39" s="303"/>
      <c r="L39" s="303"/>
      <c r="M39" s="328"/>
      <c r="N39" s="76"/>
      <c r="O39" s="76"/>
      <c r="P39" s="38"/>
      <c r="S39" s="16"/>
      <c r="T39" s="16"/>
      <c r="U39" s="16"/>
      <c r="V39" s="16"/>
      <c r="W39" s="16"/>
      <c r="X39" s="16"/>
      <c r="Y39" s="16"/>
    </row>
    <row r="40" spans="1:33" s="6" customFormat="1" ht="15" customHeight="1" x14ac:dyDescent="0.45">
      <c r="A40" s="38"/>
      <c r="B40" s="76"/>
      <c r="C40" s="327"/>
      <c r="D40" s="303"/>
      <c r="E40" s="303"/>
      <c r="F40" s="303"/>
      <c r="G40" s="303"/>
      <c r="H40" s="303"/>
      <c r="I40" s="303"/>
      <c r="J40" s="303"/>
      <c r="K40" s="303"/>
      <c r="L40" s="303"/>
      <c r="M40" s="328"/>
      <c r="N40" s="76"/>
      <c r="O40" s="76"/>
      <c r="P40" s="38"/>
      <c r="S40" s="16"/>
      <c r="T40" s="16"/>
      <c r="U40" s="16"/>
      <c r="V40" s="16"/>
      <c r="W40" s="16"/>
      <c r="X40" s="16"/>
      <c r="Y40" s="16"/>
    </row>
    <row r="41" spans="1:33" s="6" customFormat="1" ht="15" customHeight="1" x14ac:dyDescent="0.45">
      <c r="A41" s="38"/>
      <c r="B41" s="76"/>
      <c r="C41" s="327"/>
      <c r="D41" s="303"/>
      <c r="E41" s="303"/>
      <c r="F41" s="303"/>
      <c r="G41" s="303"/>
      <c r="H41" s="303"/>
      <c r="I41" s="303"/>
      <c r="J41" s="303"/>
      <c r="K41" s="303"/>
      <c r="L41" s="303"/>
      <c r="M41" s="328"/>
      <c r="N41" s="76"/>
      <c r="O41" s="76"/>
      <c r="P41" s="38"/>
      <c r="S41" s="16"/>
      <c r="T41" s="16"/>
      <c r="U41" s="16"/>
      <c r="V41" s="16"/>
      <c r="W41" s="16"/>
      <c r="X41" s="16"/>
      <c r="Y41" s="16"/>
    </row>
    <row r="42" spans="1:33" s="6" customFormat="1" ht="15" customHeight="1" x14ac:dyDescent="0.45">
      <c r="A42" s="38"/>
      <c r="B42" s="76"/>
      <c r="C42" s="327"/>
      <c r="D42" s="303"/>
      <c r="E42" s="303"/>
      <c r="F42" s="303"/>
      <c r="G42" s="303"/>
      <c r="H42" s="303"/>
      <c r="I42" s="303"/>
      <c r="J42" s="303"/>
      <c r="K42" s="303"/>
      <c r="L42" s="303"/>
      <c r="M42" s="328"/>
      <c r="N42" s="76"/>
      <c r="O42" s="76"/>
      <c r="P42" s="38"/>
      <c r="S42" s="16"/>
      <c r="T42" s="16"/>
      <c r="U42" s="16"/>
      <c r="V42" s="16"/>
      <c r="W42" s="16"/>
      <c r="X42" s="16"/>
      <c r="Y42" s="16"/>
    </row>
    <row r="43" spans="1:33" s="6" customFormat="1" ht="15" customHeight="1" x14ac:dyDescent="0.45">
      <c r="A43" s="38"/>
      <c r="B43" s="76"/>
      <c r="C43" s="327"/>
      <c r="D43" s="303"/>
      <c r="E43" s="303"/>
      <c r="F43" s="303"/>
      <c r="G43" s="303"/>
      <c r="H43" s="303"/>
      <c r="I43" s="303"/>
      <c r="J43" s="303"/>
      <c r="K43" s="303"/>
      <c r="L43" s="303"/>
      <c r="M43" s="328"/>
      <c r="N43" s="76"/>
      <c r="O43" s="76"/>
      <c r="P43" s="38"/>
      <c r="S43" s="16"/>
      <c r="T43" s="16"/>
      <c r="U43" s="16"/>
      <c r="V43" s="16"/>
      <c r="W43" s="16"/>
      <c r="X43" s="16"/>
      <c r="Y43" s="16"/>
    </row>
    <row r="44" spans="1:33" s="6" customFormat="1" ht="15" customHeight="1" x14ac:dyDescent="0.45">
      <c r="A44" s="38"/>
      <c r="B44" s="76"/>
      <c r="C44" s="327"/>
      <c r="D44" s="303"/>
      <c r="E44" s="303"/>
      <c r="F44" s="303"/>
      <c r="G44" s="303"/>
      <c r="H44" s="303"/>
      <c r="I44" s="303"/>
      <c r="J44" s="303"/>
      <c r="K44" s="303"/>
      <c r="L44" s="303"/>
      <c r="M44" s="328"/>
      <c r="N44" s="76"/>
      <c r="O44" s="76"/>
      <c r="P44" s="38"/>
      <c r="S44" s="16"/>
      <c r="T44" s="16"/>
      <c r="U44" s="16"/>
      <c r="V44" s="16"/>
      <c r="W44" s="16"/>
      <c r="X44" s="16"/>
      <c r="Y44" s="16"/>
    </row>
    <row r="45" spans="1:33" s="6" customFormat="1" ht="15" customHeight="1" x14ac:dyDescent="0.45">
      <c r="A45" s="38"/>
      <c r="B45" s="76"/>
      <c r="C45" s="329"/>
      <c r="D45" s="330"/>
      <c r="E45" s="330"/>
      <c r="F45" s="330"/>
      <c r="G45" s="330"/>
      <c r="H45" s="330"/>
      <c r="I45" s="330"/>
      <c r="J45" s="330"/>
      <c r="K45" s="330"/>
      <c r="L45" s="330"/>
      <c r="M45" s="331"/>
      <c r="N45" s="76"/>
      <c r="O45" s="76"/>
      <c r="P45" s="38"/>
      <c r="S45" s="16"/>
      <c r="T45" s="16"/>
      <c r="U45" s="16"/>
      <c r="V45" s="16"/>
      <c r="W45" s="16"/>
      <c r="X45" s="16"/>
      <c r="Y45" s="16"/>
    </row>
    <row r="46" spans="1:33" ht="15" customHeight="1" x14ac:dyDescent="0.45">
      <c r="A46" s="38"/>
      <c r="B46" s="92"/>
      <c r="C46" s="92"/>
      <c r="D46" s="92"/>
      <c r="E46" s="92"/>
      <c r="F46" s="92"/>
      <c r="G46" s="92"/>
      <c r="H46" s="90"/>
      <c r="I46" s="90"/>
      <c r="J46" s="90"/>
      <c r="K46" s="92"/>
      <c r="L46" s="92"/>
      <c r="M46" s="92"/>
      <c r="N46" s="92"/>
      <c r="O46" s="92"/>
      <c r="P46" s="38"/>
    </row>
    <row r="47" spans="1:33" ht="15" customHeight="1" x14ac:dyDescent="0.45">
      <c r="A47" s="38"/>
      <c r="B47" s="90"/>
      <c r="C47" s="90"/>
      <c r="D47" s="90"/>
      <c r="E47" s="90"/>
      <c r="F47" s="90"/>
      <c r="G47" s="90"/>
      <c r="H47" s="90"/>
      <c r="I47" s="90"/>
      <c r="J47" s="90"/>
      <c r="K47" s="90"/>
      <c r="L47" s="90"/>
      <c r="M47" s="90"/>
      <c r="N47" s="90"/>
      <c r="O47" s="90"/>
      <c r="P47" s="38"/>
      <c r="V47" s="11"/>
      <c r="W47" s="10"/>
      <c r="X47" s="10"/>
      <c r="Y47" s="10"/>
      <c r="Z47" s="10"/>
      <c r="AA47" s="10"/>
      <c r="AB47" s="10"/>
      <c r="AC47" s="10"/>
      <c r="AD47" s="10"/>
      <c r="AE47" s="10"/>
      <c r="AF47" s="10"/>
      <c r="AG47" s="10"/>
    </row>
    <row r="48" spans="1:33" ht="15" customHeight="1" x14ac:dyDescent="0.45">
      <c r="A48" s="38"/>
      <c r="B48" s="292" t="s">
        <v>439</v>
      </c>
      <c r="C48" s="292"/>
      <c r="D48" s="91"/>
      <c r="E48" s="91"/>
      <c r="F48" s="382" t="str">
        <f>+ACCESSORIES!F42</f>
        <v>ssanabria</v>
      </c>
      <c r="G48" s="382"/>
      <c r="H48" s="382"/>
      <c r="I48" s="382"/>
      <c r="J48" s="382"/>
      <c r="K48" s="382"/>
      <c r="L48" s="91"/>
      <c r="M48" s="292" t="s">
        <v>441</v>
      </c>
      <c r="N48" s="292"/>
      <c r="O48" s="292"/>
      <c r="P48" s="38"/>
    </row>
    <row r="49" spans="1:42" ht="15" customHeight="1" x14ac:dyDescent="0.45">
      <c r="A49" s="38"/>
      <c r="B49" s="421" t="s">
        <v>45</v>
      </c>
      <c r="C49" s="421"/>
      <c r="D49" s="92"/>
      <c r="E49" s="92"/>
      <c r="F49" s="421" t="s">
        <v>46</v>
      </c>
      <c r="G49" s="421"/>
      <c r="H49" s="421"/>
      <c r="I49" s="421"/>
      <c r="J49" s="421"/>
      <c r="K49" s="421"/>
      <c r="L49" s="92"/>
      <c r="M49" s="421" t="s">
        <v>47</v>
      </c>
      <c r="N49" s="421"/>
      <c r="O49" s="421"/>
      <c r="P49" s="38"/>
    </row>
    <row r="50" spans="1:42" ht="15" customHeight="1" x14ac:dyDescent="0.45">
      <c r="A50" s="38"/>
      <c r="B50" s="90"/>
      <c r="C50" s="142"/>
      <c r="D50" s="142"/>
      <c r="E50" s="142"/>
      <c r="F50" s="142"/>
      <c r="G50" s="90"/>
      <c r="H50" s="90"/>
      <c r="I50" s="142"/>
      <c r="J50" s="142"/>
      <c r="K50" s="142"/>
      <c r="L50" s="142"/>
      <c r="M50" s="90"/>
      <c r="N50" s="90"/>
      <c r="O50" s="90"/>
      <c r="P50" s="38"/>
    </row>
    <row r="51" spans="1:42" ht="18.75" x14ac:dyDescent="0.45">
      <c r="A51" s="38"/>
      <c r="B51" s="92"/>
      <c r="C51" s="76"/>
      <c r="D51" s="76"/>
      <c r="E51" s="76"/>
      <c r="F51" s="66"/>
      <c r="G51" s="66"/>
      <c r="H51" s="66"/>
      <c r="I51" s="66"/>
      <c r="J51" s="66"/>
      <c r="K51" s="66"/>
      <c r="L51" s="66"/>
      <c r="M51" s="66"/>
      <c r="N51" s="66"/>
      <c r="O51" s="66"/>
      <c r="P51" s="38"/>
    </row>
    <row r="52" spans="1:42" ht="15.75" customHeight="1" x14ac:dyDescent="0.45">
      <c r="A52" s="38"/>
      <c r="B52" s="300" t="s">
        <v>49</v>
      </c>
      <c r="C52" s="300"/>
      <c r="D52" s="66"/>
      <c r="E52" s="66"/>
      <c r="F52" s="303"/>
      <c r="G52" s="303"/>
      <c r="H52" s="303"/>
      <c r="I52" s="303"/>
      <c r="J52" s="303"/>
      <c r="K52" s="302"/>
      <c r="L52" s="302"/>
      <c r="M52" s="66"/>
      <c r="N52" s="301" t="s">
        <v>463</v>
      </c>
      <c r="O52" s="301"/>
      <c r="P52" s="38"/>
    </row>
    <row r="53" spans="1:42" ht="20.100000000000001" customHeight="1" x14ac:dyDescent="0.45">
      <c r="A53" s="38"/>
      <c r="B53" s="38"/>
      <c r="C53" s="38"/>
      <c r="D53" s="38"/>
      <c r="E53" s="38"/>
      <c r="F53" s="38"/>
      <c r="G53" s="38"/>
      <c r="H53" s="38"/>
      <c r="I53" s="38"/>
      <c r="J53" s="38"/>
      <c r="K53" s="38"/>
      <c r="L53" s="38"/>
      <c r="M53" s="38"/>
      <c r="N53" s="38"/>
      <c r="O53" s="38"/>
      <c r="P53" s="38"/>
    </row>
    <row r="54" spans="1:42" x14ac:dyDescent="0.2"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P54" s="12"/>
    </row>
    <row r="55" spans="1:42" x14ac:dyDescent="0.2"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</row>
    <row r="56" spans="1:42" x14ac:dyDescent="0.2"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13"/>
      <c r="AE56" s="13"/>
      <c r="AF56" s="13"/>
    </row>
  </sheetData>
  <mergeCells count="22">
    <mergeCell ref="B2:B3"/>
    <mergeCell ref="C2:L3"/>
    <mergeCell ref="M2:O3"/>
    <mergeCell ref="C4:E4"/>
    <mergeCell ref="F4:K4"/>
    <mergeCell ref="C6:J6"/>
    <mergeCell ref="B7:C7"/>
    <mergeCell ref="C12:M12"/>
    <mergeCell ref="C13:M27"/>
    <mergeCell ref="C30:M30"/>
    <mergeCell ref="AE7:AN7"/>
    <mergeCell ref="M48:O48"/>
    <mergeCell ref="F48:K48"/>
    <mergeCell ref="C31:M45"/>
    <mergeCell ref="B52:C52"/>
    <mergeCell ref="F52:J52"/>
    <mergeCell ref="K52:L52"/>
    <mergeCell ref="N52:O52"/>
    <mergeCell ref="B48:C48"/>
    <mergeCell ref="B49:C49"/>
    <mergeCell ref="F49:K49"/>
    <mergeCell ref="M49:O49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scale="74" orientation="portrait" r:id="rId1"/>
  <rowBreaks count="1" manualBreakCount="1">
    <brk id="53" max="1048575" man="1"/>
  </rowBreaks>
  <colBreaks count="1" manualBreakCount="1">
    <brk id="16" max="16383" man="1"/>
  </colBreak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26319" r:id="rId4" name="Check Box 15">
              <controlPr defaultSize="0" autoFill="0" autoLine="0" autoPict="0">
                <anchor moveWithCells="1">
                  <from>
                    <xdr:col>3</xdr:col>
                    <xdr:colOff>209550</xdr:colOff>
                    <xdr:row>6</xdr:row>
                    <xdr:rowOff>9525</xdr:rowOff>
                  </from>
                  <to>
                    <xdr:col>3</xdr:col>
                    <xdr:colOff>390525</xdr:colOff>
                    <xdr:row>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6320" r:id="rId5" name="Check Box 16">
              <controlPr defaultSize="0" autoFill="0" autoLine="0" autoPict="0">
                <anchor moveWithCells="1">
                  <from>
                    <xdr:col>3</xdr:col>
                    <xdr:colOff>209550</xdr:colOff>
                    <xdr:row>7</xdr:row>
                    <xdr:rowOff>9525</xdr:rowOff>
                  </from>
                  <to>
                    <xdr:col>3</xdr:col>
                    <xdr:colOff>390525</xdr:colOff>
                    <xdr:row>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6321" r:id="rId6" name="Check Box 17">
              <controlPr defaultSize="0" autoFill="0" autoLine="0" autoPict="0">
                <anchor moveWithCells="1">
                  <from>
                    <xdr:col>3</xdr:col>
                    <xdr:colOff>209550</xdr:colOff>
                    <xdr:row>8</xdr:row>
                    <xdr:rowOff>9525</xdr:rowOff>
                  </from>
                  <to>
                    <xdr:col>3</xdr:col>
                    <xdr:colOff>390525</xdr:colOff>
                    <xdr:row>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6322" r:id="rId7" name="Check Box 18">
              <controlPr defaultSize="0" autoFill="0" autoLine="0" autoPict="0">
                <anchor moveWithCells="1">
                  <from>
                    <xdr:col>3</xdr:col>
                    <xdr:colOff>209550</xdr:colOff>
                    <xdr:row>9</xdr:row>
                    <xdr:rowOff>9525</xdr:rowOff>
                  </from>
                  <to>
                    <xdr:col>3</xdr:col>
                    <xdr:colOff>390525</xdr:colOff>
                    <xdr:row>10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6323" r:id="rId8" name="Check Box 19">
              <controlPr defaultSize="0" autoFill="0" autoLine="0" autoPict="0">
                <anchor moveWithCells="1">
                  <from>
                    <xdr:col>11</xdr:col>
                    <xdr:colOff>609600</xdr:colOff>
                    <xdr:row>6</xdr:row>
                    <xdr:rowOff>9525</xdr:rowOff>
                  </from>
                  <to>
                    <xdr:col>11</xdr:col>
                    <xdr:colOff>800100</xdr:colOff>
                    <xdr:row>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6324" r:id="rId9" name="Check Box 20">
              <controlPr defaultSize="0" autoFill="0" autoLine="0" autoPict="0">
                <anchor moveWithCells="1">
                  <from>
                    <xdr:col>11</xdr:col>
                    <xdr:colOff>609600</xdr:colOff>
                    <xdr:row>7</xdr:row>
                    <xdr:rowOff>9525</xdr:rowOff>
                  </from>
                  <to>
                    <xdr:col>11</xdr:col>
                    <xdr:colOff>800100</xdr:colOff>
                    <xdr:row>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6325" r:id="rId10" name="Check Box 21">
              <controlPr defaultSize="0" autoFill="0" autoLine="0" autoPict="0">
                <anchor moveWithCells="1">
                  <from>
                    <xdr:col>11</xdr:col>
                    <xdr:colOff>609600</xdr:colOff>
                    <xdr:row>8</xdr:row>
                    <xdr:rowOff>9525</xdr:rowOff>
                  </from>
                  <to>
                    <xdr:col>11</xdr:col>
                    <xdr:colOff>790575</xdr:colOff>
                    <xdr:row>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6327" r:id="rId11" name="Check Box 23">
              <controlPr defaultSize="0" autoFill="0" autoLine="0" autoPict="0">
                <anchor moveWithCells="1">
                  <from>
                    <xdr:col>11</xdr:col>
                    <xdr:colOff>609600</xdr:colOff>
                    <xdr:row>6</xdr:row>
                    <xdr:rowOff>9525</xdr:rowOff>
                  </from>
                  <to>
                    <xdr:col>11</xdr:col>
                    <xdr:colOff>800100</xdr:colOff>
                    <xdr:row>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6328" r:id="rId12" name="Check Box 24">
              <controlPr defaultSize="0" autoFill="0" autoLine="0" autoPict="0">
                <anchor moveWithCells="1">
                  <from>
                    <xdr:col>11</xdr:col>
                    <xdr:colOff>609600</xdr:colOff>
                    <xdr:row>7</xdr:row>
                    <xdr:rowOff>9525</xdr:rowOff>
                  </from>
                  <to>
                    <xdr:col>11</xdr:col>
                    <xdr:colOff>800100</xdr:colOff>
                    <xdr:row>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6329" r:id="rId13" name="Check Box 25">
              <controlPr defaultSize="0" autoFill="0" autoLine="0" autoPict="0">
                <anchor moveWithCells="1">
                  <from>
                    <xdr:col>11</xdr:col>
                    <xdr:colOff>609600</xdr:colOff>
                    <xdr:row>8</xdr:row>
                    <xdr:rowOff>9525</xdr:rowOff>
                  </from>
                  <to>
                    <xdr:col>11</xdr:col>
                    <xdr:colOff>790575</xdr:colOff>
                    <xdr:row>9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Hoja10"/>
  <dimension ref="A1:AP56"/>
  <sheetViews>
    <sheetView showGridLines="0" view="pageBreakPreview" topLeftCell="A28" zoomScale="85" zoomScaleNormal="100" zoomScaleSheetLayoutView="85" workbookViewId="0">
      <selection activeCell="I18" sqref="I18"/>
    </sheetView>
  </sheetViews>
  <sheetFormatPr baseColWidth="10" defaultColWidth="11.42578125" defaultRowHeight="12.75" x14ac:dyDescent="0.2"/>
  <cols>
    <col min="1" max="1" width="3.28515625" customWidth="1"/>
    <col min="2" max="2" width="20.5703125" customWidth="1"/>
    <col min="3" max="3" width="9.140625" customWidth="1"/>
    <col min="4" max="4" width="6.140625" customWidth="1"/>
    <col min="5" max="5" width="7.7109375" customWidth="1"/>
    <col min="6" max="6" width="4.28515625" customWidth="1"/>
    <col min="7" max="7" width="5.140625" customWidth="1"/>
    <col min="8" max="8" width="4.5703125" customWidth="1"/>
    <col min="9" max="9" width="4.85546875" customWidth="1"/>
    <col min="10" max="10" width="4.28515625" customWidth="1"/>
    <col min="11" max="11" width="7" customWidth="1"/>
    <col min="12" max="12" width="12.42578125" customWidth="1"/>
    <col min="13" max="13" width="13.42578125" customWidth="1"/>
    <col min="14" max="14" width="9.85546875" customWidth="1"/>
    <col min="15" max="15" width="8.5703125" customWidth="1"/>
    <col min="16" max="16" width="3.28515625" customWidth="1"/>
  </cols>
  <sheetData>
    <row r="1" spans="1:40" ht="20.100000000000001" customHeight="1" x14ac:dyDescent="0.45">
      <c r="A1" s="38"/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  <c r="O1" s="38"/>
      <c r="P1" s="38"/>
    </row>
    <row r="2" spans="1:40" ht="27.75" customHeight="1" x14ac:dyDescent="0.45">
      <c r="A2" s="38"/>
      <c r="B2" s="332"/>
      <c r="C2" s="339" t="s">
        <v>32</v>
      </c>
      <c r="D2" s="340"/>
      <c r="E2" s="340"/>
      <c r="F2" s="340"/>
      <c r="G2" s="340"/>
      <c r="H2" s="340"/>
      <c r="I2" s="340"/>
      <c r="J2" s="340"/>
      <c r="K2" s="340"/>
      <c r="L2" s="340"/>
      <c r="M2" s="318" t="s">
        <v>51</v>
      </c>
      <c r="N2" s="319"/>
      <c r="O2" s="320"/>
      <c r="P2" s="38"/>
    </row>
    <row r="3" spans="1:40" ht="27.75" customHeight="1" x14ac:dyDescent="0.45">
      <c r="A3" s="38"/>
      <c r="B3" s="333"/>
      <c r="C3" s="342"/>
      <c r="D3" s="343"/>
      <c r="E3" s="343"/>
      <c r="F3" s="343"/>
      <c r="G3" s="343"/>
      <c r="H3" s="343"/>
      <c r="I3" s="343"/>
      <c r="J3" s="343"/>
      <c r="K3" s="343"/>
      <c r="L3" s="343"/>
      <c r="M3" s="321"/>
      <c r="N3" s="322"/>
      <c r="O3" s="323"/>
      <c r="P3" s="38"/>
    </row>
    <row r="4" spans="1:40" ht="18.75" x14ac:dyDescent="0.45">
      <c r="A4" s="38"/>
      <c r="B4" s="60" t="s">
        <v>52</v>
      </c>
      <c r="C4" s="335">
        <f>+TNT!C4</f>
        <v>0</v>
      </c>
      <c r="D4" s="335"/>
      <c r="E4" s="335"/>
      <c r="F4" s="338"/>
      <c r="G4" s="338"/>
      <c r="H4" s="338"/>
      <c r="I4" s="338"/>
      <c r="J4" s="338"/>
      <c r="K4" s="338"/>
      <c r="L4" s="61" t="s">
        <v>48</v>
      </c>
      <c r="M4" s="180">
        <f>DATOS!AS84</f>
        <v>45331</v>
      </c>
      <c r="N4" s="62"/>
      <c r="O4" s="63"/>
      <c r="P4" s="38"/>
    </row>
    <row r="5" spans="1:40" ht="18.75" x14ac:dyDescent="0.45">
      <c r="A5" s="38"/>
      <c r="B5" s="64" t="s">
        <v>7</v>
      </c>
      <c r="C5" s="65" t="s">
        <v>8</v>
      </c>
      <c r="D5" s="66"/>
      <c r="E5" s="66"/>
      <c r="F5" s="67"/>
      <c r="G5" s="67"/>
      <c r="H5" s="67"/>
      <c r="I5" s="67"/>
      <c r="J5" s="67"/>
      <c r="K5" s="67"/>
      <c r="L5" s="67"/>
      <c r="M5" s="67"/>
      <c r="N5" s="67"/>
      <c r="O5" s="68"/>
      <c r="P5" s="36"/>
      <c r="Q5" s="14"/>
      <c r="R5" s="14"/>
      <c r="S5" s="14"/>
    </row>
    <row r="6" spans="1:40" ht="18.75" x14ac:dyDescent="0.45">
      <c r="A6" s="38"/>
      <c r="B6" s="69" t="s">
        <v>53</v>
      </c>
      <c r="C6" s="336" t="s">
        <v>54</v>
      </c>
      <c r="D6" s="336"/>
      <c r="E6" s="336"/>
      <c r="F6" s="336"/>
      <c r="G6" s="336"/>
      <c r="H6" s="336"/>
      <c r="I6" s="336"/>
      <c r="J6" s="336"/>
      <c r="K6" s="70"/>
      <c r="L6" s="71"/>
      <c r="M6" s="70"/>
      <c r="N6" s="70"/>
      <c r="O6" s="72"/>
      <c r="P6" s="38"/>
      <c r="R6" s="6"/>
      <c r="S6" s="8"/>
      <c r="T6" s="8"/>
      <c r="U6" s="8"/>
      <c r="V6" s="8"/>
      <c r="W6" s="8"/>
    </row>
    <row r="7" spans="1:40" ht="15" customHeight="1" x14ac:dyDescent="0.45">
      <c r="A7" s="38"/>
      <c r="B7" s="337" t="s">
        <v>55</v>
      </c>
      <c r="C7" s="338"/>
      <c r="D7" s="73"/>
      <c r="E7" s="157" t="s">
        <v>56</v>
      </c>
      <c r="F7" s="158"/>
      <c r="G7" s="158"/>
      <c r="H7" s="157"/>
      <c r="I7" s="157"/>
      <c r="J7" s="157"/>
      <c r="K7" s="157"/>
      <c r="L7" s="157"/>
      <c r="M7" s="157" t="s">
        <v>57</v>
      </c>
      <c r="N7" s="157"/>
      <c r="O7" s="159"/>
      <c r="R7" s="6"/>
      <c r="S7" s="8"/>
      <c r="T7" s="8"/>
      <c r="U7" s="8"/>
      <c r="V7" s="8"/>
      <c r="W7" s="8"/>
      <c r="AE7" s="249" t="s">
        <v>456</v>
      </c>
      <c r="AF7" s="249"/>
      <c r="AG7" s="249"/>
      <c r="AH7" s="249"/>
      <c r="AI7" s="249"/>
      <c r="AJ7" s="249"/>
      <c r="AK7" s="249"/>
      <c r="AL7" s="249"/>
      <c r="AM7" s="249"/>
      <c r="AN7" s="249"/>
    </row>
    <row r="8" spans="1:40" ht="15" customHeight="1" x14ac:dyDescent="0.45">
      <c r="A8" s="38"/>
      <c r="B8" s="75"/>
      <c r="C8" s="76"/>
      <c r="D8" s="76"/>
      <c r="E8" s="8" t="s">
        <v>58</v>
      </c>
      <c r="F8" s="10"/>
      <c r="G8" s="10"/>
      <c r="H8" s="8"/>
      <c r="I8" s="8"/>
      <c r="J8" s="8"/>
      <c r="K8" s="8"/>
      <c r="L8" s="8"/>
      <c r="M8" s="8" t="s">
        <v>59</v>
      </c>
      <c r="N8" s="8"/>
      <c r="O8" s="160"/>
      <c r="R8" s="6"/>
      <c r="S8" s="8"/>
      <c r="T8" s="8"/>
      <c r="U8" s="8"/>
      <c r="V8" s="8"/>
      <c r="W8" s="8"/>
      <c r="AE8" s="38"/>
      <c r="AF8" s="38"/>
      <c r="AG8" s="38"/>
      <c r="AH8" s="38"/>
      <c r="AI8" s="38"/>
      <c r="AJ8" s="38"/>
      <c r="AK8" s="38"/>
      <c r="AL8" s="38"/>
      <c r="AM8" s="38"/>
      <c r="AN8" s="38"/>
    </row>
    <row r="9" spans="1:40" ht="15" customHeight="1" x14ac:dyDescent="0.45">
      <c r="A9" s="38"/>
      <c r="B9" s="77"/>
      <c r="C9" s="66"/>
      <c r="D9" s="66"/>
      <c r="E9" s="8" t="s">
        <v>60</v>
      </c>
      <c r="F9" s="8"/>
      <c r="G9" s="8"/>
      <c r="H9" s="8"/>
      <c r="I9" s="8"/>
      <c r="J9" s="8"/>
      <c r="K9" s="8"/>
      <c r="L9" s="8"/>
      <c r="M9" s="8" t="s">
        <v>61</v>
      </c>
      <c r="N9" s="8"/>
      <c r="O9" s="160"/>
      <c r="R9" s="6"/>
      <c r="S9" s="8"/>
      <c r="T9" s="8"/>
      <c r="U9" s="8"/>
      <c r="V9" s="8"/>
      <c r="W9" s="8"/>
    </row>
    <row r="10" spans="1:40" ht="15" customHeight="1" x14ac:dyDescent="0.45">
      <c r="A10" s="38"/>
      <c r="B10" s="78"/>
      <c r="C10" s="79"/>
      <c r="D10" s="79"/>
      <c r="E10" s="79" t="s">
        <v>62</v>
      </c>
      <c r="F10" s="79"/>
      <c r="G10" s="79"/>
      <c r="H10" s="79"/>
      <c r="I10" s="79"/>
      <c r="J10" s="79"/>
      <c r="K10" s="79"/>
      <c r="L10" s="79"/>
      <c r="M10" s="79"/>
      <c r="N10" s="79"/>
      <c r="O10" s="80"/>
      <c r="P10" s="38"/>
      <c r="R10" s="6"/>
      <c r="S10" s="8"/>
      <c r="T10" s="8"/>
      <c r="U10" s="8"/>
      <c r="V10" s="8"/>
      <c r="W10" s="8"/>
    </row>
    <row r="11" spans="1:40" ht="15" customHeight="1" x14ac:dyDescent="0.45">
      <c r="A11" s="38"/>
      <c r="B11" s="66"/>
      <c r="C11" s="66"/>
      <c r="D11" s="66"/>
      <c r="E11" s="66"/>
      <c r="F11" s="66"/>
      <c r="G11" s="66"/>
      <c r="H11" s="66"/>
      <c r="I11" s="66"/>
      <c r="J11" s="66"/>
      <c r="K11" s="66"/>
      <c r="L11" s="66"/>
      <c r="M11" s="66"/>
      <c r="N11" s="66"/>
      <c r="O11" s="66"/>
      <c r="P11" s="38"/>
      <c r="R11" s="6"/>
      <c r="S11" s="8"/>
      <c r="T11" s="8"/>
      <c r="U11" s="8"/>
      <c r="V11" s="8"/>
      <c r="W11" s="8"/>
    </row>
    <row r="12" spans="1:40" ht="15" customHeight="1" x14ac:dyDescent="0.45">
      <c r="A12" s="38"/>
      <c r="B12" s="422" t="s">
        <v>143</v>
      </c>
      <c r="C12" s="422"/>
      <c r="D12" s="422"/>
      <c r="E12" s="422"/>
      <c r="F12" s="422"/>
      <c r="G12" s="422"/>
      <c r="H12" s="76"/>
      <c r="I12" s="76"/>
      <c r="J12" s="76"/>
      <c r="K12" s="422" t="s">
        <v>144</v>
      </c>
      <c r="L12" s="422"/>
      <c r="M12" s="422"/>
      <c r="N12" s="422"/>
      <c r="O12" s="422"/>
      <c r="P12" s="38"/>
      <c r="R12" s="6"/>
      <c r="S12" s="8"/>
      <c r="T12" s="8"/>
      <c r="U12" s="8"/>
      <c r="V12" s="8"/>
      <c r="W12" s="8"/>
    </row>
    <row r="13" spans="1:40" ht="15" customHeight="1" x14ac:dyDescent="0.45">
      <c r="A13" s="38"/>
      <c r="B13" s="423"/>
      <c r="C13" s="423"/>
      <c r="D13" s="423"/>
      <c r="E13" s="423"/>
      <c r="F13" s="423"/>
      <c r="G13" s="423"/>
      <c r="H13" s="102"/>
      <c r="I13" s="102"/>
      <c r="J13" s="102"/>
      <c r="K13" s="366"/>
      <c r="L13" s="366"/>
      <c r="M13" s="366"/>
      <c r="N13" s="366"/>
      <c r="O13" s="366"/>
      <c r="P13" s="38"/>
    </row>
    <row r="14" spans="1:40" ht="15" customHeight="1" x14ac:dyDescent="0.45">
      <c r="A14" s="38"/>
      <c r="B14" s="423"/>
      <c r="C14" s="423"/>
      <c r="D14" s="423"/>
      <c r="E14" s="423"/>
      <c r="F14" s="423"/>
      <c r="G14" s="423"/>
      <c r="H14" s="102"/>
      <c r="I14" s="102"/>
      <c r="J14" s="102"/>
      <c r="K14" s="366"/>
      <c r="L14" s="366"/>
      <c r="M14" s="366"/>
      <c r="N14" s="366"/>
      <c r="O14" s="366"/>
      <c r="P14" s="38"/>
      <c r="S14" s="15" t="s">
        <v>142</v>
      </c>
      <c r="T14" s="15"/>
      <c r="U14" s="15"/>
      <c r="V14" s="15"/>
      <c r="W14" s="15"/>
      <c r="X14" s="15"/>
      <c r="Y14" s="15"/>
    </row>
    <row r="15" spans="1:40" ht="13.5" customHeight="1" x14ac:dyDescent="0.45">
      <c r="A15" s="38"/>
      <c r="B15" s="423"/>
      <c r="C15" s="423"/>
      <c r="D15" s="423"/>
      <c r="E15" s="423"/>
      <c r="F15" s="423"/>
      <c r="G15" s="423"/>
      <c r="H15" s="102"/>
      <c r="I15" s="102"/>
      <c r="J15" s="102"/>
      <c r="K15" s="366"/>
      <c r="L15" s="366"/>
      <c r="M15" s="366"/>
      <c r="N15" s="366"/>
      <c r="O15" s="366"/>
      <c r="P15" s="38"/>
      <c r="S15" s="16"/>
      <c r="T15" s="16"/>
      <c r="U15" s="16"/>
      <c r="V15" s="16"/>
      <c r="W15" s="16"/>
      <c r="X15" s="16"/>
      <c r="Y15" s="16"/>
    </row>
    <row r="16" spans="1:40" ht="13.5" customHeight="1" x14ac:dyDescent="0.45">
      <c r="A16" s="38"/>
      <c r="B16" s="423"/>
      <c r="C16" s="423"/>
      <c r="D16" s="423"/>
      <c r="E16" s="423"/>
      <c r="F16" s="423"/>
      <c r="G16" s="423"/>
      <c r="H16" s="102"/>
      <c r="I16" s="102"/>
      <c r="J16" s="102"/>
      <c r="K16" s="366"/>
      <c r="L16" s="366"/>
      <c r="M16" s="366"/>
      <c r="N16" s="366"/>
      <c r="O16" s="366"/>
      <c r="P16" s="38"/>
      <c r="S16" s="16"/>
      <c r="T16" s="16"/>
      <c r="U16" s="16"/>
      <c r="V16" s="16"/>
      <c r="W16" s="16"/>
      <c r="X16" s="16"/>
      <c r="Y16" s="16"/>
    </row>
    <row r="17" spans="1:25" ht="13.5" customHeight="1" x14ac:dyDescent="0.45">
      <c r="A17" s="38"/>
      <c r="B17" s="423"/>
      <c r="C17" s="423"/>
      <c r="D17" s="423"/>
      <c r="E17" s="423"/>
      <c r="F17" s="423"/>
      <c r="G17" s="423"/>
      <c r="H17" s="102"/>
      <c r="I17" s="102"/>
      <c r="J17" s="102"/>
      <c r="K17" s="366"/>
      <c r="L17" s="366"/>
      <c r="M17" s="366"/>
      <c r="N17" s="366"/>
      <c r="O17" s="366"/>
      <c r="P17" s="38"/>
      <c r="S17" s="16"/>
      <c r="T17" s="16"/>
      <c r="U17" s="16"/>
      <c r="V17" s="16"/>
      <c r="W17" s="16"/>
      <c r="X17" s="16"/>
      <c r="Y17" s="16"/>
    </row>
    <row r="18" spans="1:25" ht="13.5" customHeight="1" x14ac:dyDescent="0.45">
      <c r="A18" s="38"/>
      <c r="B18" s="423"/>
      <c r="C18" s="423"/>
      <c r="D18" s="423"/>
      <c r="E18" s="423"/>
      <c r="F18" s="423"/>
      <c r="G18" s="423"/>
      <c r="H18" s="102"/>
      <c r="I18" s="102"/>
      <c r="J18" s="102"/>
      <c r="K18" s="366"/>
      <c r="L18" s="366"/>
      <c r="M18" s="366"/>
      <c r="N18" s="366"/>
      <c r="O18" s="366"/>
      <c r="P18" s="38"/>
      <c r="S18" s="16"/>
      <c r="T18" s="16"/>
      <c r="U18" s="16"/>
      <c r="V18" s="16"/>
      <c r="W18" s="16"/>
      <c r="X18" s="16"/>
      <c r="Y18" s="16"/>
    </row>
    <row r="19" spans="1:25" ht="13.5" customHeight="1" x14ac:dyDescent="0.45">
      <c r="A19" s="38"/>
      <c r="B19" s="423"/>
      <c r="C19" s="423"/>
      <c r="D19" s="423"/>
      <c r="E19" s="423"/>
      <c r="F19" s="423"/>
      <c r="G19" s="423"/>
      <c r="H19" s="102"/>
      <c r="I19" s="102"/>
      <c r="J19" s="102"/>
      <c r="K19" s="366"/>
      <c r="L19" s="366"/>
      <c r="M19" s="366"/>
      <c r="N19" s="366"/>
      <c r="O19" s="366"/>
      <c r="P19" s="38"/>
      <c r="S19" s="16"/>
      <c r="T19" s="16"/>
      <c r="U19" s="16"/>
      <c r="V19" s="16"/>
      <c r="W19" s="16"/>
      <c r="X19" s="16"/>
      <c r="Y19" s="16"/>
    </row>
    <row r="20" spans="1:25" ht="13.5" customHeight="1" x14ac:dyDescent="0.45">
      <c r="A20" s="38"/>
      <c r="B20" s="423"/>
      <c r="C20" s="423"/>
      <c r="D20" s="423"/>
      <c r="E20" s="423"/>
      <c r="F20" s="423"/>
      <c r="G20" s="423"/>
      <c r="H20" s="102"/>
      <c r="I20" s="102"/>
      <c r="J20" s="102"/>
      <c r="K20" s="366"/>
      <c r="L20" s="366"/>
      <c r="M20" s="366"/>
      <c r="N20" s="366"/>
      <c r="O20" s="366"/>
      <c r="P20" s="38"/>
      <c r="S20" s="16"/>
      <c r="T20" s="16"/>
      <c r="U20" s="16"/>
      <c r="V20" s="16"/>
      <c r="W20" s="16"/>
      <c r="X20" s="16"/>
      <c r="Y20" s="16"/>
    </row>
    <row r="21" spans="1:25" ht="13.5" customHeight="1" x14ac:dyDescent="0.45">
      <c r="A21" s="38"/>
      <c r="B21" s="423"/>
      <c r="C21" s="423"/>
      <c r="D21" s="423"/>
      <c r="E21" s="423"/>
      <c r="F21" s="423"/>
      <c r="G21" s="423"/>
      <c r="H21" s="102"/>
      <c r="I21" s="102"/>
      <c r="J21" s="102"/>
      <c r="K21" s="366"/>
      <c r="L21" s="366"/>
      <c r="M21" s="366"/>
      <c r="N21" s="366"/>
      <c r="O21" s="366"/>
      <c r="P21" s="38"/>
      <c r="S21" s="16"/>
      <c r="T21" s="16"/>
      <c r="U21" s="16"/>
      <c r="V21" s="16"/>
      <c r="W21" s="16"/>
      <c r="X21" s="16"/>
      <c r="Y21" s="16"/>
    </row>
    <row r="22" spans="1:25" ht="13.5" customHeight="1" x14ac:dyDescent="0.45">
      <c r="A22" s="38"/>
      <c r="B22" s="423"/>
      <c r="C22" s="423"/>
      <c r="D22" s="423"/>
      <c r="E22" s="423"/>
      <c r="F22" s="423"/>
      <c r="G22" s="423"/>
      <c r="H22" s="102"/>
      <c r="I22" s="102"/>
      <c r="J22" s="102"/>
      <c r="K22" s="366"/>
      <c r="L22" s="366"/>
      <c r="M22" s="366"/>
      <c r="N22" s="366"/>
      <c r="O22" s="366"/>
      <c r="P22" s="38"/>
      <c r="S22" s="16"/>
      <c r="T22" s="16"/>
      <c r="U22" s="16"/>
      <c r="V22" s="16"/>
      <c r="W22" s="16"/>
      <c r="X22" s="16"/>
      <c r="Y22" s="16"/>
    </row>
    <row r="23" spans="1:25" ht="13.5" customHeight="1" x14ac:dyDescent="0.45">
      <c r="A23" s="38"/>
      <c r="B23" s="423"/>
      <c r="C23" s="423"/>
      <c r="D23" s="423"/>
      <c r="E23" s="423"/>
      <c r="F23" s="423"/>
      <c r="G23" s="423"/>
      <c r="H23" s="102"/>
      <c r="I23" s="102"/>
      <c r="J23" s="102"/>
      <c r="K23" s="366"/>
      <c r="L23" s="366"/>
      <c r="M23" s="366"/>
      <c r="N23" s="366"/>
      <c r="O23" s="366"/>
      <c r="P23" s="38"/>
      <c r="S23" s="16"/>
      <c r="T23" s="16"/>
      <c r="U23" s="16"/>
      <c r="V23" s="16"/>
      <c r="W23" s="16"/>
      <c r="X23" s="16"/>
      <c r="Y23" s="16"/>
    </row>
    <row r="24" spans="1:25" ht="13.5" customHeight="1" x14ac:dyDescent="0.45">
      <c r="A24" s="38"/>
      <c r="B24" s="423"/>
      <c r="C24" s="423"/>
      <c r="D24" s="423"/>
      <c r="E24" s="423"/>
      <c r="F24" s="423"/>
      <c r="G24" s="423"/>
      <c r="H24" s="102"/>
      <c r="I24" s="102"/>
      <c r="J24" s="102"/>
      <c r="K24" s="366"/>
      <c r="L24" s="366"/>
      <c r="M24" s="366"/>
      <c r="N24" s="366"/>
      <c r="O24" s="366"/>
      <c r="P24" s="38"/>
      <c r="S24" s="16"/>
      <c r="T24" s="16"/>
      <c r="U24" s="16"/>
      <c r="V24" s="16"/>
      <c r="W24" s="16"/>
      <c r="X24" s="16"/>
      <c r="Y24" s="16"/>
    </row>
    <row r="25" spans="1:25" ht="13.5" customHeight="1" x14ac:dyDescent="0.45">
      <c r="A25" s="38"/>
      <c r="B25" s="423"/>
      <c r="C25" s="423"/>
      <c r="D25" s="423"/>
      <c r="E25" s="423"/>
      <c r="F25" s="423"/>
      <c r="G25" s="423"/>
      <c r="H25" s="102"/>
      <c r="I25" s="102"/>
      <c r="J25" s="102"/>
      <c r="K25" s="366"/>
      <c r="L25" s="366"/>
      <c r="M25" s="366"/>
      <c r="N25" s="366"/>
      <c r="O25" s="366"/>
      <c r="P25" s="38"/>
      <c r="S25" s="16"/>
      <c r="T25" s="16"/>
      <c r="U25" s="16"/>
      <c r="V25" s="16"/>
      <c r="W25" s="16"/>
      <c r="X25" s="16"/>
      <c r="Y25" s="16"/>
    </row>
    <row r="26" spans="1:25" ht="13.5" customHeight="1" x14ac:dyDescent="0.45">
      <c r="A26" s="38"/>
      <c r="B26" s="423"/>
      <c r="C26" s="423"/>
      <c r="D26" s="423"/>
      <c r="E26" s="423"/>
      <c r="F26" s="423"/>
      <c r="G26" s="423"/>
      <c r="H26" s="102"/>
      <c r="I26" s="102"/>
      <c r="J26" s="102"/>
      <c r="K26" s="366"/>
      <c r="L26" s="366"/>
      <c r="M26" s="366"/>
      <c r="N26" s="366"/>
      <c r="O26" s="366"/>
      <c r="P26" s="38"/>
      <c r="S26" s="16"/>
      <c r="T26" s="16"/>
      <c r="U26" s="16"/>
      <c r="V26" s="16"/>
      <c r="W26" s="16"/>
      <c r="X26" s="16"/>
      <c r="Y26" s="16"/>
    </row>
    <row r="27" spans="1:25" ht="13.5" customHeight="1" x14ac:dyDescent="0.45">
      <c r="A27" s="38"/>
      <c r="B27" s="423"/>
      <c r="C27" s="423"/>
      <c r="D27" s="423"/>
      <c r="E27" s="423"/>
      <c r="F27" s="423"/>
      <c r="G27" s="423"/>
      <c r="H27" s="102"/>
      <c r="I27" s="102"/>
      <c r="J27" s="102"/>
      <c r="K27" s="366"/>
      <c r="L27" s="366"/>
      <c r="M27" s="366"/>
      <c r="N27" s="366"/>
      <c r="O27" s="366"/>
      <c r="P27" s="38"/>
      <c r="S27" s="16"/>
      <c r="T27" s="16"/>
      <c r="U27" s="16"/>
      <c r="V27" s="16"/>
      <c r="W27" s="16"/>
      <c r="X27" s="16"/>
      <c r="Y27" s="16"/>
    </row>
    <row r="28" spans="1:25" ht="13.5" customHeight="1" x14ac:dyDescent="0.45">
      <c r="A28" s="38"/>
      <c r="B28" s="76"/>
      <c r="C28" s="76"/>
      <c r="D28" s="76"/>
      <c r="E28" s="76"/>
      <c r="F28" s="76"/>
      <c r="G28" s="76"/>
      <c r="H28" s="76"/>
      <c r="I28" s="76"/>
      <c r="J28" s="76"/>
      <c r="K28" s="76"/>
      <c r="L28" s="76"/>
      <c r="M28" s="76"/>
      <c r="N28" s="76"/>
      <c r="O28" s="76"/>
      <c r="P28" s="38"/>
      <c r="S28" s="16"/>
      <c r="T28" s="16"/>
      <c r="U28" s="16"/>
      <c r="V28" s="16"/>
      <c r="W28" s="16"/>
      <c r="X28" s="16"/>
      <c r="Y28" s="16"/>
    </row>
    <row r="29" spans="1:25" ht="13.5" customHeight="1" x14ac:dyDescent="0.45">
      <c r="A29" s="38"/>
      <c r="B29" s="76"/>
      <c r="C29" s="76"/>
      <c r="D29" s="76"/>
      <c r="E29" s="76"/>
      <c r="F29" s="76"/>
      <c r="G29" s="76"/>
      <c r="H29" s="76"/>
      <c r="I29" s="76"/>
      <c r="J29" s="76"/>
      <c r="K29" s="76"/>
      <c r="L29" s="76"/>
      <c r="M29" s="76"/>
      <c r="N29" s="76"/>
      <c r="O29" s="76"/>
      <c r="P29" s="38"/>
      <c r="S29" s="16"/>
      <c r="T29" s="16"/>
      <c r="U29" s="16"/>
      <c r="V29" s="16"/>
      <c r="W29" s="16"/>
      <c r="X29" s="16"/>
      <c r="Y29" s="16"/>
    </row>
    <row r="30" spans="1:25" ht="15" customHeight="1" x14ac:dyDescent="0.45">
      <c r="A30" s="38"/>
      <c r="B30" s="422" t="s">
        <v>145</v>
      </c>
      <c r="C30" s="422"/>
      <c r="D30" s="422"/>
      <c r="E30" s="422"/>
      <c r="F30" s="422"/>
      <c r="G30" s="422"/>
      <c r="H30" s="76"/>
      <c r="I30" s="76"/>
      <c r="J30" s="76"/>
      <c r="K30" s="422" t="s">
        <v>146</v>
      </c>
      <c r="L30" s="422"/>
      <c r="M30" s="422"/>
      <c r="N30" s="422"/>
      <c r="O30" s="422"/>
      <c r="P30" s="38"/>
      <c r="S30" s="16"/>
      <c r="T30" s="16"/>
      <c r="U30" s="16"/>
      <c r="V30" s="16"/>
      <c r="W30" s="16"/>
      <c r="X30" s="16"/>
      <c r="Y30" s="16"/>
    </row>
    <row r="31" spans="1:25" ht="13.5" customHeight="1" x14ac:dyDescent="0.45">
      <c r="A31" s="38"/>
      <c r="B31" s="423"/>
      <c r="C31" s="423"/>
      <c r="D31" s="423"/>
      <c r="E31" s="423"/>
      <c r="F31" s="423"/>
      <c r="G31" s="423"/>
      <c r="H31" s="76"/>
      <c r="I31" s="76"/>
      <c r="J31" s="76"/>
      <c r="K31" s="423"/>
      <c r="L31" s="423"/>
      <c r="M31" s="423"/>
      <c r="N31" s="423"/>
      <c r="O31" s="423"/>
      <c r="P31" s="38"/>
      <c r="S31" s="16"/>
      <c r="T31" s="16"/>
      <c r="U31" s="16"/>
      <c r="V31" s="16"/>
      <c r="W31" s="16"/>
      <c r="X31" s="16"/>
      <c r="Y31" s="16"/>
    </row>
    <row r="32" spans="1:25" ht="13.5" customHeight="1" x14ac:dyDescent="0.45">
      <c r="A32" s="38"/>
      <c r="B32" s="423"/>
      <c r="C32" s="423"/>
      <c r="D32" s="423"/>
      <c r="E32" s="423"/>
      <c r="F32" s="423"/>
      <c r="G32" s="423"/>
      <c r="H32" s="76"/>
      <c r="I32" s="76"/>
      <c r="J32" s="76"/>
      <c r="K32" s="423"/>
      <c r="L32" s="423"/>
      <c r="M32" s="423"/>
      <c r="N32" s="423"/>
      <c r="O32" s="423"/>
      <c r="P32" s="38"/>
      <c r="S32" s="16"/>
      <c r="T32" s="16"/>
      <c r="U32" s="16"/>
      <c r="V32" s="16"/>
      <c r="W32" s="16"/>
      <c r="X32" s="16"/>
      <c r="Y32" s="16"/>
    </row>
    <row r="33" spans="1:33" ht="13.5" customHeight="1" x14ac:dyDescent="0.45">
      <c r="A33" s="38"/>
      <c r="B33" s="423"/>
      <c r="C33" s="423"/>
      <c r="D33" s="423"/>
      <c r="E33" s="423"/>
      <c r="F33" s="423"/>
      <c r="G33" s="423"/>
      <c r="H33" s="76"/>
      <c r="I33" s="76"/>
      <c r="J33" s="76"/>
      <c r="K33" s="423"/>
      <c r="L33" s="423"/>
      <c r="M33" s="423"/>
      <c r="N33" s="423"/>
      <c r="O33" s="423"/>
      <c r="P33" s="38"/>
      <c r="S33" s="16"/>
      <c r="T33" s="16"/>
      <c r="U33" s="16"/>
      <c r="V33" s="16"/>
      <c r="W33" s="16"/>
      <c r="X33" s="16"/>
      <c r="Y33" s="16"/>
    </row>
    <row r="34" spans="1:33" ht="13.5" customHeight="1" x14ac:dyDescent="0.45">
      <c r="A34" s="38"/>
      <c r="B34" s="423"/>
      <c r="C34" s="423"/>
      <c r="D34" s="423"/>
      <c r="E34" s="423"/>
      <c r="F34" s="423"/>
      <c r="G34" s="423"/>
      <c r="H34" s="76"/>
      <c r="I34" s="76"/>
      <c r="J34" s="76"/>
      <c r="K34" s="423"/>
      <c r="L34" s="423"/>
      <c r="M34" s="423"/>
      <c r="N34" s="423"/>
      <c r="O34" s="423"/>
      <c r="P34" s="38"/>
      <c r="S34" s="16"/>
      <c r="T34" s="16"/>
      <c r="U34" s="16"/>
      <c r="V34" s="16"/>
      <c r="W34" s="16"/>
      <c r="X34" s="16"/>
      <c r="Y34" s="16"/>
    </row>
    <row r="35" spans="1:33" ht="13.5" customHeight="1" x14ac:dyDescent="0.45">
      <c r="A35" s="38"/>
      <c r="B35" s="423"/>
      <c r="C35" s="423"/>
      <c r="D35" s="423"/>
      <c r="E35" s="423"/>
      <c r="F35" s="423"/>
      <c r="G35" s="423"/>
      <c r="H35" s="76"/>
      <c r="I35" s="76"/>
      <c r="J35" s="76"/>
      <c r="K35" s="423"/>
      <c r="L35" s="423"/>
      <c r="M35" s="423"/>
      <c r="N35" s="423"/>
      <c r="O35" s="423"/>
      <c r="P35" s="38"/>
      <c r="S35" s="16"/>
      <c r="T35" s="16"/>
      <c r="U35" s="16"/>
      <c r="V35" s="16"/>
      <c r="W35" s="16"/>
      <c r="X35" s="16"/>
      <c r="Y35" s="16"/>
    </row>
    <row r="36" spans="1:33" s="6" customFormat="1" ht="15" customHeight="1" x14ac:dyDescent="0.45">
      <c r="A36" s="38"/>
      <c r="B36" s="423"/>
      <c r="C36" s="423"/>
      <c r="D36" s="423"/>
      <c r="E36" s="423"/>
      <c r="F36" s="423"/>
      <c r="G36" s="423"/>
      <c r="H36" s="76"/>
      <c r="I36" s="76"/>
      <c r="J36" s="76"/>
      <c r="K36" s="423"/>
      <c r="L36" s="423"/>
      <c r="M36" s="423"/>
      <c r="N36" s="423"/>
      <c r="O36" s="423"/>
      <c r="P36" s="38"/>
      <c r="S36" s="16"/>
      <c r="T36" s="16"/>
      <c r="U36" s="16"/>
      <c r="V36" s="16"/>
      <c r="W36" s="16"/>
      <c r="X36" s="16"/>
      <c r="Y36" s="16"/>
    </row>
    <row r="37" spans="1:33" s="6" customFormat="1" ht="15" customHeight="1" x14ac:dyDescent="0.45">
      <c r="A37" s="38"/>
      <c r="B37" s="423"/>
      <c r="C37" s="423"/>
      <c r="D37" s="423"/>
      <c r="E37" s="423"/>
      <c r="F37" s="423"/>
      <c r="G37" s="423"/>
      <c r="H37" s="76"/>
      <c r="I37" s="76"/>
      <c r="J37" s="76"/>
      <c r="K37" s="423"/>
      <c r="L37" s="423"/>
      <c r="M37" s="423"/>
      <c r="N37" s="423"/>
      <c r="O37" s="423"/>
      <c r="P37" s="38"/>
      <c r="S37" s="16"/>
      <c r="T37" s="16"/>
      <c r="U37" s="16"/>
      <c r="V37" s="16"/>
      <c r="W37" s="16"/>
      <c r="X37" s="16"/>
      <c r="Y37" s="16"/>
    </row>
    <row r="38" spans="1:33" s="6" customFormat="1" ht="15" customHeight="1" x14ac:dyDescent="0.45">
      <c r="A38" s="38"/>
      <c r="B38" s="423"/>
      <c r="C38" s="423"/>
      <c r="D38" s="423"/>
      <c r="E38" s="423"/>
      <c r="F38" s="423"/>
      <c r="G38" s="423"/>
      <c r="H38" s="76"/>
      <c r="I38" s="76"/>
      <c r="J38" s="76"/>
      <c r="K38" s="423"/>
      <c r="L38" s="423"/>
      <c r="M38" s="423"/>
      <c r="N38" s="423"/>
      <c r="O38" s="423"/>
      <c r="P38" s="38"/>
      <c r="S38" s="16"/>
      <c r="T38" s="16"/>
      <c r="U38" s="16"/>
      <c r="V38" s="16"/>
      <c r="W38" s="16"/>
      <c r="X38" s="16"/>
      <c r="Y38" s="16"/>
    </row>
    <row r="39" spans="1:33" s="6" customFormat="1" ht="15" customHeight="1" x14ac:dyDescent="0.45">
      <c r="A39" s="38"/>
      <c r="B39" s="423"/>
      <c r="C39" s="423"/>
      <c r="D39" s="423"/>
      <c r="E39" s="423"/>
      <c r="F39" s="423"/>
      <c r="G39" s="423"/>
      <c r="H39" s="76"/>
      <c r="I39" s="76"/>
      <c r="J39" s="76"/>
      <c r="K39" s="423"/>
      <c r="L39" s="423"/>
      <c r="M39" s="423"/>
      <c r="N39" s="423"/>
      <c r="O39" s="423"/>
      <c r="P39" s="38"/>
      <c r="S39" s="16"/>
      <c r="T39" s="16"/>
      <c r="U39" s="16"/>
      <c r="V39" s="16"/>
      <c r="W39" s="16"/>
      <c r="X39" s="16"/>
      <c r="Y39" s="16"/>
    </row>
    <row r="40" spans="1:33" s="6" customFormat="1" ht="15" customHeight="1" x14ac:dyDescent="0.45">
      <c r="A40" s="38"/>
      <c r="B40" s="423"/>
      <c r="C40" s="423"/>
      <c r="D40" s="423"/>
      <c r="E40" s="423"/>
      <c r="F40" s="423"/>
      <c r="G40" s="423"/>
      <c r="H40" s="76"/>
      <c r="I40" s="76"/>
      <c r="J40" s="76"/>
      <c r="K40" s="423"/>
      <c r="L40" s="423"/>
      <c r="M40" s="423"/>
      <c r="N40" s="423"/>
      <c r="O40" s="423"/>
      <c r="P40" s="38"/>
      <c r="S40" s="16"/>
      <c r="T40" s="16"/>
      <c r="U40" s="16"/>
      <c r="V40" s="16"/>
      <c r="W40" s="16"/>
      <c r="X40" s="16"/>
      <c r="Y40" s="16"/>
    </row>
    <row r="41" spans="1:33" s="6" customFormat="1" ht="15" customHeight="1" x14ac:dyDescent="0.45">
      <c r="A41" s="38"/>
      <c r="B41" s="423"/>
      <c r="C41" s="423"/>
      <c r="D41" s="423"/>
      <c r="E41" s="423"/>
      <c r="F41" s="423"/>
      <c r="G41" s="423"/>
      <c r="I41" s="76"/>
      <c r="J41" s="76"/>
      <c r="K41" s="423"/>
      <c r="L41" s="423"/>
      <c r="M41" s="423"/>
      <c r="N41" s="423"/>
      <c r="O41" s="423"/>
      <c r="P41" s="38"/>
      <c r="S41" s="16"/>
      <c r="T41" s="16"/>
      <c r="U41" s="16"/>
      <c r="V41" s="16"/>
      <c r="W41" s="16"/>
      <c r="X41" s="16"/>
      <c r="Y41" s="16"/>
    </row>
    <row r="42" spans="1:33" s="6" customFormat="1" ht="15" customHeight="1" x14ac:dyDescent="0.45">
      <c r="A42" s="38"/>
      <c r="B42" s="423"/>
      <c r="C42" s="423"/>
      <c r="D42" s="423"/>
      <c r="E42" s="423"/>
      <c r="F42" s="423"/>
      <c r="G42" s="423"/>
      <c r="H42" s="76"/>
      <c r="I42" s="76"/>
      <c r="J42" s="76"/>
      <c r="K42" s="423"/>
      <c r="L42" s="423"/>
      <c r="M42" s="423"/>
      <c r="N42" s="423"/>
      <c r="O42" s="423"/>
      <c r="P42" s="38"/>
      <c r="S42" s="16"/>
      <c r="T42" s="16"/>
      <c r="U42" s="16"/>
      <c r="V42" s="16"/>
      <c r="W42" s="16"/>
      <c r="X42" s="16"/>
      <c r="Y42" s="16"/>
    </row>
    <row r="43" spans="1:33" s="6" customFormat="1" ht="15" customHeight="1" x14ac:dyDescent="0.45">
      <c r="A43" s="38"/>
      <c r="B43" s="423"/>
      <c r="C43" s="423"/>
      <c r="D43" s="423"/>
      <c r="E43" s="423"/>
      <c r="F43" s="423"/>
      <c r="G43" s="423"/>
      <c r="H43" s="76"/>
      <c r="I43" s="76"/>
      <c r="J43" s="76"/>
      <c r="K43" s="423"/>
      <c r="L43" s="423"/>
      <c r="M43" s="423"/>
      <c r="N43" s="423"/>
      <c r="O43" s="423"/>
      <c r="P43" s="38"/>
      <c r="S43" s="16"/>
      <c r="T43" s="16"/>
      <c r="U43" s="16"/>
      <c r="V43" s="16"/>
      <c r="W43" s="16"/>
      <c r="X43" s="16"/>
      <c r="Y43" s="16"/>
    </row>
    <row r="44" spans="1:33" s="6" customFormat="1" ht="15" customHeight="1" x14ac:dyDescent="0.45">
      <c r="A44" s="38"/>
      <c r="B44" s="423"/>
      <c r="C44" s="423"/>
      <c r="D44" s="423"/>
      <c r="E44" s="423"/>
      <c r="F44" s="423"/>
      <c r="G44" s="423"/>
      <c r="H44" s="76"/>
      <c r="I44" s="76"/>
      <c r="J44" s="76"/>
      <c r="K44" s="423"/>
      <c r="L44" s="423"/>
      <c r="M44" s="423"/>
      <c r="N44" s="423"/>
      <c r="O44" s="423"/>
      <c r="P44" s="38"/>
      <c r="S44" s="16"/>
      <c r="T44" s="16"/>
      <c r="U44" s="16"/>
      <c r="V44" s="16"/>
      <c r="W44" s="16"/>
      <c r="X44" s="16"/>
      <c r="Y44" s="16"/>
    </row>
    <row r="45" spans="1:33" s="6" customFormat="1" ht="15" customHeight="1" x14ac:dyDescent="0.45">
      <c r="A45" s="38"/>
      <c r="B45" s="423"/>
      <c r="C45" s="423"/>
      <c r="D45" s="423"/>
      <c r="E45" s="423"/>
      <c r="F45" s="423"/>
      <c r="G45" s="423"/>
      <c r="H45" s="76"/>
      <c r="I45" s="76"/>
      <c r="J45" s="76"/>
      <c r="K45" s="423"/>
      <c r="L45" s="423"/>
      <c r="M45" s="423"/>
      <c r="N45" s="423"/>
      <c r="O45" s="423"/>
      <c r="P45" s="38"/>
      <c r="S45" s="16"/>
      <c r="T45" s="16"/>
      <c r="U45" s="16"/>
      <c r="V45" s="16"/>
      <c r="W45" s="16"/>
      <c r="X45" s="16"/>
      <c r="Y45" s="16"/>
    </row>
    <row r="46" spans="1:33" ht="15" customHeight="1" x14ac:dyDescent="0.45">
      <c r="A46" s="38"/>
      <c r="B46" s="92"/>
      <c r="C46" s="92"/>
      <c r="D46" s="92"/>
      <c r="E46" s="92"/>
      <c r="F46" s="92"/>
      <c r="G46" s="92"/>
      <c r="H46" s="90"/>
      <c r="I46" s="90"/>
      <c r="J46" s="90"/>
      <c r="K46" s="92"/>
      <c r="L46" s="92"/>
      <c r="M46" s="92"/>
      <c r="N46" s="92"/>
      <c r="O46" s="92"/>
      <c r="P46" s="38"/>
    </row>
    <row r="47" spans="1:33" ht="15" customHeight="1" x14ac:dyDescent="0.45">
      <c r="A47" s="38"/>
      <c r="B47" s="90"/>
      <c r="C47" s="90"/>
      <c r="D47" s="90"/>
      <c r="E47" s="90"/>
      <c r="F47" s="90"/>
      <c r="G47" s="90"/>
      <c r="H47" s="90"/>
      <c r="I47" s="90"/>
      <c r="J47" s="90"/>
      <c r="K47" s="90"/>
      <c r="L47" s="90"/>
      <c r="M47" s="90"/>
      <c r="N47" s="90"/>
      <c r="O47" s="90"/>
      <c r="P47" s="38"/>
      <c r="V47" s="11"/>
      <c r="W47" s="10"/>
      <c r="X47" s="10"/>
      <c r="Y47" s="10"/>
      <c r="Z47" s="10"/>
      <c r="AA47" s="10"/>
      <c r="AB47" s="10"/>
      <c r="AC47" s="10"/>
      <c r="AD47" s="10"/>
      <c r="AE47" s="10"/>
      <c r="AF47" s="10"/>
      <c r="AG47" s="10"/>
    </row>
    <row r="48" spans="1:33" ht="15" customHeight="1" x14ac:dyDescent="0.45">
      <c r="A48" s="38"/>
      <c r="B48" s="292" t="s">
        <v>439</v>
      </c>
      <c r="C48" s="292"/>
      <c r="D48" s="91"/>
      <c r="E48" s="91"/>
      <c r="F48" s="382" t="str">
        <f>+BN!F48</f>
        <v>ssanabria</v>
      </c>
      <c r="G48" s="382"/>
      <c r="H48" s="382"/>
      <c r="I48" s="382"/>
      <c r="J48" s="382"/>
      <c r="K48" s="382"/>
      <c r="L48" s="91"/>
      <c r="M48" s="292" t="s">
        <v>441</v>
      </c>
      <c r="N48" s="292"/>
      <c r="O48" s="292"/>
      <c r="P48" s="38"/>
    </row>
    <row r="49" spans="1:42" ht="15" customHeight="1" x14ac:dyDescent="0.45">
      <c r="A49" s="38"/>
      <c r="B49" s="421" t="s">
        <v>45</v>
      </c>
      <c r="C49" s="421"/>
      <c r="D49" s="92"/>
      <c r="E49" s="92"/>
      <c r="F49" s="421" t="s">
        <v>46</v>
      </c>
      <c r="G49" s="421"/>
      <c r="H49" s="421"/>
      <c r="I49" s="421"/>
      <c r="J49" s="421"/>
      <c r="K49" s="421"/>
      <c r="L49" s="92"/>
      <c r="M49" s="421" t="s">
        <v>47</v>
      </c>
      <c r="N49" s="421"/>
      <c r="O49" s="421"/>
      <c r="P49" s="38"/>
    </row>
    <row r="50" spans="1:42" ht="15" customHeight="1" x14ac:dyDescent="0.45">
      <c r="A50" s="38"/>
      <c r="B50" s="90"/>
      <c r="C50" s="142"/>
      <c r="D50" s="142"/>
      <c r="E50" s="142"/>
      <c r="F50" s="142"/>
      <c r="G50" s="90"/>
      <c r="H50" s="90"/>
      <c r="I50" s="142"/>
      <c r="J50" s="142"/>
      <c r="K50" s="142"/>
      <c r="L50" s="142"/>
      <c r="M50" s="90"/>
      <c r="N50" s="90"/>
      <c r="O50" s="90"/>
      <c r="P50" s="38"/>
    </row>
    <row r="51" spans="1:42" ht="18.75" x14ac:dyDescent="0.45">
      <c r="A51" s="38"/>
      <c r="B51" s="92"/>
      <c r="C51" s="76"/>
      <c r="D51" s="76"/>
      <c r="E51" s="76"/>
      <c r="F51" s="66"/>
      <c r="G51" s="66"/>
      <c r="H51" s="66"/>
      <c r="I51" s="66"/>
      <c r="J51" s="66"/>
      <c r="K51" s="66"/>
      <c r="L51" s="66"/>
      <c r="M51" s="66"/>
      <c r="N51" s="66"/>
      <c r="O51" s="66"/>
      <c r="P51" s="38"/>
    </row>
    <row r="52" spans="1:42" ht="15.75" customHeight="1" x14ac:dyDescent="0.45">
      <c r="A52" s="38"/>
      <c r="B52" s="300" t="s">
        <v>49</v>
      </c>
      <c r="C52" s="300"/>
      <c r="D52" s="66"/>
      <c r="E52" s="66"/>
      <c r="F52" s="303"/>
      <c r="G52" s="303"/>
      <c r="H52" s="303"/>
      <c r="I52" s="303"/>
      <c r="J52" s="303"/>
      <c r="K52" s="302"/>
      <c r="L52" s="302"/>
      <c r="M52" s="66"/>
      <c r="N52" s="301" t="s">
        <v>457</v>
      </c>
      <c r="O52" s="301"/>
      <c r="P52" s="38"/>
    </row>
    <row r="53" spans="1:42" ht="20.100000000000001" customHeight="1" x14ac:dyDescent="0.45">
      <c r="A53" s="38"/>
      <c r="B53" s="38"/>
      <c r="C53" s="38"/>
      <c r="D53" s="38"/>
      <c r="E53" s="38"/>
      <c r="F53" s="38"/>
      <c r="G53" s="38"/>
      <c r="H53" s="38"/>
      <c r="I53" s="38"/>
      <c r="J53" s="38"/>
      <c r="K53" s="38"/>
      <c r="L53" s="38"/>
      <c r="M53" s="38"/>
      <c r="N53" s="38"/>
      <c r="O53" s="38"/>
      <c r="P53" s="38"/>
    </row>
    <row r="54" spans="1:42" x14ac:dyDescent="0.2"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P54" s="12"/>
    </row>
    <row r="55" spans="1:42" x14ac:dyDescent="0.2"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</row>
    <row r="56" spans="1:42" x14ac:dyDescent="0.2"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13"/>
      <c r="AE56" s="13"/>
      <c r="AF56" s="13"/>
    </row>
  </sheetData>
  <mergeCells count="26">
    <mergeCell ref="B52:C52"/>
    <mergeCell ref="M2:O3"/>
    <mergeCell ref="C4:E4"/>
    <mergeCell ref="F4:K4"/>
    <mergeCell ref="N52:O52"/>
    <mergeCell ref="B31:G45"/>
    <mergeCell ref="K31:O45"/>
    <mergeCell ref="M49:O49"/>
    <mergeCell ref="M48:O48"/>
    <mergeCell ref="F52:J52"/>
    <mergeCell ref="K52:L52"/>
    <mergeCell ref="K12:O12"/>
    <mergeCell ref="B13:G27"/>
    <mergeCell ref="F48:K48"/>
    <mergeCell ref="C6:J6"/>
    <mergeCell ref="B7:C7"/>
    <mergeCell ref="B2:B3"/>
    <mergeCell ref="C2:L3"/>
    <mergeCell ref="K13:O27"/>
    <mergeCell ref="B30:G30"/>
    <mergeCell ref="K30:O30"/>
    <mergeCell ref="AE7:AN7"/>
    <mergeCell ref="B12:G12"/>
    <mergeCell ref="F49:K49"/>
    <mergeCell ref="B48:C48"/>
    <mergeCell ref="B49:C49"/>
  </mergeCells>
  <pageMargins left="0.7" right="0.7" top="0.75" bottom="0.75" header="0.3" footer="0.3"/>
  <pageSetup paperSize="9" scale="72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31425" r:id="rId4" name="Check Box 1">
              <controlPr defaultSize="0" autoFill="0" autoLine="0" autoPict="0">
                <anchor moveWithCells="1">
                  <from>
                    <xdr:col>3</xdr:col>
                    <xdr:colOff>209550</xdr:colOff>
                    <xdr:row>6</xdr:row>
                    <xdr:rowOff>9525</xdr:rowOff>
                  </from>
                  <to>
                    <xdr:col>3</xdr:col>
                    <xdr:colOff>390525</xdr:colOff>
                    <xdr:row>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1426" r:id="rId5" name="Check Box 2">
              <controlPr defaultSize="0" autoFill="0" autoLine="0" autoPict="0">
                <anchor moveWithCells="1">
                  <from>
                    <xdr:col>3</xdr:col>
                    <xdr:colOff>209550</xdr:colOff>
                    <xdr:row>7</xdr:row>
                    <xdr:rowOff>9525</xdr:rowOff>
                  </from>
                  <to>
                    <xdr:col>3</xdr:col>
                    <xdr:colOff>390525</xdr:colOff>
                    <xdr:row>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1427" r:id="rId6" name="Check Box 3">
              <controlPr defaultSize="0" autoFill="0" autoLine="0" autoPict="0">
                <anchor moveWithCells="1">
                  <from>
                    <xdr:col>3</xdr:col>
                    <xdr:colOff>209550</xdr:colOff>
                    <xdr:row>8</xdr:row>
                    <xdr:rowOff>9525</xdr:rowOff>
                  </from>
                  <to>
                    <xdr:col>3</xdr:col>
                    <xdr:colOff>390525</xdr:colOff>
                    <xdr:row>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1428" r:id="rId7" name="Check Box 4">
              <controlPr defaultSize="0" autoFill="0" autoLine="0" autoPict="0">
                <anchor moveWithCells="1">
                  <from>
                    <xdr:col>3</xdr:col>
                    <xdr:colOff>209550</xdr:colOff>
                    <xdr:row>9</xdr:row>
                    <xdr:rowOff>9525</xdr:rowOff>
                  </from>
                  <to>
                    <xdr:col>3</xdr:col>
                    <xdr:colOff>390525</xdr:colOff>
                    <xdr:row>10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1429" r:id="rId8" name="Check Box 5">
              <controlPr defaultSize="0" autoFill="0" autoLine="0" autoPict="0">
                <anchor moveWithCells="1">
                  <from>
                    <xdr:col>11</xdr:col>
                    <xdr:colOff>609600</xdr:colOff>
                    <xdr:row>6</xdr:row>
                    <xdr:rowOff>9525</xdr:rowOff>
                  </from>
                  <to>
                    <xdr:col>11</xdr:col>
                    <xdr:colOff>790575</xdr:colOff>
                    <xdr:row>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1430" r:id="rId9" name="Check Box 6">
              <controlPr defaultSize="0" autoFill="0" autoLine="0" autoPict="0">
                <anchor moveWithCells="1">
                  <from>
                    <xdr:col>11</xdr:col>
                    <xdr:colOff>609600</xdr:colOff>
                    <xdr:row>7</xdr:row>
                    <xdr:rowOff>9525</xdr:rowOff>
                  </from>
                  <to>
                    <xdr:col>11</xdr:col>
                    <xdr:colOff>790575</xdr:colOff>
                    <xdr:row>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1431" r:id="rId10" name="Check Box 7">
              <controlPr defaultSize="0" autoFill="0" autoLine="0" autoPict="0">
                <anchor moveWithCells="1">
                  <from>
                    <xdr:col>11</xdr:col>
                    <xdr:colOff>609600</xdr:colOff>
                    <xdr:row>8</xdr:row>
                    <xdr:rowOff>9525</xdr:rowOff>
                  </from>
                  <to>
                    <xdr:col>11</xdr:col>
                    <xdr:colOff>790575</xdr:colOff>
                    <xdr:row>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1433" r:id="rId11" name="Check Box 9">
              <controlPr defaultSize="0" autoFill="0" autoLine="0" autoPict="0">
                <anchor moveWithCells="1">
                  <from>
                    <xdr:col>11</xdr:col>
                    <xdr:colOff>609600</xdr:colOff>
                    <xdr:row>6</xdr:row>
                    <xdr:rowOff>9525</xdr:rowOff>
                  </from>
                  <to>
                    <xdr:col>11</xdr:col>
                    <xdr:colOff>790575</xdr:colOff>
                    <xdr:row>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1434" r:id="rId12" name="Check Box 10">
              <controlPr defaultSize="0" autoFill="0" autoLine="0" autoPict="0">
                <anchor moveWithCells="1">
                  <from>
                    <xdr:col>11</xdr:col>
                    <xdr:colOff>609600</xdr:colOff>
                    <xdr:row>7</xdr:row>
                    <xdr:rowOff>9525</xdr:rowOff>
                  </from>
                  <to>
                    <xdr:col>11</xdr:col>
                    <xdr:colOff>790575</xdr:colOff>
                    <xdr:row>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1435" r:id="rId13" name="Check Box 11">
              <controlPr defaultSize="0" autoFill="0" autoLine="0" autoPict="0">
                <anchor moveWithCells="1">
                  <from>
                    <xdr:col>11</xdr:col>
                    <xdr:colOff>609600</xdr:colOff>
                    <xdr:row>8</xdr:row>
                    <xdr:rowOff>9525</xdr:rowOff>
                  </from>
                  <to>
                    <xdr:col>11</xdr:col>
                    <xdr:colOff>790575</xdr:colOff>
                    <xdr:row>9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Hoja11"/>
  <dimension ref="A1:AN55"/>
  <sheetViews>
    <sheetView showGridLines="0" view="pageBreakPreview" topLeftCell="B12" zoomScale="130" zoomScaleNormal="100" zoomScaleSheetLayoutView="130" workbookViewId="0">
      <selection activeCell="I39" sqref="I39"/>
    </sheetView>
  </sheetViews>
  <sheetFormatPr baseColWidth="10" defaultColWidth="3.28515625" defaultRowHeight="12.75" x14ac:dyDescent="0.2"/>
  <cols>
    <col min="1" max="1" width="3.28515625" customWidth="1"/>
    <col min="2" max="2" width="19.42578125" customWidth="1"/>
    <col min="3" max="3" width="9" customWidth="1"/>
    <col min="4" max="4" width="10.140625" customWidth="1"/>
    <col min="5" max="8" width="6.7109375" customWidth="1"/>
    <col min="9" max="9" width="10.5703125" customWidth="1"/>
    <col min="10" max="10" width="12.5703125" customWidth="1"/>
    <col min="11" max="11" width="8.42578125" customWidth="1"/>
    <col min="12" max="12" width="6.85546875" customWidth="1"/>
    <col min="13" max="13" width="3.28515625" customWidth="1"/>
    <col min="14" max="253" width="11.42578125" customWidth="1"/>
  </cols>
  <sheetData>
    <row r="1" spans="1:40" ht="20.100000000000001" customHeight="1" x14ac:dyDescent="0.45">
      <c r="A1" s="38"/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</row>
    <row r="2" spans="1:40" ht="27.75" customHeight="1" x14ac:dyDescent="0.45">
      <c r="A2" s="38"/>
      <c r="B2" s="332"/>
      <c r="C2" s="339" t="s">
        <v>147</v>
      </c>
      <c r="D2" s="340"/>
      <c r="E2" s="340"/>
      <c r="F2" s="340"/>
      <c r="G2" s="340"/>
      <c r="H2" s="340"/>
      <c r="I2" s="340"/>
      <c r="J2" s="318" t="s">
        <v>51</v>
      </c>
      <c r="K2" s="319"/>
      <c r="L2" s="320"/>
      <c r="M2" s="38"/>
    </row>
    <row r="3" spans="1:40" ht="27.75" customHeight="1" x14ac:dyDescent="0.45">
      <c r="A3" s="38"/>
      <c r="B3" s="333"/>
      <c r="C3" s="342"/>
      <c r="D3" s="343"/>
      <c r="E3" s="343"/>
      <c r="F3" s="343"/>
      <c r="G3" s="343"/>
      <c r="H3" s="343"/>
      <c r="I3" s="343"/>
      <c r="J3" s="321"/>
      <c r="K3" s="322"/>
      <c r="L3" s="323"/>
      <c r="M3" s="38"/>
    </row>
    <row r="4" spans="1:40" ht="18.75" x14ac:dyDescent="0.45">
      <c r="A4" s="38"/>
      <c r="B4" s="60" t="s">
        <v>52</v>
      </c>
      <c r="C4" s="334">
        <f>DATOS!AE7</f>
        <v>0</v>
      </c>
      <c r="D4" s="335"/>
      <c r="E4" s="338"/>
      <c r="F4" s="338"/>
      <c r="G4" s="338"/>
      <c r="H4" s="338"/>
      <c r="I4" s="61" t="s">
        <v>48</v>
      </c>
      <c r="J4" s="183">
        <f>DATOS!AS84</f>
        <v>45331</v>
      </c>
      <c r="K4" s="62"/>
      <c r="L4" s="63"/>
      <c r="M4" s="38"/>
    </row>
    <row r="5" spans="1:40" ht="18.75" x14ac:dyDescent="0.45">
      <c r="A5" s="38"/>
      <c r="B5" s="64" t="s">
        <v>7</v>
      </c>
      <c r="C5" s="65" t="str">
        <f>DATOS!E9</f>
        <v>WINDSHIELD / FRONTSHEIBE</v>
      </c>
      <c r="D5" s="66"/>
      <c r="E5" s="67"/>
      <c r="F5" s="67"/>
      <c r="G5" s="67"/>
      <c r="H5" s="67"/>
      <c r="I5" s="67"/>
      <c r="J5" s="67"/>
      <c r="K5" s="67"/>
      <c r="L5" s="68"/>
      <c r="M5" s="36"/>
      <c r="N5" s="14"/>
      <c r="O5" s="14"/>
      <c r="P5" s="14"/>
    </row>
    <row r="6" spans="1:40" ht="18.75" x14ac:dyDescent="0.45">
      <c r="A6" s="38"/>
      <c r="B6" s="69" t="s">
        <v>53</v>
      </c>
      <c r="C6" s="336" t="s">
        <v>54</v>
      </c>
      <c r="D6" s="336"/>
      <c r="E6" s="336"/>
      <c r="F6" s="336"/>
      <c r="G6" s="336"/>
      <c r="H6" s="336"/>
      <c r="I6" s="71"/>
      <c r="J6" s="70"/>
      <c r="K6" s="70"/>
      <c r="L6" s="72"/>
      <c r="M6" s="38"/>
      <c r="O6" s="6"/>
      <c r="P6" s="8"/>
      <c r="Q6" s="8"/>
      <c r="R6" s="8"/>
      <c r="S6" s="8"/>
      <c r="T6" s="8"/>
    </row>
    <row r="7" spans="1:40" ht="15" customHeight="1" x14ac:dyDescent="0.45">
      <c r="A7" s="38"/>
      <c r="B7" s="337" t="s">
        <v>55</v>
      </c>
      <c r="C7" s="338"/>
      <c r="D7" s="74" t="s">
        <v>56</v>
      </c>
      <c r="E7" s="158"/>
      <c r="F7" s="158"/>
      <c r="G7" s="157"/>
      <c r="H7" s="157"/>
      <c r="I7" s="157"/>
      <c r="J7" s="157" t="s">
        <v>57</v>
      </c>
      <c r="K7" s="157"/>
      <c r="L7" s="159"/>
      <c r="O7" s="6"/>
      <c r="P7" s="8"/>
      <c r="Q7" s="8"/>
      <c r="R7" s="8"/>
      <c r="S7" s="8"/>
      <c r="T7" s="8"/>
      <c r="AE7" s="249" t="s">
        <v>456</v>
      </c>
      <c r="AF7" s="249"/>
      <c r="AG7" s="249"/>
      <c r="AH7" s="249"/>
      <c r="AI7" s="249"/>
      <c r="AJ7" s="249"/>
      <c r="AK7" s="249"/>
      <c r="AL7" s="249"/>
      <c r="AM7" s="249"/>
      <c r="AN7" s="249"/>
    </row>
    <row r="8" spans="1:40" ht="15" customHeight="1" x14ac:dyDescent="0.45">
      <c r="A8" s="38"/>
      <c r="B8" s="75"/>
      <c r="C8" s="76"/>
      <c r="D8" s="66" t="s">
        <v>58</v>
      </c>
      <c r="E8" s="10"/>
      <c r="F8" s="10"/>
      <c r="G8" s="8"/>
      <c r="H8" s="8"/>
      <c r="I8" s="8"/>
      <c r="J8" s="8" t="s">
        <v>59</v>
      </c>
      <c r="K8" s="8"/>
      <c r="L8" s="160"/>
      <c r="O8" s="6"/>
      <c r="P8" s="8"/>
      <c r="Q8" s="8"/>
      <c r="R8" s="8"/>
      <c r="S8" s="8"/>
      <c r="T8" s="8"/>
      <c r="AE8" s="38"/>
      <c r="AF8" s="38"/>
      <c r="AG8" s="38"/>
      <c r="AH8" s="38"/>
      <c r="AI8" s="38"/>
      <c r="AJ8" s="38"/>
      <c r="AK8" s="38"/>
      <c r="AL8" s="38"/>
      <c r="AM8" s="38"/>
      <c r="AN8" s="38"/>
    </row>
    <row r="9" spans="1:40" ht="15" customHeight="1" x14ac:dyDescent="0.45">
      <c r="A9" s="38"/>
      <c r="B9" s="77"/>
      <c r="C9" s="66"/>
      <c r="D9" s="66" t="s">
        <v>60</v>
      </c>
      <c r="E9" s="8"/>
      <c r="F9" s="8"/>
      <c r="G9" s="8"/>
      <c r="H9" s="8"/>
      <c r="I9" s="8"/>
      <c r="J9" s="8" t="s">
        <v>61</v>
      </c>
      <c r="K9" s="8"/>
      <c r="L9" s="160"/>
      <c r="O9" s="6"/>
      <c r="P9" s="8"/>
      <c r="Q9" s="8"/>
      <c r="R9" s="8"/>
      <c r="S9" s="8"/>
      <c r="T9" s="8"/>
    </row>
    <row r="10" spans="1:40" ht="15" customHeight="1" x14ac:dyDescent="0.45">
      <c r="A10" s="38"/>
      <c r="B10" s="78"/>
      <c r="C10" s="79"/>
      <c r="D10" s="79" t="s">
        <v>62</v>
      </c>
      <c r="E10" s="79"/>
      <c r="F10" s="79"/>
      <c r="G10" s="79"/>
      <c r="H10" s="79"/>
      <c r="I10" s="79"/>
      <c r="J10" s="79"/>
      <c r="K10" s="79"/>
      <c r="L10" s="80"/>
      <c r="M10" s="38"/>
      <c r="O10" s="6"/>
      <c r="P10" s="8"/>
      <c r="Q10" s="8"/>
      <c r="R10" s="8"/>
      <c r="S10" s="8"/>
      <c r="T10" s="8"/>
    </row>
    <row r="11" spans="1:40" ht="15" customHeight="1" x14ac:dyDescent="0.45">
      <c r="A11" s="38"/>
      <c r="B11" s="66"/>
      <c r="C11" s="66"/>
      <c r="D11" s="66"/>
      <c r="E11" s="66"/>
      <c r="F11" s="66"/>
      <c r="G11" s="66"/>
      <c r="H11" s="66"/>
      <c r="I11" s="66"/>
      <c r="J11" s="66"/>
      <c r="K11" s="66"/>
      <c r="L11" s="66"/>
      <c r="M11" s="38"/>
      <c r="O11" s="6"/>
      <c r="P11" s="8"/>
      <c r="Q11" s="8"/>
      <c r="R11" s="8"/>
      <c r="S11" s="8"/>
      <c r="T11" s="8"/>
    </row>
    <row r="12" spans="1:40" ht="15" customHeight="1" x14ac:dyDescent="0.45">
      <c r="A12" s="38"/>
      <c r="B12" s="66"/>
      <c r="C12" s="76"/>
      <c r="D12" s="76"/>
      <c r="E12" s="76"/>
      <c r="F12" s="76"/>
      <c r="G12" s="76"/>
      <c r="H12" s="76"/>
      <c r="I12" s="76"/>
      <c r="J12" s="76"/>
      <c r="K12" s="66"/>
      <c r="L12" s="66"/>
      <c r="M12" s="38"/>
      <c r="O12" s="6"/>
      <c r="P12" s="8"/>
      <c r="Q12" s="8"/>
      <c r="R12" s="8"/>
      <c r="S12" s="8"/>
      <c r="T12" s="8"/>
    </row>
    <row r="13" spans="1:40" ht="15" customHeight="1" x14ac:dyDescent="0.45">
      <c r="A13" s="38"/>
      <c r="B13" s="102"/>
      <c r="C13" s="102"/>
      <c r="D13" s="102"/>
      <c r="E13" s="102"/>
      <c r="F13" s="102"/>
      <c r="G13" s="102"/>
      <c r="H13" s="102"/>
      <c r="I13" s="102"/>
      <c r="J13" s="102"/>
      <c r="K13" s="102"/>
      <c r="L13" s="102"/>
      <c r="M13" s="38"/>
    </row>
    <row r="14" spans="1:40" ht="15" customHeight="1" x14ac:dyDescent="0.45">
      <c r="A14" s="38"/>
      <c r="B14" s="76"/>
      <c r="C14" s="102"/>
      <c r="D14" s="102"/>
      <c r="E14" s="102"/>
      <c r="F14" s="102"/>
      <c r="G14" s="102"/>
      <c r="H14" s="102"/>
      <c r="I14" s="102"/>
      <c r="J14" s="102"/>
      <c r="K14" s="76"/>
      <c r="L14" s="76"/>
      <c r="M14" s="38"/>
      <c r="P14" s="15" t="s">
        <v>142</v>
      </c>
      <c r="Q14" s="15"/>
      <c r="R14" s="15"/>
      <c r="S14" s="15"/>
      <c r="T14" s="15"/>
      <c r="U14" s="15"/>
      <c r="V14" s="15"/>
    </row>
    <row r="15" spans="1:40" ht="13.5" customHeight="1" x14ac:dyDescent="0.45">
      <c r="A15" s="38"/>
      <c r="B15" s="76"/>
      <c r="C15" s="102"/>
      <c r="D15" s="102"/>
      <c r="E15" s="102"/>
      <c r="F15" s="102"/>
      <c r="G15" s="102"/>
      <c r="H15" s="102"/>
      <c r="I15" s="102"/>
      <c r="J15" s="102"/>
      <c r="K15" s="76"/>
      <c r="L15" s="76"/>
      <c r="M15" s="38"/>
      <c r="P15" s="16"/>
      <c r="Q15" s="16"/>
      <c r="R15" s="16"/>
      <c r="S15" s="16"/>
      <c r="T15" s="16"/>
      <c r="U15" s="16"/>
      <c r="V15" s="16"/>
    </row>
    <row r="16" spans="1:40" ht="13.5" customHeight="1" x14ac:dyDescent="0.45">
      <c r="A16" s="38"/>
      <c r="B16" s="76"/>
      <c r="C16" s="102"/>
      <c r="D16" s="102"/>
      <c r="E16" s="102"/>
      <c r="F16" s="102"/>
      <c r="G16" s="102"/>
      <c r="H16" s="102"/>
      <c r="I16" s="102"/>
      <c r="J16" s="102"/>
      <c r="K16" s="76"/>
      <c r="L16" s="76"/>
      <c r="M16" s="38"/>
      <c r="P16" s="16"/>
      <c r="Q16" s="16"/>
      <c r="R16" s="16"/>
      <c r="S16" s="16"/>
      <c r="T16" s="16"/>
      <c r="U16" s="16"/>
      <c r="V16" s="16"/>
    </row>
    <row r="17" spans="1:22" ht="13.5" customHeight="1" x14ac:dyDescent="0.45">
      <c r="A17" s="38"/>
      <c r="B17" s="76"/>
      <c r="C17" s="102"/>
      <c r="D17" s="102"/>
      <c r="E17" s="102"/>
      <c r="F17" s="102"/>
      <c r="G17" s="102"/>
      <c r="H17" s="102"/>
      <c r="I17" s="102"/>
      <c r="J17" s="102"/>
      <c r="K17" s="76"/>
      <c r="L17" s="76"/>
      <c r="M17" s="38"/>
      <c r="P17" s="16"/>
      <c r="Q17" s="16"/>
      <c r="R17" s="16"/>
      <c r="S17" s="16"/>
      <c r="T17" s="16"/>
      <c r="U17" s="16"/>
      <c r="V17" s="16"/>
    </row>
    <row r="18" spans="1:22" ht="13.5" customHeight="1" x14ac:dyDescent="0.45">
      <c r="A18" s="38"/>
      <c r="B18" s="76"/>
      <c r="C18" s="102"/>
      <c r="D18" s="102"/>
      <c r="E18" s="102"/>
      <c r="F18" s="102"/>
      <c r="G18" s="102"/>
      <c r="H18" s="102"/>
      <c r="I18" s="102"/>
      <c r="J18" s="102"/>
      <c r="K18" s="76"/>
      <c r="L18" s="76"/>
      <c r="M18" s="38"/>
      <c r="P18" s="16"/>
      <c r="Q18" s="16"/>
      <c r="R18" s="16"/>
      <c r="S18" s="16"/>
      <c r="T18" s="16"/>
      <c r="U18" s="16"/>
      <c r="V18" s="16"/>
    </row>
    <row r="19" spans="1:22" ht="13.5" customHeight="1" x14ac:dyDescent="0.45">
      <c r="A19" s="38"/>
      <c r="B19" s="76"/>
      <c r="C19" s="102"/>
      <c r="D19" s="102"/>
      <c r="E19" s="102"/>
      <c r="F19" s="102"/>
      <c r="G19" s="102"/>
      <c r="H19" s="102"/>
      <c r="I19" s="102"/>
      <c r="J19" s="102"/>
      <c r="K19" s="76"/>
      <c r="L19" s="76"/>
      <c r="M19" s="38"/>
      <c r="P19" s="16"/>
      <c r="Q19" s="16"/>
      <c r="R19" s="16"/>
      <c r="S19" s="16"/>
      <c r="T19" s="16"/>
      <c r="U19" s="16"/>
      <c r="V19" s="16"/>
    </row>
    <row r="20" spans="1:22" ht="13.5" customHeight="1" x14ac:dyDescent="0.45">
      <c r="A20" s="38"/>
      <c r="B20" s="76"/>
      <c r="C20" s="102"/>
      <c r="D20" s="102"/>
      <c r="E20" s="102"/>
      <c r="F20" s="102"/>
      <c r="G20" s="102"/>
      <c r="H20" s="102"/>
      <c r="I20" s="102"/>
      <c r="J20" s="102"/>
      <c r="K20" s="76"/>
      <c r="L20" s="76"/>
      <c r="M20" s="38"/>
      <c r="P20" s="16"/>
      <c r="Q20" s="16"/>
      <c r="R20" s="16"/>
      <c r="S20" s="16"/>
      <c r="T20" s="16"/>
      <c r="U20" s="16"/>
      <c r="V20" s="16"/>
    </row>
    <row r="21" spans="1:22" ht="13.5" customHeight="1" x14ac:dyDescent="0.45">
      <c r="A21" s="38"/>
      <c r="B21" s="76"/>
      <c r="C21" s="102"/>
      <c r="D21" s="102"/>
      <c r="E21" s="102"/>
      <c r="F21" s="102"/>
      <c r="G21" s="102"/>
      <c r="H21" s="102"/>
      <c r="I21" s="102"/>
      <c r="J21" s="102"/>
      <c r="K21" s="76"/>
      <c r="L21" s="76"/>
      <c r="M21" s="38"/>
      <c r="P21" s="16"/>
      <c r="Q21" s="16"/>
      <c r="R21" s="16"/>
      <c r="S21" s="16"/>
      <c r="T21" s="16"/>
      <c r="U21" s="16"/>
      <c r="V21" s="16"/>
    </row>
    <row r="22" spans="1:22" ht="13.5" customHeight="1" x14ac:dyDescent="0.45">
      <c r="A22" s="38"/>
      <c r="B22" s="76"/>
      <c r="C22" s="102"/>
      <c r="D22" s="102"/>
      <c r="E22" s="102"/>
      <c r="F22" s="102"/>
      <c r="G22" s="102"/>
      <c r="H22" s="102"/>
      <c r="I22" s="102"/>
      <c r="J22" s="102"/>
      <c r="K22" s="76"/>
      <c r="L22" s="76"/>
      <c r="M22" s="38"/>
      <c r="P22" s="16"/>
      <c r="Q22" s="16"/>
      <c r="R22" s="16"/>
      <c r="S22" s="16"/>
      <c r="T22" s="16"/>
      <c r="U22" s="16"/>
      <c r="V22" s="16"/>
    </row>
    <row r="23" spans="1:22" ht="13.5" customHeight="1" x14ac:dyDescent="0.45">
      <c r="A23" s="38"/>
      <c r="B23" s="76"/>
      <c r="C23" s="102"/>
      <c r="D23" s="102"/>
      <c r="E23" s="102"/>
      <c r="F23" s="102"/>
      <c r="G23" s="102"/>
      <c r="H23" s="102"/>
      <c r="I23" s="102"/>
      <c r="J23" s="102"/>
      <c r="K23" s="76"/>
      <c r="L23" s="76"/>
      <c r="M23" s="38"/>
      <c r="P23" s="16"/>
      <c r="Q23" s="16"/>
      <c r="R23" s="16"/>
      <c r="S23" s="16"/>
      <c r="T23" s="16"/>
      <c r="U23" s="16"/>
      <c r="V23" s="16"/>
    </row>
    <row r="24" spans="1:22" ht="13.5" customHeight="1" x14ac:dyDescent="0.45">
      <c r="A24" s="38"/>
      <c r="B24" s="76"/>
      <c r="C24" s="102"/>
      <c r="D24" s="102"/>
      <c r="E24" s="102"/>
      <c r="F24" s="102"/>
      <c r="G24" s="102"/>
      <c r="H24" s="102"/>
      <c r="I24" s="102"/>
      <c r="J24" s="102"/>
      <c r="K24" s="76"/>
      <c r="L24" s="76"/>
      <c r="M24" s="38"/>
      <c r="P24" s="16"/>
      <c r="Q24" s="16"/>
      <c r="R24" s="16"/>
      <c r="S24" s="16"/>
      <c r="T24" s="16"/>
      <c r="U24" s="16"/>
      <c r="V24" s="16"/>
    </row>
    <row r="25" spans="1:22" ht="13.5" customHeight="1" x14ac:dyDescent="0.45">
      <c r="A25" s="38"/>
      <c r="B25" s="76"/>
      <c r="C25" s="102"/>
      <c r="D25" s="102"/>
      <c r="E25" s="102"/>
      <c r="F25" s="102"/>
      <c r="G25" s="102"/>
      <c r="H25" s="102"/>
      <c r="I25" s="102"/>
      <c r="J25" s="102"/>
      <c r="K25" s="76"/>
      <c r="L25" s="76"/>
      <c r="M25" s="38"/>
      <c r="P25" s="16"/>
      <c r="Q25" s="16"/>
      <c r="R25" s="16"/>
      <c r="S25" s="16"/>
      <c r="T25" s="16"/>
      <c r="U25" s="16"/>
      <c r="V25" s="16"/>
    </row>
    <row r="26" spans="1:22" ht="13.5" customHeight="1" x14ac:dyDescent="0.45">
      <c r="A26" s="38"/>
      <c r="B26" s="76"/>
      <c r="C26" s="102"/>
      <c r="D26" s="102"/>
      <c r="E26" s="102"/>
      <c r="F26" s="102"/>
      <c r="G26" s="102"/>
      <c r="H26" s="102"/>
      <c r="I26" s="102"/>
      <c r="J26" s="102"/>
      <c r="K26" s="76"/>
      <c r="L26" s="76"/>
      <c r="M26" s="38"/>
      <c r="P26" s="16"/>
      <c r="Q26" s="16"/>
      <c r="R26" s="16"/>
      <c r="S26" s="16"/>
      <c r="T26" s="16"/>
      <c r="U26" s="16"/>
      <c r="V26" s="16"/>
    </row>
    <row r="27" spans="1:22" ht="13.5" customHeight="1" x14ac:dyDescent="0.45">
      <c r="A27" s="38"/>
      <c r="B27" s="76"/>
      <c r="C27" s="102"/>
      <c r="D27" s="102"/>
      <c r="E27" s="102"/>
      <c r="F27" s="102"/>
      <c r="G27" s="102"/>
      <c r="H27" s="102"/>
      <c r="I27" s="102"/>
      <c r="J27" s="102"/>
      <c r="K27" s="76"/>
      <c r="L27" s="76"/>
      <c r="M27" s="38"/>
      <c r="P27" s="16"/>
      <c r="Q27" s="16"/>
      <c r="R27" s="16"/>
      <c r="S27" s="16"/>
      <c r="T27" s="16"/>
      <c r="U27" s="16"/>
      <c r="V27" s="16"/>
    </row>
    <row r="28" spans="1:22" ht="13.5" customHeight="1" x14ac:dyDescent="0.45">
      <c r="A28" s="38"/>
      <c r="B28" s="76"/>
      <c r="C28" s="76"/>
      <c r="D28" s="76"/>
      <c r="E28" s="76"/>
      <c r="F28" s="76"/>
      <c r="G28" s="76"/>
      <c r="H28" s="76"/>
      <c r="I28" s="76"/>
      <c r="J28" s="76"/>
      <c r="K28" s="76"/>
      <c r="L28" s="76"/>
      <c r="M28" s="38"/>
      <c r="P28" s="16"/>
      <c r="Q28" s="16"/>
      <c r="R28" s="16"/>
      <c r="S28" s="16"/>
      <c r="T28" s="16"/>
      <c r="U28" s="16"/>
      <c r="V28" s="16"/>
    </row>
    <row r="29" spans="1:22" ht="13.5" customHeight="1" x14ac:dyDescent="0.45">
      <c r="A29" s="38"/>
      <c r="B29" s="76"/>
      <c r="C29" s="76"/>
      <c r="D29" s="76"/>
      <c r="E29" s="76"/>
      <c r="F29" s="76"/>
      <c r="G29" s="76"/>
      <c r="H29" s="76"/>
      <c r="I29" s="76"/>
      <c r="J29" s="76"/>
      <c r="K29" s="76"/>
      <c r="L29" s="76"/>
      <c r="M29" s="38"/>
      <c r="P29" s="16"/>
      <c r="Q29" s="16"/>
      <c r="R29" s="16"/>
      <c r="S29" s="16"/>
      <c r="T29" s="16"/>
      <c r="U29" s="16"/>
      <c r="V29" s="16"/>
    </row>
    <row r="30" spans="1:22" ht="15" customHeight="1" x14ac:dyDescent="0.45">
      <c r="A30" s="38"/>
      <c r="B30" s="76"/>
      <c r="C30" s="76"/>
      <c r="D30" s="76"/>
      <c r="E30" s="76"/>
      <c r="F30" s="76"/>
      <c r="G30" s="76"/>
      <c r="H30" s="76"/>
      <c r="I30" s="76"/>
      <c r="J30" s="76"/>
      <c r="K30" s="76"/>
      <c r="L30" s="76"/>
      <c r="M30" s="38"/>
      <c r="P30" s="16"/>
      <c r="Q30" s="16"/>
      <c r="R30" s="16"/>
      <c r="S30" s="16"/>
      <c r="T30" s="16"/>
      <c r="U30" s="16"/>
      <c r="V30" s="16"/>
    </row>
    <row r="31" spans="1:22" ht="13.5" customHeight="1" x14ac:dyDescent="0.45">
      <c r="A31" s="38"/>
      <c r="B31" s="76"/>
      <c r="C31" s="76"/>
      <c r="D31" s="76"/>
      <c r="E31" s="76"/>
      <c r="F31" s="76"/>
      <c r="G31" s="76"/>
      <c r="H31" s="76"/>
      <c r="I31" s="76"/>
      <c r="J31" s="76"/>
      <c r="K31" s="76"/>
      <c r="L31" s="76"/>
      <c r="M31" s="38"/>
      <c r="P31" s="16"/>
      <c r="Q31" s="16"/>
      <c r="R31" s="16"/>
      <c r="S31" s="16"/>
      <c r="T31" s="16"/>
      <c r="U31" s="16"/>
      <c r="V31" s="16"/>
    </row>
    <row r="32" spans="1:22" ht="13.5" customHeight="1" x14ac:dyDescent="0.45">
      <c r="A32" s="38"/>
      <c r="B32" s="76"/>
      <c r="C32" s="76"/>
      <c r="D32" s="76"/>
      <c r="E32" s="76"/>
      <c r="F32" s="76"/>
      <c r="G32" s="76"/>
      <c r="H32" s="76"/>
      <c r="I32" s="76"/>
      <c r="J32" s="76"/>
      <c r="K32" s="76"/>
      <c r="L32" s="76"/>
      <c r="M32" s="38"/>
      <c r="P32" s="16"/>
      <c r="Q32" s="16"/>
      <c r="R32" s="16"/>
      <c r="S32" s="16"/>
      <c r="T32" s="16"/>
      <c r="U32" s="16"/>
      <c r="V32" s="16"/>
    </row>
    <row r="33" spans="1:30" ht="13.5" customHeight="1" x14ac:dyDescent="0.45">
      <c r="A33" s="38"/>
      <c r="B33" s="76"/>
      <c r="C33" s="76"/>
      <c r="D33" s="76"/>
      <c r="E33" s="76"/>
      <c r="F33" s="76"/>
      <c r="G33" s="76"/>
      <c r="H33" s="76"/>
      <c r="I33" s="76"/>
      <c r="J33" s="76"/>
      <c r="K33" s="76"/>
      <c r="L33" s="76"/>
      <c r="M33" s="38"/>
      <c r="P33" s="16"/>
      <c r="Q33" s="16"/>
      <c r="R33" s="16"/>
      <c r="S33" s="16"/>
      <c r="T33" s="16"/>
      <c r="U33" s="16"/>
      <c r="V33" s="16"/>
    </row>
    <row r="34" spans="1:30" ht="13.5" customHeight="1" x14ac:dyDescent="0.45">
      <c r="A34" s="38"/>
      <c r="B34" s="76"/>
      <c r="C34" s="76"/>
      <c r="D34" s="76"/>
      <c r="E34" s="424">
        <v>1</v>
      </c>
      <c r="F34" s="425"/>
      <c r="G34" s="424">
        <v>2</v>
      </c>
      <c r="H34" s="425"/>
      <c r="I34" s="76"/>
      <c r="J34" s="76"/>
      <c r="K34" s="76"/>
      <c r="L34" s="76"/>
      <c r="M34" s="38"/>
      <c r="P34" s="16"/>
      <c r="Q34" s="16"/>
      <c r="R34" s="16"/>
      <c r="S34" s="16"/>
      <c r="T34" s="16"/>
      <c r="U34" s="16"/>
      <c r="V34" s="16"/>
    </row>
    <row r="35" spans="1:30" ht="13.5" customHeight="1" thickBot="1" x14ac:dyDescent="0.5">
      <c r="A35" s="38"/>
      <c r="B35" s="76"/>
      <c r="C35" s="76"/>
      <c r="D35" s="76"/>
      <c r="E35" s="143" t="s">
        <v>68</v>
      </c>
      <c r="F35" s="144" t="s">
        <v>69</v>
      </c>
      <c r="G35" s="143" t="s">
        <v>68</v>
      </c>
      <c r="H35" s="144" t="s">
        <v>69</v>
      </c>
      <c r="I35" s="76"/>
      <c r="J35" s="76"/>
      <c r="K35" s="76"/>
      <c r="L35" s="76"/>
      <c r="M35" s="38"/>
      <c r="P35" s="10"/>
      <c r="Q35" s="10"/>
      <c r="R35" s="10"/>
      <c r="S35" s="10"/>
      <c r="T35" s="10"/>
      <c r="U35" s="16"/>
      <c r="V35" s="16"/>
    </row>
    <row r="36" spans="1:30" ht="13.5" customHeight="1" thickBot="1" x14ac:dyDescent="0.5">
      <c r="A36" s="38"/>
      <c r="B36" s="76"/>
      <c r="C36" s="76"/>
      <c r="D36" s="145" t="s">
        <v>148</v>
      </c>
      <c r="E36" s="146">
        <v>144.4</v>
      </c>
      <c r="F36" s="147">
        <v>148.4</v>
      </c>
      <c r="G36" s="146">
        <v>55.4</v>
      </c>
      <c r="H36" s="147">
        <v>59.4</v>
      </c>
      <c r="I36" s="76"/>
      <c r="J36" s="76"/>
      <c r="K36" s="76"/>
      <c r="L36" s="76"/>
      <c r="M36" s="38"/>
      <c r="P36" s="10"/>
      <c r="Q36" s="7"/>
      <c r="R36" s="7"/>
      <c r="S36" s="7"/>
      <c r="T36" s="7"/>
      <c r="U36" s="16"/>
      <c r="V36" s="16"/>
    </row>
    <row r="37" spans="1:30" ht="13.5" customHeight="1" x14ac:dyDescent="0.45">
      <c r="A37" s="38"/>
      <c r="B37" s="76"/>
      <c r="C37" s="76"/>
      <c r="D37" s="148" t="s">
        <v>149</v>
      </c>
      <c r="E37" s="430" t="s">
        <v>470</v>
      </c>
      <c r="F37" s="431"/>
      <c r="G37" s="430" t="s">
        <v>471</v>
      </c>
      <c r="H37" s="431"/>
      <c r="I37" s="76"/>
      <c r="J37" s="76"/>
      <c r="K37" s="76"/>
      <c r="L37" s="76"/>
      <c r="M37" s="38"/>
      <c r="P37" s="10"/>
      <c r="Q37" s="7"/>
      <c r="R37" s="7"/>
      <c r="S37" s="7"/>
      <c r="T37" s="7"/>
      <c r="U37" s="16"/>
      <c r="V37" s="16"/>
    </row>
    <row r="38" spans="1:30" s="6" customFormat="1" ht="15" customHeight="1" x14ac:dyDescent="0.45">
      <c r="A38" s="38"/>
      <c r="B38" s="76"/>
      <c r="C38" s="76"/>
      <c r="D38" s="149" t="s">
        <v>19</v>
      </c>
      <c r="E38" s="426" t="s">
        <v>150</v>
      </c>
      <c r="F38" s="427"/>
      <c r="G38" s="434" t="s">
        <v>472</v>
      </c>
      <c r="H38" s="435"/>
      <c r="I38" s="76"/>
      <c r="J38" s="76"/>
      <c r="K38" s="76"/>
      <c r="L38" s="76"/>
      <c r="M38" s="38"/>
      <c r="P38" s="10"/>
      <c r="Q38" s="10"/>
      <c r="R38" s="10"/>
      <c r="S38" s="10"/>
      <c r="T38" s="10"/>
      <c r="U38" s="16"/>
      <c r="V38" s="16"/>
    </row>
    <row r="39" spans="1:30" s="6" customFormat="1" ht="15" customHeight="1" x14ac:dyDescent="0.45">
      <c r="A39" s="38"/>
      <c r="B39" s="76"/>
      <c r="C39" s="76"/>
      <c r="D39" s="149" t="s">
        <v>151</v>
      </c>
      <c r="E39" s="434" t="s">
        <v>468</v>
      </c>
      <c r="F39" s="435"/>
      <c r="G39" s="434" t="s">
        <v>473</v>
      </c>
      <c r="H39" s="435"/>
      <c r="I39" s="76"/>
      <c r="J39" s="76"/>
      <c r="K39" s="76"/>
      <c r="L39" s="76"/>
      <c r="M39" s="38"/>
      <c r="P39" s="10"/>
      <c r="Q39" s="10"/>
      <c r="R39" s="10"/>
      <c r="S39" s="10"/>
      <c r="T39" s="10"/>
      <c r="U39" s="16"/>
      <c r="V39" s="16"/>
    </row>
    <row r="40" spans="1:30" s="6" customFormat="1" ht="15" customHeight="1" thickBot="1" x14ac:dyDescent="0.5">
      <c r="A40" s="38"/>
      <c r="B40" s="76"/>
      <c r="C40" s="76"/>
      <c r="D40" s="150" t="s">
        <v>152</v>
      </c>
      <c r="E40" s="428" t="s">
        <v>150</v>
      </c>
      <c r="F40" s="429"/>
      <c r="G40" s="432" t="s">
        <v>474</v>
      </c>
      <c r="H40" s="433"/>
      <c r="I40" s="76"/>
      <c r="J40" s="76"/>
      <c r="K40" s="76"/>
      <c r="L40" s="76"/>
      <c r="M40" s="38"/>
      <c r="P40" s="10"/>
      <c r="Q40" s="10"/>
      <c r="R40" s="10"/>
      <c r="S40" s="10"/>
      <c r="T40" s="10"/>
      <c r="U40" s="16"/>
      <c r="V40" s="16"/>
    </row>
    <row r="41" spans="1:30" s="6" customFormat="1" ht="15" customHeight="1" x14ac:dyDescent="0.45">
      <c r="A41" s="38"/>
      <c r="B41" s="76"/>
      <c r="C41" s="76"/>
      <c r="D41" s="76"/>
      <c r="E41" s="76"/>
      <c r="F41" s="76"/>
      <c r="G41" s="76"/>
      <c r="H41" s="76"/>
      <c r="I41" s="76"/>
      <c r="J41" s="76"/>
      <c r="K41" s="76"/>
      <c r="L41" s="76"/>
      <c r="M41" s="38"/>
      <c r="P41" s="10"/>
      <c r="Q41" s="10"/>
      <c r="R41" s="10"/>
      <c r="S41" s="10"/>
      <c r="T41" s="10"/>
      <c r="U41" s="16"/>
      <c r="V41" s="16"/>
    </row>
    <row r="42" spans="1:30" s="6" customFormat="1" ht="15" customHeight="1" x14ac:dyDescent="0.45">
      <c r="A42" s="38"/>
      <c r="B42" s="76"/>
      <c r="C42" s="76"/>
      <c r="D42" s="76"/>
      <c r="E42" s="76"/>
      <c r="F42" s="76"/>
      <c r="G42" s="76"/>
      <c r="H42" s="76"/>
      <c r="I42" s="76"/>
      <c r="J42" s="76"/>
      <c r="K42" s="76"/>
      <c r="L42" s="76"/>
      <c r="M42" s="38"/>
      <c r="P42" s="16"/>
      <c r="Q42" s="16"/>
      <c r="R42" s="16"/>
      <c r="S42" s="16"/>
      <c r="T42" s="16"/>
      <c r="U42" s="16"/>
      <c r="V42" s="16"/>
    </row>
    <row r="43" spans="1:30" s="6" customFormat="1" ht="15" customHeight="1" x14ac:dyDescent="0.45">
      <c r="A43" s="38"/>
      <c r="B43" s="76"/>
      <c r="C43" s="76"/>
      <c r="D43" s="76"/>
      <c r="E43" s="76"/>
      <c r="F43" s="76"/>
      <c r="G43" s="76"/>
      <c r="H43" s="76"/>
      <c r="I43" s="76"/>
      <c r="J43" s="76"/>
      <c r="K43" s="76"/>
      <c r="L43" s="76"/>
      <c r="M43" s="38"/>
      <c r="P43" s="16"/>
      <c r="Q43" s="16"/>
      <c r="R43" s="16"/>
      <c r="S43" s="16"/>
      <c r="T43" s="16"/>
      <c r="U43" s="16"/>
      <c r="V43" s="16"/>
    </row>
    <row r="44" spans="1:30" s="6" customFormat="1" ht="15" customHeight="1" x14ac:dyDescent="0.45">
      <c r="A44" s="38"/>
      <c r="B44" s="76"/>
      <c r="C44" s="76"/>
      <c r="D44" s="76"/>
      <c r="E44" s="76"/>
      <c r="F44" s="76"/>
      <c r="G44" s="76"/>
      <c r="H44" s="76"/>
      <c r="I44" s="76"/>
      <c r="J44" s="76"/>
      <c r="K44" s="76"/>
      <c r="L44" s="76"/>
      <c r="M44" s="38"/>
      <c r="P44" s="16"/>
      <c r="Q44" s="16"/>
      <c r="R44" s="16"/>
      <c r="S44" s="16"/>
      <c r="T44" s="16"/>
      <c r="U44" s="16"/>
      <c r="V44" s="16"/>
    </row>
    <row r="45" spans="1:30" ht="15" customHeight="1" x14ac:dyDescent="0.45">
      <c r="A45" s="38"/>
      <c r="B45" s="92"/>
      <c r="C45" s="92"/>
      <c r="D45" s="92"/>
      <c r="E45" s="92"/>
      <c r="F45" s="92"/>
      <c r="G45" s="90"/>
      <c r="H45" s="90"/>
      <c r="I45" s="92"/>
      <c r="J45" s="92"/>
      <c r="K45" s="92"/>
      <c r="L45" s="92"/>
      <c r="M45" s="38"/>
    </row>
    <row r="46" spans="1:30" ht="15" customHeight="1" x14ac:dyDescent="0.45">
      <c r="A46" s="38"/>
      <c r="B46" s="90"/>
      <c r="C46" s="90"/>
      <c r="D46" s="90"/>
      <c r="E46" s="90"/>
      <c r="F46" s="90"/>
      <c r="G46" s="90"/>
      <c r="H46" s="90"/>
      <c r="I46" s="90"/>
      <c r="J46" s="90"/>
      <c r="K46" s="90"/>
      <c r="L46" s="90"/>
      <c r="M46" s="38"/>
      <c r="S46" s="11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</row>
    <row r="47" spans="1:30" ht="15" customHeight="1" x14ac:dyDescent="0.45">
      <c r="A47" s="38"/>
      <c r="B47" s="292" t="s">
        <v>439</v>
      </c>
      <c r="C47" s="292"/>
      <c r="D47" s="91"/>
      <c r="E47" s="292" t="str">
        <f>+SERIGRAFIA!F48</f>
        <v>ssanabria</v>
      </c>
      <c r="F47" s="292"/>
      <c r="G47" s="292"/>
      <c r="H47" s="292"/>
      <c r="I47" s="91"/>
      <c r="J47" s="292" t="s">
        <v>441</v>
      </c>
      <c r="K47" s="292"/>
      <c r="L47" s="292"/>
      <c r="M47" s="38"/>
    </row>
    <row r="48" spans="1:30" ht="15" customHeight="1" x14ac:dyDescent="0.45">
      <c r="A48" s="38"/>
      <c r="B48" s="421" t="s">
        <v>45</v>
      </c>
      <c r="C48" s="421"/>
      <c r="D48" s="92"/>
      <c r="E48" s="421" t="s">
        <v>46</v>
      </c>
      <c r="F48" s="421"/>
      <c r="G48" s="421"/>
      <c r="H48" s="421"/>
      <c r="I48" s="92"/>
      <c r="J48" s="421" t="s">
        <v>47</v>
      </c>
      <c r="K48" s="421"/>
      <c r="L48" s="421"/>
      <c r="M48" s="38"/>
    </row>
    <row r="49" spans="1:39" ht="15" customHeight="1" x14ac:dyDescent="0.45">
      <c r="A49" s="38"/>
      <c r="B49" s="90"/>
      <c r="C49" s="142"/>
      <c r="D49" s="142"/>
      <c r="E49" s="142"/>
      <c r="F49" s="90"/>
      <c r="G49" s="90"/>
      <c r="H49" s="142"/>
      <c r="I49" s="142"/>
      <c r="J49" s="90"/>
      <c r="K49" s="90"/>
      <c r="L49" s="90"/>
      <c r="M49" s="38"/>
    </row>
    <row r="50" spans="1:39" ht="18.75" x14ac:dyDescent="0.45">
      <c r="A50" s="38"/>
      <c r="B50" s="92"/>
      <c r="C50" s="76"/>
      <c r="D50" s="76"/>
      <c r="E50" s="66"/>
      <c r="F50" s="66"/>
      <c r="G50" s="66"/>
      <c r="H50" s="66"/>
      <c r="I50" s="66"/>
      <c r="J50" s="66"/>
      <c r="K50" s="66"/>
      <c r="L50" s="66"/>
      <c r="M50" s="38"/>
    </row>
    <row r="51" spans="1:39" ht="15.75" customHeight="1" x14ac:dyDescent="0.45">
      <c r="A51" s="38"/>
      <c r="B51" s="300" t="s">
        <v>49</v>
      </c>
      <c r="C51" s="300"/>
      <c r="D51" s="66"/>
      <c r="E51" s="303"/>
      <c r="F51" s="303"/>
      <c r="G51" s="303"/>
      <c r="H51" s="303"/>
      <c r="I51" s="93"/>
      <c r="J51" s="66"/>
      <c r="K51" s="301" t="s">
        <v>464</v>
      </c>
      <c r="L51" s="301"/>
      <c r="M51" s="38"/>
    </row>
    <row r="52" spans="1:39" ht="20.100000000000001" customHeight="1" x14ac:dyDescent="0.45">
      <c r="A52" s="38"/>
      <c r="B52" s="38"/>
      <c r="C52" s="38"/>
      <c r="D52" s="38"/>
      <c r="E52" s="38"/>
      <c r="F52" s="38"/>
      <c r="G52" s="38"/>
      <c r="H52" s="38"/>
      <c r="I52" s="38"/>
      <c r="J52" s="38"/>
      <c r="K52" s="38"/>
      <c r="L52" s="38"/>
      <c r="M52" s="38"/>
    </row>
    <row r="53" spans="1:39" x14ac:dyDescent="0.2"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M53" s="12"/>
    </row>
    <row r="54" spans="1:39" x14ac:dyDescent="0.2"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</row>
    <row r="55" spans="1:39" x14ac:dyDescent="0.2"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13"/>
      <c r="AB55" s="13"/>
      <c r="AC55" s="13"/>
    </row>
  </sheetData>
  <mergeCells count="27">
    <mergeCell ref="J2:L3"/>
    <mergeCell ref="C4:D4"/>
    <mergeCell ref="E4:H4"/>
    <mergeCell ref="C6:H6"/>
    <mergeCell ref="J47:L47"/>
    <mergeCell ref="E39:F39"/>
    <mergeCell ref="G38:H38"/>
    <mergeCell ref="G39:H39"/>
    <mergeCell ref="G37:H37"/>
    <mergeCell ref="B2:B3"/>
    <mergeCell ref="C2:I3"/>
    <mergeCell ref="G40:H40"/>
    <mergeCell ref="B51:C51"/>
    <mergeCell ref="E51:H51"/>
    <mergeCell ref="E47:H47"/>
    <mergeCell ref="B47:C47"/>
    <mergeCell ref="B48:C48"/>
    <mergeCell ref="E48:H48"/>
    <mergeCell ref="AE7:AN7"/>
    <mergeCell ref="K51:L51"/>
    <mergeCell ref="B7:C7"/>
    <mergeCell ref="E34:F34"/>
    <mergeCell ref="G34:H34"/>
    <mergeCell ref="E38:F38"/>
    <mergeCell ref="E40:F40"/>
    <mergeCell ref="E37:F37"/>
    <mergeCell ref="J48:L48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scale="75" orientation="portrait" r:id="rId1"/>
  <colBreaks count="1" manualBreakCount="1">
    <brk id="13" max="16383" man="1"/>
  </colBreak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29425" r:id="rId4" name="Check Box 49">
              <controlPr defaultSize="0" autoFill="0" autoLine="0" autoPict="0">
                <anchor moveWithCells="1">
                  <from>
                    <xdr:col>2</xdr:col>
                    <xdr:colOff>400050</xdr:colOff>
                    <xdr:row>6</xdr:row>
                    <xdr:rowOff>9525</xdr:rowOff>
                  </from>
                  <to>
                    <xdr:col>2</xdr:col>
                    <xdr:colOff>581025</xdr:colOff>
                    <xdr:row>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9427" r:id="rId5" name="Check Box 51">
              <controlPr defaultSize="0" autoFill="0" autoLine="0" autoPict="0">
                <anchor moveWithCells="1">
                  <from>
                    <xdr:col>2</xdr:col>
                    <xdr:colOff>400050</xdr:colOff>
                    <xdr:row>7</xdr:row>
                    <xdr:rowOff>9525</xdr:rowOff>
                  </from>
                  <to>
                    <xdr:col>2</xdr:col>
                    <xdr:colOff>581025</xdr:colOff>
                    <xdr:row>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9428" r:id="rId6" name="Check Box 52">
              <controlPr defaultSize="0" autoFill="0" autoLine="0" autoPict="0">
                <anchor moveWithCells="1">
                  <from>
                    <xdr:col>2</xdr:col>
                    <xdr:colOff>400050</xdr:colOff>
                    <xdr:row>8</xdr:row>
                    <xdr:rowOff>9525</xdr:rowOff>
                  </from>
                  <to>
                    <xdr:col>2</xdr:col>
                    <xdr:colOff>581025</xdr:colOff>
                    <xdr:row>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9429" r:id="rId7" name="Check Box 53">
              <controlPr defaultSize="0" autoFill="0" autoLine="0" autoPict="0">
                <anchor moveWithCells="1">
                  <from>
                    <xdr:col>2</xdr:col>
                    <xdr:colOff>400050</xdr:colOff>
                    <xdr:row>9</xdr:row>
                    <xdr:rowOff>9525</xdr:rowOff>
                  </from>
                  <to>
                    <xdr:col>2</xdr:col>
                    <xdr:colOff>581025</xdr:colOff>
                    <xdr:row>10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9430" r:id="rId8" name="Check Box 54">
              <controlPr defaultSize="0" autoFill="0" autoLine="0" autoPict="0">
                <anchor moveWithCells="1">
                  <from>
                    <xdr:col>8</xdr:col>
                    <xdr:colOff>381000</xdr:colOff>
                    <xdr:row>6</xdr:row>
                    <xdr:rowOff>0</xdr:rowOff>
                  </from>
                  <to>
                    <xdr:col>8</xdr:col>
                    <xdr:colOff>561975</xdr:colOff>
                    <xdr:row>6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9431" r:id="rId9" name="Check Box 55">
              <controlPr defaultSize="0" autoFill="0" autoLine="0" autoPict="0">
                <anchor moveWithCells="1">
                  <from>
                    <xdr:col>8</xdr:col>
                    <xdr:colOff>381000</xdr:colOff>
                    <xdr:row>7</xdr:row>
                    <xdr:rowOff>0</xdr:rowOff>
                  </from>
                  <to>
                    <xdr:col>8</xdr:col>
                    <xdr:colOff>561975</xdr:colOff>
                    <xdr:row>7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9432" r:id="rId10" name="Check Box 56">
              <controlPr defaultSize="0" autoFill="0" autoLine="0" autoPict="0">
                <anchor moveWithCells="1">
                  <from>
                    <xdr:col>8</xdr:col>
                    <xdr:colOff>381000</xdr:colOff>
                    <xdr:row>8</xdr:row>
                    <xdr:rowOff>0</xdr:rowOff>
                  </from>
                  <to>
                    <xdr:col>8</xdr:col>
                    <xdr:colOff>561975</xdr:colOff>
                    <xdr:row>8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9435" r:id="rId11" name="Check Box 59">
              <controlPr defaultSize="0" autoFill="0" autoLine="0" autoPict="0">
                <anchor moveWithCells="1">
                  <from>
                    <xdr:col>8</xdr:col>
                    <xdr:colOff>381000</xdr:colOff>
                    <xdr:row>6</xdr:row>
                    <xdr:rowOff>0</xdr:rowOff>
                  </from>
                  <to>
                    <xdr:col>8</xdr:col>
                    <xdr:colOff>561975</xdr:colOff>
                    <xdr:row>6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9436" r:id="rId12" name="Check Box 60">
              <controlPr defaultSize="0" autoFill="0" autoLine="0" autoPict="0">
                <anchor moveWithCells="1">
                  <from>
                    <xdr:col>8</xdr:col>
                    <xdr:colOff>381000</xdr:colOff>
                    <xdr:row>7</xdr:row>
                    <xdr:rowOff>0</xdr:rowOff>
                  </from>
                  <to>
                    <xdr:col>8</xdr:col>
                    <xdr:colOff>561975</xdr:colOff>
                    <xdr:row>7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9437" r:id="rId13" name="Check Box 61">
              <controlPr defaultSize="0" autoFill="0" autoLine="0" autoPict="0">
                <anchor moveWithCells="1">
                  <from>
                    <xdr:col>8</xdr:col>
                    <xdr:colOff>381000</xdr:colOff>
                    <xdr:row>8</xdr:row>
                    <xdr:rowOff>0</xdr:rowOff>
                  </from>
                  <to>
                    <xdr:col>8</xdr:col>
                    <xdr:colOff>561975</xdr:colOff>
                    <xdr:row>8</xdr:row>
                    <xdr:rowOff>180975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Hoja12"/>
  <dimension ref="A1:AN56"/>
  <sheetViews>
    <sheetView showGridLines="0" view="pageBreakPreview" topLeftCell="A17" zoomScale="70" zoomScaleNormal="154" zoomScaleSheetLayoutView="70" workbookViewId="0">
      <selection activeCell="P23" sqref="P23"/>
    </sheetView>
  </sheetViews>
  <sheetFormatPr baseColWidth="10" defaultColWidth="11.42578125" defaultRowHeight="12.75" x14ac:dyDescent="0.2"/>
  <cols>
    <col min="1" max="1" width="3.28515625" customWidth="1"/>
    <col min="2" max="2" width="19.28515625" customWidth="1"/>
    <col min="3" max="3" width="7.28515625" customWidth="1"/>
    <col min="4" max="4" width="6.140625" customWidth="1"/>
    <col min="5" max="5" width="7.7109375" customWidth="1"/>
    <col min="6" max="6" width="4.28515625" customWidth="1"/>
    <col min="7" max="7" width="5.140625" customWidth="1"/>
    <col min="8" max="8" width="4.5703125" customWidth="1"/>
    <col min="9" max="9" width="4.28515625" customWidth="1"/>
    <col min="10" max="10" width="7" customWidth="1"/>
    <col min="11" max="11" width="12.7109375" customWidth="1"/>
    <col min="12" max="12" width="14.7109375" customWidth="1"/>
    <col min="13" max="13" width="13.28515625" customWidth="1"/>
    <col min="14" max="14" width="3.28515625" customWidth="1"/>
  </cols>
  <sheetData>
    <row r="1" spans="1:40" ht="20.100000000000001" customHeight="1" x14ac:dyDescent="0.45">
      <c r="A1" s="38"/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</row>
    <row r="2" spans="1:40" ht="27.75" customHeight="1" x14ac:dyDescent="0.45">
      <c r="A2" s="38"/>
      <c r="B2" s="332"/>
      <c r="C2" s="339" t="s">
        <v>153</v>
      </c>
      <c r="D2" s="340"/>
      <c r="E2" s="340"/>
      <c r="F2" s="340"/>
      <c r="G2" s="340"/>
      <c r="H2" s="340"/>
      <c r="I2" s="340"/>
      <c r="J2" s="340"/>
      <c r="K2" s="340"/>
      <c r="L2" s="318" t="s">
        <v>51</v>
      </c>
      <c r="M2" s="320"/>
      <c r="N2" s="38"/>
    </row>
    <row r="3" spans="1:40" ht="27.75" customHeight="1" x14ac:dyDescent="0.45">
      <c r="A3" s="38"/>
      <c r="B3" s="333"/>
      <c r="C3" s="342"/>
      <c r="D3" s="343"/>
      <c r="E3" s="343"/>
      <c r="F3" s="343"/>
      <c r="G3" s="343"/>
      <c r="H3" s="343"/>
      <c r="I3" s="343"/>
      <c r="J3" s="343"/>
      <c r="K3" s="343"/>
      <c r="L3" s="321"/>
      <c r="M3" s="323"/>
      <c r="N3" s="38"/>
    </row>
    <row r="4" spans="1:40" ht="18.75" x14ac:dyDescent="0.45">
      <c r="A4" s="38"/>
      <c r="B4" s="60" t="s">
        <v>52</v>
      </c>
      <c r="C4" s="335">
        <f>+ACCESSORIES!C4</f>
        <v>0</v>
      </c>
      <c r="D4" s="335"/>
      <c r="E4" s="335"/>
      <c r="F4" s="338"/>
      <c r="G4" s="338"/>
      <c r="H4" s="338"/>
      <c r="I4" s="338"/>
      <c r="J4" s="338"/>
      <c r="K4" s="61" t="s">
        <v>48</v>
      </c>
      <c r="L4" s="180">
        <f>DATOS!AS84</f>
        <v>45331</v>
      </c>
      <c r="M4" s="63"/>
      <c r="N4" s="38"/>
    </row>
    <row r="5" spans="1:40" ht="18.75" x14ac:dyDescent="0.45">
      <c r="A5" s="38"/>
      <c r="B5" s="64" t="s">
        <v>7</v>
      </c>
      <c r="C5" s="65" t="str">
        <f>DATOS!E9</f>
        <v>WINDSHIELD / FRONTSHEIBE</v>
      </c>
      <c r="D5" s="66"/>
      <c r="E5" s="66"/>
      <c r="F5" s="67"/>
      <c r="G5" s="67"/>
      <c r="H5" s="67"/>
      <c r="I5" s="67"/>
      <c r="J5" s="67"/>
      <c r="K5" s="67"/>
      <c r="L5" s="67"/>
      <c r="M5" s="68"/>
      <c r="N5" s="36"/>
      <c r="O5" s="14"/>
      <c r="P5" s="14"/>
      <c r="Q5" s="14"/>
    </row>
    <row r="6" spans="1:40" ht="18.75" x14ac:dyDescent="0.45">
      <c r="A6" s="38"/>
      <c r="B6" s="69" t="s">
        <v>53</v>
      </c>
      <c r="C6" s="336" t="s">
        <v>54</v>
      </c>
      <c r="D6" s="336"/>
      <c r="E6" s="336"/>
      <c r="F6" s="336"/>
      <c r="G6" s="336"/>
      <c r="H6" s="336"/>
      <c r="I6" s="336"/>
      <c r="J6" s="70"/>
      <c r="K6" s="71"/>
      <c r="L6" s="70"/>
      <c r="M6" s="85"/>
      <c r="N6" s="38"/>
      <c r="P6" s="6"/>
      <c r="Q6" s="8"/>
      <c r="R6" s="8"/>
      <c r="S6" s="8"/>
      <c r="T6" s="8"/>
      <c r="U6" s="8"/>
    </row>
    <row r="7" spans="1:40" ht="15" customHeight="1" x14ac:dyDescent="0.45">
      <c r="A7" s="38"/>
      <c r="B7" s="337" t="s">
        <v>55</v>
      </c>
      <c r="C7" s="338"/>
      <c r="D7" s="73"/>
      <c r="E7" s="157" t="s">
        <v>56</v>
      </c>
      <c r="F7" s="158"/>
      <c r="G7" s="158"/>
      <c r="H7" s="157"/>
      <c r="I7" s="157"/>
      <c r="J7" s="157"/>
      <c r="K7" s="157"/>
      <c r="L7" s="157" t="s">
        <v>57</v>
      </c>
      <c r="M7" s="159"/>
      <c r="P7" s="6"/>
      <c r="Q7" s="8"/>
      <c r="R7" s="8"/>
      <c r="S7" s="8"/>
      <c r="T7" s="8"/>
      <c r="U7" s="8"/>
      <c r="AE7" s="249" t="s">
        <v>456</v>
      </c>
      <c r="AF7" s="249"/>
      <c r="AG7" s="249"/>
      <c r="AH7" s="249"/>
      <c r="AI7" s="249"/>
      <c r="AJ7" s="249"/>
      <c r="AK7" s="249"/>
      <c r="AL7" s="249"/>
      <c r="AM7" s="249"/>
      <c r="AN7" s="249"/>
    </row>
    <row r="8" spans="1:40" ht="15" customHeight="1" x14ac:dyDescent="0.45">
      <c r="A8" s="38"/>
      <c r="B8" s="75"/>
      <c r="C8" s="76"/>
      <c r="D8" s="76"/>
      <c r="E8" s="8" t="s">
        <v>58</v>
      </c>
      <c r="F8" s="10"/>
      <c r="G8" s="10"/>
      <c r="H8" s="8"/>
      <c r="I8" s="8"/>
      <c r="J8" s="8"/>
      <c r="K8" s="8"/>
      <c r="L8" s="8" t="s">
        <v>59</v>
      </c>
      <c r="M8" s="160"/>
      <c r="P8" s="6"/>
      <c r="Q8" s="8"/>
      <c r="R8" s="8"/>
      <c r="S8" s="8"/>
      <c r="T8" s="8"/>
      <c r="U8" s="8"/>
      <c r="AE8" s="38"/>
      <c r="AF8" s="38"/>
      <c r="AG8" s="38"/>
      <c r="AH8" s="38"/>
      <c r="AI8" s="38"/>
      <c r="AJ8" s="38"/>
      <c r="AK8" s="38"/>
      <c r="AL8" s="38"/>
      <c r="AM8" s="38"/>
      <c r="AN8" s="38"/>
    </row>
    <row r="9" spans="1:40" ht="15" customHeight="1" x14ac:dyDescent="0.45">
      <c r="A9" s="38"/>
      <c r="B9" s="77"/>
      <c r="C9" s="66"/>
      <c r="D9" s="66"/>
      <c r="E9" s="8" t="s">
        <v>60</v>
      </c>
      <c r="F9" s="8"/>
      <c r="G9" s="8"/>
      <c r="H9" s="8"/>
      <c r="I9" s="8"/>
      <c r="J9" s="8"/>
      <c r="K9" s="8"/>
      <c r="L9" s="8" t="s">
        <v>61</v>
      </c>
      <c r="M9" s="160"/>
      <c r="P9" s="6"/>
      <c r="Q9" s="8"/>
      <c r="R9" s="8"/>
      <c r="S9" s="8"/>
      <c r="T9" s="8"/>
      <c r="U9" s="8"/>
    </row>
    <row r="10" spans="1:40" ht="15" customHeight="1" x14ac:dyDescent="0.45">
      <c r="A10" s="38"/>
      <c r="B10" s="78"/>
      <c r="C10" s="79"/>
      <c r="D10" s="79"/>
      <c r="E10" s="79" t="s">
        <v>62</v>
      </c>
      <c r="F10" s="79"/>
      <c r="G10" s="79"/>
      <c r="H10" s="79"/>
      <c r="I10" s="79"/>
      <c r="J10" s="79"/>
      <c r="K10" s="79"/>
      <c r="L10" s="79"/>
      <c r="M10" s="80"/>
      <c r="N10" s="38"/>
      <c r="P10" s="6"/>
      <c r="Q10" s="8"/>
      <c r="R10" s="8"/>
      <c r="S10" s="8"/>
      <c r="T10" s="8"/>
      <c r="U10" s="8"/>
    </row>
    <row r="11" spans="1:40" ht="15" customHeight="1" x14ac:dyDescent="0.45">
      <c r="A11" s="38"/>
      <c r="B11" s="66"/>
      <c r="C11" s="66"/>
      <c r="D11" s="66"/>
      <c r="E11" s="66"/>
      <c r="F11" s="66"/>
      <c r="G11" s="66"/>
      <c r="H11" s="66"/>
      <c r="I11" s="66"/>
      <c r="J11" s="66"/>
      <c r="K11" s="66"/>
      <c r="L11" s="66"/>
      <c r="M11" s="66"/>
      <c r="N11" s="38"/>
      <c r="P11" s="6"/>
      <c r="Q11" s="8"/>
      <c r="R11" s="8"/>
      <c r="S11" s="8"/>
      <c r="T11" s="8"/>
      <c r="U11" s="8"/>
    </row>
    <row r="12" spans="1:40" ht="15" customHeight="1" x14ac:dyDescent="0.45">
      <c r="A12" s="38"/>
      <c r="B12" s="66"/>
      <c r="C12" s="294" t="s">
        <v>154</v>
      </c>
      <c r="D12" s="295"/>
      <c r="E12" s="295"/>
      <c r="F12" s="295"/>
      <c r="G12" s="295"/>
      <c r="H12" s="295"/>
      <c r="I12" s="295"/>
      <c r="J12" s="295"/>
      <c r="K12" s="295"/>
      <c r="L12" s="317"/>
      <c r="M12" s="66"/>
      <c r="N12" s="38"/>
      <c r="P12" s="6"/>
      <c r="Q12" s="8"/>
      <c r="R12" s="8"/>
      <c r="S12" s="8"/>
      <c r="T12" s="8"/>
      <c r="U12" s="8"/>
    </row>
    <row r="13" spans="1:40" ht="15" customHeight="1" x14ac:dyDescent="0.45">
      <c r="A13" s="38"/>
      <c r="B13" s="102"/>
      <c r="C13" s="399"/>
      <c r="D13" s="398"/>
      <c r="E13" s="398"/>
      <c r="F13" s="398"/>
      <c r="G13" s="398"/>
      <c r="H13" s="398"/>
      <c r="I13" s="398"/>
      <c r="J13" s="398"/>
      <c r="K13" s="398"/>
      <c r="L13" s="400"/>
      <c r="M13" s="102"/>
      <c r="N13" s="38"/>
    </row>
    <row r="14" spans="1:40" ht="15" customHeight="1" x14ac:dyDescent="0.45">
      <c r="A14" s="38"/>
      <c r="B14" s="76"/>
      <c r="C14" s="401"/>
      <c r="D14" s="365"/>
      <c r="E14" s="365"/>
      <c r="F14" s="365"/>
      <c r="G14" s="365"/>
      <c r="H14" s="365"/>
      <c r="I14" s="365"/>
      <c r="J14" s="365"/>
      <c r="K14" s="365"/>
      <c r="L14" s="402"/>
      <c r="M14" s="76"/>
      <c r="N14" s="38"/>
      <c r="Q14" s="15" t="s">
        <v>142</v>
      </c>
      <c r="R14" s="15"/>
      <c r="S14" s="15"/>
      <c r="T14" s="15"/>
      <c r="U14" s="15"/>
      <c r="V14" s="15"/>
      <c r="W14" s="15"/>
    </row>
    <row r="15" spans="1:40" ht="13.5" customHeight="1" x14ac:dyDescent="0.45">
      <c r="A15" s="38"/>
      <c r="B15" s="76"/>
      <c r="C15" s="401"/>
      <c r="D15" s="365"/>
      <c r="E15" s="365"/>
      <c r="F15" s="365"/>
      <c r="G15" s="365"/>
      <c r="H15" s="365"/>
      <c r="I15" s="365"/>
      <c r="J15" s="365"/>
      <c r="K15" s="365"/>
      <c r="L15" s="402"/>
      <c r="M15" s="76"/>
      <c r="N15" s="38"/>
      <c r="Q15" s="16"/>
      <c r="R15" s="16"/>
      <c r="S15" s="16"/>
      <c r="T15" s="16"/>
      <c r="U15" s="16"/>
      <c r="V15" s="16"/>
      <c r="W15" s="16"/>
    </row>
    <row r="16" spans="1:40" ht="13.5" customHeight="1" x14ac:dyDescent="0.45">
      <c r="A16" s="38"/>
      <c r="B16" s="76"/>
      <c r="C16" s="401"/>
      <c r="D16" s="365"/>
      <c r="E16" s="365"/>
      <c r="F16" s="365"/>
      <c r="G16" s="365"/>
      <c r="H16" s="365"/>
      <c r="I16" s="365"/>
      <c r="J16" s="365"/>
      <c r="K16" s="365"/>
      <c r="L16" s="402"/>
      <c r="M16" s="76"/>
      <c r="N16" s="38"/>
      <c r="Q16" s="16"/>
      <c r="R16" s="16"/>
      <c r="S16" s="16"/>
      <c r="T16" s="16"/>
      <c r="U16" s="16"/>
      <c r="V16" s="16"/>
      <c r="W16" s="16"/>
    </row>
    <row r="17" spans="1:23" ht="13.5" customHeight="1" x14ac:dyDescent="0.45">
      <c r="A17" s="38"/>
      <c r="B17" s="76"/>
      <c r="C17" s="401"/>
      <c r="D17" s="365"/>
      <c r="E17" s="365"/>
      <c r="F17" s="365"/>
      <c r="G17" s="365"/>
      <c r="H17" s="365"/>
      <c r="I17" s="365"/>
      <c r="J17" s="365"/>
      <c r="K17" s="365"/>
      <c r="L17" s="402"/>
      <c r="M17" s="76"/>
      <c r="N17" s="38"/>
      <c r="Q17" s="16"/>
      <c r="R17" s="16"/>
      <c r="S17" s="16"/>
      <c r="T17" s="16"/>
      <c r="U17" s="16"/>
      <c r="V17" s="16"/>
      <c r="W17" s="16"/>
    </row>
    <row r="18" spans="1:23" ht="13.5" customHeight="1" x14ac:dyDescent="0.45">
      <c r="A18" s="38"/>
      <c r="B18" s="76"/>
      <c r="C18" s="401"/>
      <c r="D18" s="365"/>
      <c r="E18" s="365"/>
      <c r="F18" s="365"/>
      <c r="G18" s="365"/>
      <c r="H18" s="365"/>
      <c r="I18" s="365"/>
      <c r="J18" s="365"/>
      <c r="K18" s="365"/>
      <c r="L18" s="402"/>
      <c r="M18" s="76"/>
      <c r="N18" s="38"/>
      <c r="Q18" s="16"/>
      <c r="R18" s="16"/>
      <c r="S18" s="16"/>
      <c r="T18" s="16"/>
      <c r="U18" s="16"/>
      <c r="V18" s="16"/>
      <c r="W18" s="16"/>
    </row>
    <row r="19" spans="1:23" ht="13.5" customHeight="1" x14ac:dyDescent="0.45">
      <c r="A19" s="38"/>
      <c r="B19" s="76"/>
      <c r="C19" s="401"/>
      <c r="D19" s="365"/>
      <c r="E19" s="365"/>
      <c r="F19" s="365"/>
      <c r="G19" s="365"/>
      <c r="H19" s="365"/>
      <c r="I19" s="365"/>
      <c r="J19" s="365"/>
      <c r="K19" s="365"/>
      <c r="L19" s="402"/>
      <c r="M19" s="76"/>
      <c r="N19" s="38"/>
      <c r="Q19" s="16"/>
      <c r="R19" s="16"/>
      <c r="S19" s="16"/>
      <c r="T19" s="16"/>
      <c r="U19" s="16"/>
      <c r="V19" s="16"/>
      <c r="W19" s="16"/>
    </row>
    <row r="20" spans="1:23" ht="13.5" customHeight="1" x14ac:dyDescent="0.45">
      <c r="A20" s="38"/>
      <c r="B20" s="76"/>
      <c r="C20" s="401"/>
      <c r="D20" s="365"/>
      <c r="E20" s="365"/>
      <c r="F20" s="365"/>
      <c r="G20" s="365"/>
      <c r="H20" s="365"/>
      <c r="I20" s="365"/>
      <c r="J20" s="365"/>
      <c r="K20" s="365"/>
      <c r="L20" s="402"/>
      <c r="M20" s="76"/>
      <c r="N20" s="38"/>
      <c r="Q20" s="16"/>
      <c r="R20" s="16"/>
      <c r="S20" s="16"/>
      <c r="T20" s="16"/>
      <c r="U20" s="16"/>
      <c r="V20" s="16"/>
      <c r="W20" s="16"/>
    </row>
    <row r="21" spans="1:23" ht="13.5" customHeight="1" x14ac:dyDescent="0.45">
      <c r="A21" s="38"/>
      <c r="B21" s="76"/>
      <c r="C21" s="401"/>
      <c r="D21" s="365"/>
      <c r="E21" s="365"/>
      <c r="F21" s="365"/>
      <c r="G21" s="365"/>
      <c r="H21" s="365"/>
      <c r="I21" s="365"/>
      <c r="J21" s="365"/>
      <c r="K21" s="365"/>
      <c r="L21" s="402"/>
      <c r="M21" s="76"/>
      <c r="N21" s="38"/>
      <c r="Q21" s="16"/>
      <c r="R21" s="16"/>
      <c r="S21" s="16"/>
      <c r="T21" s="16"/>
      <c r="U21" s="16"/>
      <c r="V21" s="16"/>
      <c r="W21" s="16"/>
    </row>
    <row r="22" spans="1:23" ht="13.5" customHeight="1" x14ac:dyDescent="0.45">
      <c r="A22" s="38"/>
      <c r="B22" s="76"/>
      <c r="C22" s="401"/>
      <c r="D22" s="365"/>
      <c r="E22" s="365"/>
      <c r="F22" s="365"/>
      <c r="G22" s="365"/>
      <c r="H22" s="365"/>
      <c r="I22" s="365"/>
      <c r="J22" s="365"/>
      <c r="K22" s="365"/>
      <c r="L22" s="402"/>
      <c r="M22" s="76"/>
      <c r="N22" s="38"/>
      <c r="Q22" s="16"/>
      <c r="R22" s="16"/>
      <c r="S22" s="16"/>
      <c r="T22" s="16"/>
      <c r="U22" s="16"/>
      <c r="V22" s="16"/>
      <c r="W22" s="16"/>
    </row>
    <row r="23" spans="1:23" ht="13.5" customHeight="1" x14ac:dyDescent="0.45">
      <c r="A23" s="38"/>
      <c r="B23" s="76"/>
      <c r="C23" s="401"/>
      <c r="D23" s="365"/>
      <c r="E23" s="365"/>
      <c r="F23" s="365"/>
      <c r="G23" s="365"/>
      <c r="H23" s="365"/>
      <c r="I23" s="365"/>
      <c r="J23" s="365"/>
      <c r="K23" s="365"/>
      <c r="L23" s="402"/>
      <c r="M23" s="76"/>
      <c r="N23" s="38"/>
      <c r="Q23" s="16"/>
      <c r="R23" s="16"/>
      <c r="S23" s="16"/>
      <c r="T23" s="16"/>
      <c r="U23" s="16"/>
      <c r="V23" s="16"/>
      <c r="W23" s="16"/>
    </row>
    <row r="24" spans="1:23" ht="13.5" customHeight="1" x14ac:dyDescent="0.45">
      <c r="A24" s="38"/>
      <c r="B24" s="76"/>
      <c r="C24" s="401"/>
      <c r="D24" s="365"/>
      <c r="E24" s="365"/>
      <c r="F24" s="365"/>
      <c r="G24" s="365"/>
      <c r="H24" s="365"/>
      <c r="I24" s="365"/>
      <c r="J24" s="365"/>
      <c r="K24" s="365"/>
      <c r="L24" s="402"/>
      <c r="M24" s="76"/>
      <c r="N24" s="38"/>
      <c r="Q24" s="16"/>
      <c r="R24" s="16"/>
      <c r="S24" s="16"/>
      <c r="T24" s="16"/>
      <c r="U24" s="16"/>
      <c r="V24" s="16"/>
      <c r="W24" s="16"/>
    </row>
    <row r="25" spans="1:23" ht="13.5" customHeight="1" x14ac:dyDescent="0.45">
      <c r="A25" s="38"/>
      <c r="B25" s="76"/>
      <c r="C25" s="401"/>
      <c r="D25" s="365"/>
      <c r="E25" s="365"/>
      <c r="F25" s="365"/>
      <c r="G25" s="365"/>
      <c r="H25" s="365"/>
      <c r="I25" s="365"/>
      <c r="J25" s="365"/>
      <c r="K25" s="365"/>
      <c r="L25" s="402"/>
      <c r="M25" s="76"/>
      <c r="N25" s="38"/>
      <c r="Q25" s="16"/>
      <c r="R25" s="16"/>
      <c r="S25" s="16"/>
      <c r="T25" s="16"/>
      <c r="U25" s="16"/>
      <c r="V25" s="16"/>
      <c r="W25" s="16"/>
    </row>
    <row r="26" spans="1:23" ht="13.5" customHeight="1" x14ac:dyDescent="0.45">
      <c r="A26" s="38"/>
      <c r="B26" s="76"/>
      <c r="C26" s="401"/>
      <c r="D26" s="365"/>
      <c r="E26" s="365"/>
      <c r="F26" s="365"/>
      <c r="G26" s="365"/>
      <c r="H26" s="365"/>
      <c r="I26" s="365"/>
      <c r="J26" s="365"/>
      <c r="K26" s="365"/>
      <c r="L26" s="402"/>
      <c r="M26" s="76"/>
      <c r="N26" s="38"/>
      <c r="Q26" s="16"/>
      <c r="R26" s="16"/>
      <c r="S26" s="16"/>
      <c r="T26" s="16"/>
      <c r="U26" s="16"/>
      <c r="V26" s="16"/>
      <c r="W26" s="16"/>
    </row>
    <row r="27" spans="1:23" ht="13.5" customHeight="1" x14ac:dyDescent="0.45">
      <c r="A27" s="38"/>
      <c r="B27" s="76"/>
      <c r="C27" s="403"/>
      <c r="D27" s="404"/>
      <c r="E27" s="404"/>
      <c r="F27" s="404"/>
      <c r="G27" s="404"/>
      <c r="H27" s="404"/>
      <c r="I27" s="404"/>
      <c r="J27" s="404"/>
      <c r="K27" s="404"/>
      <c r="L27" s="405"/>
      <c r="M27" s="76"/>
      <c r="N27" s="38"/>
      <c r="Q27" s="16"/>
      <c r="R27" s="16"/>
      <c r="S27" s="16"/>
      <c r="T27" s="16"/>
      <c r="U27" s="16"/>
      <c r="V27" s="16"/>
      <c r="W27" s="16"/>
    </row>
    <row r="28" spans="1:23" ht="13.5" customHeight="1" x14ac:dyDescent="0.45">
      <c r="A28" s="38"/>
      <c r="B28" s="76"/>
      <c r="C28" s="76"/>
      <c r="D28" s="76"/>
      <c r="E28" s="76"/>
      <c r="F28" s="76"/>
      <c r="G28" s="76"/>
      <c r="H28" s="76"/>
      <c r="I28" s="76"/>
      <c r="J28" s="76"/>
      <c r="K28" s="76"/>
      <c r="L28" s="76"/>
      <c r="M28" s="76"/>
      <c r="N28" s="38"/>
      <c r="Q28" s="16"/>
      <c r="R28" s="16"/>
      <c r="S28" s="16"/>
      <c r="T28" s="16"/>
      <c r="U28" s="16"/>
      <c r="V28" s="16"/>
      <c r="W28" s="16"/>
    </row>
    <row r="29" spans="1:23" ht="13.5" customHeight="1" x14ac:dyDescent="0.45">
      <c r="A29" s="38"/>
      <c r="B29" s="76"/>
      <c r="C29" s="76"/>
      <c r="D29" s="76"/>
      <c r="E29" s="76"/>
      <c r="F29" s="76"/>
      <c r="G29" s="76"/>
      <c r="H29" s="76"/>
      <c r="I29" s="76"/>
      <c r="J29" s="76"/>
      <c r="K29" s="76"/>
      <c r="L29" s="76"/>
      <c r="M29" s="76"/>
      <c r="N29" s="38"/>
      <c r="Q29" s="16"/>
      <c r="R29" s="16"/>
      <c r="S29" s="16"/>
      <c r="T29" s="16"/>
      <c r="U29" s="16"/>
      <c r="V29" s="16"/>
      <c r="W29" s="16"/>
    </row>
    <row r="30" spans="1:23" ht="15" customHeight="1" x14ac:dyDescent="0.45">
      <c r="A30" s="38"/>
      <c r="B30" s="76"/>
      <c r="C30" s="294" t="s">
        <v>155</v>
      </c>
      <c r="D30" s="295"/>
      <c r="E30" s="295"/>
      <c r="F30" s="295"/>
      <c r="G30" s="295"/>
      <c r="H30" s="295"/>
      <c r="I30" s="295"/>
      <c r="J30" s="295"/>
      <c r="K30" s="295"/>
      <c r="L30" s="317"/>
      <c r="M30" s="76"/>
      <c r="N30" s="38"/>
      <c r="Q30" s="16"/>
      <c r="R30" s="16"/>
      <c r="S30" s="16"/>
      <c r="T30" s="16"/>
      <c r="U30" s="16"/>
      <c r="V30" s="16"/>
      <c r="W30" s="16"/>
    </row>
    <row r="31" spans="1:23" ht="13.5" customHeight="1" x14ac:dyDescent="0.45">
      <c r="A31" s="38"/>
      <c r="B31" s="76"/>
      <c r="C31" s="324"/>
      <c r="D31" s="325"/>
      <c r="E31" s="325"/>
      <c r="F31" s="325"/>
      <c r="G31" s="325"/>
      <c r="H31" s="325"/>
      <c r="I31" s="325"/>
      <c r="J31" s="325"/>
      <c r="K31" s="325"/>
      <c r="L31" s="326"/>
      <c r="M31" s="76"/>
      <c r="N31" s="38"/>
      <c r="Q31" s="16"/>
      <c r="R31" s="16"/>
      <c r="S31" s="16"/>
      <c r="T31" s="16"/>
      <c r="U31" s="16"/>
      <c r="V31" s="16"/>
      <c r="W31" s="16"/>
    </row>
    <row r="32" spans="1:23" ht="13.5" customHeight="1" x14ac:dyDescent="0.45">
      <c r="A32" s="38"/>
      <c r="B32" s="76"/>
      <c r="C32" s="327"/>
      <c r="D32" s="303"/>
      <c r="E32" s="303"/>
      <c r="F32" s="303"/>
      <c r="G32" s="303"/>
      <c r="H32" s="303"/>
      <c r="I32" s="303"/>
      <c r="J32" s="303"/>
      <c r="K32" s="303"/>
      <c r="L32" s="328"/>
      <c r="M32" s="76"/>
      <c r="N32" s="38"/>
      <c r="Q32" s="16"/>
      <c r="R32" s="16"/>
      <c r="S32" s="16"/>
      <c r="T32" s="16"/>
      <c r="U32" s="16"/>
      <c r="V32" s="16"/>
      <c r="W32" s="16"/>
    </row>
    <row r="33" spans="1:31" ht="13.5" customHeight="1" x14ac:dyDescent="0.45">
      <c r="A33" s="38"/>
      <c r="B33" s="76"/>
      <c r="C33" s="327"/>
      <c r="D33" s="303"/>
      <c r="E33" s="303"/>
      <c r="F33" s="303"/>
      <c r="G33" s="303"/>
      <c r="H33" s="303"/>
      <c r="I33" s="303"/>
      <c r="J33" s="303"/>
      <c r="K33" s="303"/>
      <c r="L33" s="328"/>
      <c r="M33" s="76"/>
      <c r="N33" s="38"/>
      <c r="Q33" s="16"/>
      <c r="R33" s="16"/>
      <c r="S33" s="16"/>
      <c r="T33" s="16"/>
      <c r="U33" s="16"/>
      <c r="V33" s="16"/>
      <c r="W33" s="16"/>
    </row>
    <row r="34" spans="1:31" ht="13.5" customHeight="1" x14ac:dyDescent="0.45">
      <c r="A34" s="38"/>
      <c r="B34" s="76"/>
      <c r="C34" s="327"/>
      <c r="D34" s="303"/>
      <c r="E34" s="303"/>
      <c r="F34" s="303"/>
      <c r="G34" s="303"/>
      <c r="H34" s="303"/>
      <c r="I34" s="303"/>
      <c r="J34" s="303"/>
      <c r="K34" s="303"/>
      <c r="L34" s="328"/>
      <c r="M34" s="76"/>
      <c r="N34" s="38"/>
      <c r="Q34" s="16"/>
      <c r="R34" s="16"/>
      <c r="S34" s="16"/>
      <c r="T34" s="16"/>
      <c r="U34" s="16"/>
      <c r="V34" s="16"/>
      <c r="W34" s="16"/>
    </row>
    <row r="35" spans="1:31" ht="13.5" customHeight="1" x14ac:dyDescent="0.45">
      <c r="A35" s="38"/>
      <c r="B35" s="76"/>
      <c r="C35" s="327"/>
      <c r="D35" s="303"/>
      <c r="E35" s="303"/>
      <c r="F35" s="303"/>
      <c r="G35" s="303"/>
      <c r="H35" s="303"/>
      <c r="I35" s="303"/>
      <c r="J35" s="303"/>
      <c r="K35" s="303"/>
      <c r="L35" s="328"/>
      <c r="M35" s="76"/>
      <c r="N35" s="38"/>
      <c r="Q35" s="16"/>
      <c r="R35" s="16"/>
      <c r="S35" s="16"/>
      <c r="T35" s="16"/>
      <c r="U35" s="16"/>
      <c r="V35" s="16"/>
      <c r="W35" s="16"/>
    </row>
    <row r="36" spans="1:31" s="6" customFormat="1" ht="15" customHeight="1" x14ac:dyDescent="0.45">
      <c r="A36" s="38"/>
      <c r="B36" s="76"/>
      <c r="C36" s="327"/>
      <c r="D36" s="303"/>
      <c r="E36" s="303"/>
      <c r="F36" s="303"/>
      <c r="G36" s="303"/>
      <c r="H36" s="303"/>
      <c r="I36" s="303"/>
      <c r="J36" s="303"/>
      <c r="K36" s="303"/>
      <c r="L36" s="328"/>
      <c r="M36" s="76"/>
      <c r="N36" s="38"/>
      <c r="Q36" s="16"/>
      <c r="R36" s="16"/>
      <c r="S36" s="16"/>
      <c r="T36" s="16"/>
      <c r="U36" s="16"/>
      <c r="V36" s="16"/>
      <c r="W36" s="16"/>
    </row>
    <row r="37" spans="1:31" s="6" customFormat="1" ht="15" customHeight="1" x14ac:dyDescent="0.45">
      <c r="A37" s="38"/>
      <c r="B37" s="76"/>
      <c r="C37" s="327"/>
      <c r="D37" s="303"/>
      <c r="E37" s="303"/>
      <c r="F37" s="303"/>
      <c r="G37" s="303"/>
      <c r="H37" s="303"/>
      <c r="I37" s="303"/>
      <c r="J37" s="303"/>
      <c r="K37" s="303"/>
      <c r="L37" s="328"/>
      <c r="M37" s="76"/>
      <c r="N37" s="38"/>
      <c r="Q37" s="16"/>
      <c r="R37" s="16"/>
      <c r="S37" s="16"/>
      <c r="T37" s="16"/>
      <c r="U37" s="16"/>
      <c r="V37" s="16"/>
      <c r="W37" s="16"/>
    </row>
    <row r="38" spans="1:31" s="6" customFormat="1" ht="15" customHeight="1" x14ac:dyDescent="0.45">
      <c r="A38" s="38"/>
      <c r="B38" s="76"/>
      <c r="C38" s="327"/>
      <c r="D38" s="303"/>
      <c r="E38" s="303"/>
      <c r="F38" s="303"/>
      <c r="G38" s="303"/>
      <c r="H38" s="303"/>
      <c r="I38" s="303"/>
      <c r="J38" s="303"/>
      <c r="K38" s="303"/>
      <c r="L38" s="328"/>
      <c r="M38" s="76"/>
      <c r="N38" s="38"/>
      <c r="Q38" s="16"/>
      <c r="R38" s="16"/>
      <c r="S38" s="16"/>
      <c r="T38" s="16"/>
      <c r="U38" s="16"/>
      <c r="V38" s="16"/>
      <c r="W38" s="16"/>
    </row>
    <row r="39" spans="1:31" s="6" customFormat="1" ht="15" customHeight="1" x14ac:dyDescent="0.45">
      <c r="A39" s="38"/>
      <c r="B39" s="76"/>
      <c r="C39" s="327"/>
      <c r="D39" s="303"/>
      <c r="E39" s="303"/>
      <c r="F39" s="303"/>
      <c r="G39" s="303"/>
      <c r="H39" s="303"/>
      <c r="I39" s="303"/>
      <c r="J39" s="303"/>
      <c r="K39" s="303"/>
      <c r="L39" s="328"/>
      <c r="M39" s="76"/>
      <c r="N39" s="38"/>
      <c r="Q39" s="16"/>
      <c r="R39" s="16"/>
      <c r="S39" s="16"/>
      <c r="T39" s="16"/>
      <c r="U39" s="16"/>
      <c r="V39" s="16"/>
      <c r="W39" s="16"/>
    </row>
    <row r="40" spans="1:31" s="6" customFormat="1" ht="15" customHeight="1" x14ac:dyDescent="0.45">
      <c r="A40" s="38"/>
      <c r="B40" s="76"/>
      <c r="C40" s="327"/>
      <c r="D40" s="303"/>
      <c r="E40" s="303"/>
      <c r="F40" s="303"/>
      <c r="G40" s="303"/>
      <c r="H40" s="303"/>
      <c r="I40" s="303"/>
      <c r="J40" s="303"/>
      <c r="K40" s="303"/>
      <c r="L40" s="328"/>
      <c r="M40" s="76"/>
      <c r="N40" s="38"/>
      <c r="Q40" s="16"/>
      <c r="R40" s="16"/>
      <c r="S40" s="16"/>
      <c r="T40" s="16"/>
      <c r="U40" s="16"/>
      <c r="V40" s="16"/>
      <c r="W40" s="16"/>
    </row>
    <row r="41" spans="1:31" s="6" customFormat="1" ht="15" customHeight="1" x14ac:dyDescent="0.45">
      <c r="A41" s="38"/>
      <c r="B41" s="76"/>
      <c r="C41" s="327"/>
      <c r="D41" s="303"/>
      <c r="E41" s="303"/>
      <c r="F41" s="303"/>
      <c r="G41" s="303"/>
      <c r="H41" s="303"/>
      <c r="I41" s="303"/>
      <c r="J41" s="303"/>
      <c r="K41" s="303"/>
      <c r="L41" s="328"/>
      <c r="M41" s="76"/>
      <c r="N41" s="38"/>
      <c r="Q41" s="16"/>
      <c r="R41" s="16"/>
      <c r="S41" s="16"/>
      <c r="T41" s="16"/>
      <c r="U41" s="16"/>
      <c r="V41" s="16"/>
      <c r="W41" s="16"/>
    </row>
    <row r="42" spans="1:31" s="6" customFormat="1" ht="15" customHeight="1" x14ac:dyDescent="0.45">
      <c r="A42" s="38"/>
      <c r="B42" s="76"/>
      <c r="C42" s="327"/>
      <c r="D42" s="303"/>
      <c r="E42" s="303"/>
      <c r="F42" s="303"/>
      <c r="G42" s="303"/>
      <c r="H42" s="303"/>
      <c r="I42" s="303"/>
      <c r="J42" s="303"/>
      <c r="K42" s="303"/>
      <c r="L42" s="328"/>
      <c r="M42" s="76"/>
      <c r="N42" s="38"/>
      <c r="Q42" s="16"/>
      <c r="R42" s="16"/>
      <c r="S42" s="16"/>
      <c r="T42" s="16"/>
      <c r="U42" s="16"/>
      <c r="V42" s="16"/>
      <c r="W42" s="16"/>
    </row>
    <row r="43" spans="1:31" s="6" customFormat="1" ht="15" customHeight="1" x14ac:dyDescent="0.45">
      <c r="A43" s="38"/>
      <c r="B43" s="76"/>
      <c r="C43" s="327"/>
      <c r="D43" s="303"/>
      <c r="E43" s="303"/>
      <c r="F43" s="303"/>
      <c r="G43" s="303"/>
      <c r="H43" s="303"/>
      <c r="I43" s="303"/>
      <c r="J43" s="303"/>
      <c r="K43" s="303"/>
      <c r="L43" s="328"/>
      <c r="M43" s="76"/>
      <c r="N43" s="38"/>
      <c r="Q43" s="16"/>
      <c r="R43" s="16"/>
      <c r="S43" s="16"/>
      <c r="T43" s="16"/>
      <c r="U43" s="16"/>
      <c r="V43" s="16"/>
      <c r="W43" s="16"/>
    </row>
    <row r="44" spans="1:31" s="6" customFormat="1" ht="15" customHeight="1" x14ac:dyDescent="0.45">
      <c r="A44" s="38"/>
      <c r="B44" s="76"/>
      <c r="C44" s="327"/>
      <c r="D44" s="303"/>
      <c r="E44" s="303"/>
      <c r="F44" s="303"/>
      <c r="G44" s="303"/>
      <c r="H44" s="303"/>
      <c r="I44" s="303"/>
      <c r="J44" s="303"/>
      <c r="K44" s="303"/>
      <c r="L44" s="328"/>
      <c r="M44" s="76"/>
      <c r="N44" s="38"/>
      <c r="Q44" s="16"/>
      <c r="R44" s="16"/>
      <c r="S44" s="16"/>
      <c r="T44" s="16"/>
      <c r="U44" s="16"/>
      <c r="V44" s="16"/>
      <c r="W44" s="16"/>
    </row>
    <row r="45" spans="1:31" s="6" customFormat="1" ht="15" customHeight="1" x14ac:dyDescent="0.45">
      <c r="A45" s="38"/>
      <c r="B45" s="76"/>
      <c r="C45" s="329"/>
      <c r="D45" s="330"/>
      <c r="E45" s="330"/>
      <c r="F45" s="330"/>
      <c r="G45" s="330"/>
      <c r="H45" s="330"/>
      <c r="I45" s="330"/>
      <c r="J45" s="330"/>
      <c r="K45" s="330"/>
      <c r="L45" s="331"/>
      <c r="M45" s="76"/>
      <c r="N45" s="38"/>
      <c r="Q45" s="16"/>
      <c r="R45" s="16"/>
      <c r="S45" s="16"/>
      <c r="T45" s="16"/>
      <c r="U45" s="16"/>
      <c r="V45" s="16"/>
      <c r="W45" s="16"/>
    </row>
    <row r="46" spans="1:31" ht="15" customHeight="1" x14ac:dyDescent="0.45">
      <c r="A46" s="38"/>
      <c r="B46" s="92"/>
      <c r="C46" s="92"/>
      <c r="D46" s="92"/>
      <c r="E46" s="92"/>
      <c r="F46" s="92"/>
      <c r="G46" s="92"/>
      <c r="H46" s="90"/>
      <c r="I46" s="90"/>
      <c r="J46" s="92"/>
      <c r="K46" s="92"/>
      <c r="L46" s="92"/>
      <c r="M46" s="92"/>
      <c r="N46" s="38"/>
    </row>
    <row r="47" spans="1:31" ht="15" customHeight="1" x14ac:dyDescent="0.45">
      <c r="A47" s="38"/>
      <c r="B47" s="90"/>
      <c r="C47" s="90"/>
      <c r="D47" s="90"/>
      <c r="E47" s="90"/>
      <c r="F47" s="90"/>
      <c r="G47" s="90"/>
      <c r="H47" s="90"/>
      <c r="I47" s="90"/>
      <c r="J47" s="90"/>
      <c r="K47" s="90"/>
      <c r="L47" s="90"/>
      <c r="M47" s="90"/>
      <c r="N47" s="38"/>
      <c r="T47" s="11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</row>
    <row r="48" spans="1:31" ht="15" customHeight="1" x14ac:dyDescent="0.45">
      <c r="A48" s="38"/>
      <c r="B48" s="292" t="s">
        <v>439</v>
      </c>
      <c r="C48" s="292"/>
      <c r="D48" s="91"/>
      <c r="E48" s="91"/>
      <c r="F48" s="292" t="str">
        <f>+TNT!E47</f>
        <v>ssanabria</v>
      </c>
      <c r="G48" s="292"/>
      <c r="H48" s="292"/>
      <c r="I48" s="292"/>
      <c r="J48" s="292"/>
      <c r="K48" s="91"/>
      <c r="L48" s="292" t="s">
        <v>441</v>
      </c>
      <c r="M48" s="292"/>
      <c r="N48" s="38"/>
    </row>
    <row r="49" spans="1:40" ht="15" customHeight="1" x14ac:dyDescent="0.45">
      <c r="A49" s="38"/>
      <c r="B49" s="279" t="s">
        <v>45</v>
      </c>
      <c r="C49" s="279"/>
      <c r="D49" s="92"/>
      <c r="E49" s="92"/>
      <c r="F49" s="279" t="s">
        <v>46</v>
      </c>
      <c r="G49" s="279"/>
      <c r="H49" s="279"/>
      <c r="I49" s="279"/>
      <c r="J49" s="279"/>
      <c r="K49" s="92"/>
      <c r="L49" s="279" t="s">
        <v>47</v>
      </c>
      <c r="M49" s="279"/>
      <c r="N49" s="38"/>
    </row>
    <row r="50" spans="1:40" ht="15" customHeight="1" x14ac:dyDescent="0.45">
      <c r="A50" s="38"/>
      <c r="B50" s="90"/>
      <c r="C50" s="142"/>
      <c r="D50" s="142"/>
      <c r="E50" s="142"/>
      <c r="F50" s="142"/>
      <c r="G50" s="90"/>
      <c r="H50" s="90"/>
      <c r="I50" s="142"/>
      <c r="J50" s="142"/>
      <c r="K50" s="142"/>
      <c r="L50" s="90"/>
      <c r="M50" s="90"/>
      <c r="N50" s="38"/>
    </row>
    <row r="51" spans="1:40" ht="18.75" x14ac:dyDescent="0.45">
      <c r="A51" s="38"/>
      <c r="B51" s="92"/>
      <c r="C51" s="76"/>
      <c r="D51" s="76"/>
      <c r="E51" s="76"/>
      <c r="F51" s="66"/>
      <c r="G51" s="66"/>
      <c r="H51" s="66"/>
      <c r="I51" s="66"/>
      <c r="J51" s="66"/>
      <c r="K51" s="66"/>
      <c r="L51" s="66"/>
      <c r="M51" s="66"/>
      <c r="N51" s="38"/>
    </row>
    <row r="52" spans="1:40" ht="15.75" customHeight="1" x14ac:dyDescent="0.45">
      <c r="A52" s="38"/>
      <c r="B52" s="300" t="s">
        <v>49</v>
      </c>
      <c r="C52" s="300"/>
      <c r="D52" s="66"/>
      <c r="E52" s="66"/>
      <c r="F52" s="303"/>
      <c r="G52" s="303"/>
      <c r="H52" s="303"/>
      <c r="I52" s="303"/>
      <c r="J52" s="302"/>
      <c r="K52" s="302"/>
      <c r="L52" s="66"/>
      <c r="M52" s="94" t="s">
        <v>465</v>
      </c>
      <c r="N52" s="38"/>
    </row>
    <row r="53" spans="1:40" ht="20.100000000000001" customHeight="1" x14ac:dyDescent="0.45">
      <c r="A53" s="38"/>
      <c r="B53" s="38"/>
      <c r="C53" s="38"/>
      <c r="D53" s="38"/>
      <c r="E53" s="38"/>
      <c r="F53" s="38"/>
      <c r="G53" s="38"/>
      <c r="H53" s="38"/>
      <c r="I53" s="38"/>
      <c r="J53" s="38"/>
      <c r="K53" s="38"/>
      <c r="L53" s="38"/>
      <c r="M53" s="38"/>
      <c r="N53" s="38"/>
    </row>
    <row r="54" spans="1:40" x14ac:dyDescent="0.2"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N54" s="12"/>
    </row>
    <row r="55" spans="1:40" x14ac:dyDescent="0.2"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</row>
    <row r="56" spans="1:40" x14ac:dyDescent="0.2"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13"/>
      <c r="AC56" s="13"/>
      <c r="AD56" s="13"/>
    </row>
  </sheetData>
  <mergeCells count="21">
    <mergeCell ref="C6:I6"/>
    <mergeCell ref="B7:C7"/>
    <mergeCell ref="C12:L12"/>
    <mergeCell ref="C13:L27"/>
    <mergeCell ref="C30:L30"/>
    <mergeCell ref="B2:B3"/>
    <mergeCell ref="C2:K3"/>
    <mergeCell ref="L2:M3"/>
    <mergeCell ref="C4:E4"/>
    <mergeCell ref="F4:J4"/>
    <mergeCell ref="AE7:AN7"/>
    <mergeCell ref="B52:C52"/>
    <mergeCell ref="F52:I52"/>
    <mergeCell ref="J52:K52"/>
    <mergeCell ref="B49:C49"/>
    <mergeCell ref="B48:C48"/>
    <mergeCell ref="L48:M48"/>
    <mergeCell ref="F48:J48"/>
    <mergeCell ref="F49:J49"/>
    <mergeCell ref="L49:M49"/>
    <mergeCell ref="C31:L45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scale="70" orientation="portrait" r:id="rId1"/>
  <rowBreaks count="1" manualBreakCount="1">
    <brk id="53" max="1048575" man="1"/>
  </rowBreaks>
  <colBreaks count="1" manualBreakCount="1">
    <brk id="14" max="16383" man="1"/>
  </colBreak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33473" r:id="rId4" name="Check Box 1">
              <controlPr defaultSize="0" autoFill="0" autoLine="0" autoPict="0">
                <anchor moveWithCells="1">
                  <from>
                    <xdr:col>3</xdr:col>
                    <xdr:colOff>209550</xdr:colOff>
                    <xdr:row>6</xdr:row>
                    <xdr:rowOff>9525</xdr:rowOff>
                  </from>
                  <to>
                    <xdr:col>3</xdr:col>
                    <xdr:colOff>390525</xdr:colOff>
                    <xdr:row>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3474" r:id="rId5" name="Check Box 2">
              <controlPr defaultSize="0" autoFill="0" autoLine="0" autoPict="0">
                <anchor moveWithCells="1">
                  <from>
                    <xdr:col>3</xdr:col>
                    <xdr:colOff>209550</xdr:colOff>
                    <xdr:row>7</xdr:row>
                    <xdr:rowOff>9525</xdr:rowOff>
                  </from>
                  <to>
                    <xdr:col>3</xdr:col>
                    <xdr:colOff>390525</xdr:colOff>
                    <xdr:row>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3475" r:id="rId6" name="Check Box 3">
              <controlPr defaultSize="0" autoFill="0" autoLine="0" autoPict="0">
                <anchor moveWithCells="1">
                  <from>
                    <xdr:col>3</xdr:col>
                    <xdr:colOff>209550</xdr:colOff>
                    <xdr:row>8</xdr:row>
                    <xdr:rowOff>9525</xdr:rowOff>
                  </from>
                  <to>
                    <xdr:col>3</xdr:col>
                    <xdr:colOff>390525</xdr:colOff>
                    <xdr:row>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3476" r:id="rId7" name="Check Box 4">
              <controlPr defaultSize="0" autoFill="0" autoLine="0" autoPict="0">
                <anchor moveWithCells="1">
                  <from>
                    <xdr:col>3</xdr:col>
                    <xdr:colOff>209550</xdr:colOff>
                    <xdr:row>9</xdr:row>
                    <xdr:rowOff>9525</xdr:rowOff>
                  </from>
                  <to>
                    <xdr:col>3</xdr:col>
                    <xdr:colOff>390525</xdr:colOff>
                    <xdr:row>10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3477" r:id="rId8" name="Check Box 5">
              <controlPr defaultSize="0" autoFill="0" autoLine="0" autoPict="0">
                <anchor moveWithCells="1">
                  <from>
                    <xdr:col>10</xdr:col>
                    <xdr:colOff>600075</xdr:colOff>
                    <xdr:row>6</xdr:row>
                    <xdr:rowOff>9525</xdr:rowOff>
                  </from>
                  <to>
                    <xdr:col>10</xdr:col>
                    <xdr:colOff>790575</xdr:colOff>
                    <xdr:row>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3478" r:id="rId9" name="Check Box 6">
              <controlPr defaultSize="0" autoFill="0" autoLine="0" autoPict="0">
                <anchor moveWithCells="1">
                  <from>
                    <xdr:col>10</xdr:col>
                    <xdr:colOff>600075</xdr:colOff>
                    <xdr:row>7</xdr:row>
                    <xdr:rowOff>9525</xdr:rowOff>
                  </from>
                  <to>
                    <xdr:col>10</xdr:col>
                    <xdr:colOff>790575</xdr:colOff>
                    <xdr:row>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3479" r:id="rId10" name="Check Box 7">
              <controlPr defaultSize="0" autoFill="0" autoLine="0" autoPict="0">
                <anchor moveWithCells="1">
                  <from>
                    <xdr:col>10</xdr:col>
                    <xdr:colOff>600075</xdr:colOff>
                    <xdr:row>8</xdr:row>
                    <xdr:rowOff>9525</xdr:rowOff>
                  </from>
                  <to>
                    <xdr:col>10</xdr:col>
                    <xdr:colOff>790575</xdr:colOff>
                    <xdr:row>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3482" r:id="rId11" name="Check Box 10">
              <controlPr defaultSize="0" autoFill="0" autoLine="0" autoPict="0">
                <anchor moveWithCells="1">
                  <from>
                    <xdr:col>10</xdr:col>
                    <xdr:colOff>600075</xdr:colOff>
                    <xdr:row>6</xdr:row>
                    <xdr:rowOff>9525</xdr:rowOff>
                  </from>
                  <to>
                    <xdr:col>10</xdr:col>
                    <xdr:colOff>790575</xdr:colOff>
                    <xdr:row>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3483" r:id="rId12" name="Check Box 11">
              <controlPr defaultSize="0" autoFill="0" autoLine="0" autoPict="0">
                <anchor moveWithCells="1">
                  <from>
                    <xdr:col>10</xdr:col>
                    <xdr:colOff>600075</xdr:colOff>
                    <xdr:row>7</xdr:row>
                    <xdr:rowOff>9525</xdr:rowOff>
                  </from>
                  <to>
                    <xdr:col>10</xdr:col>
                    <xdr:colOff>790575</xdr:colOff>
                    <xdr:row>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3484" r:id="rId13" name="Check Box 12">
              <controlPr defaultSize="0" autoFill="0" autoLine="0" autoPict="0">
                <anchor moveWithCells="1">
                  <from>
                    <xdr:col>10</xdr:col>
                    <xdr:colOff>600075</xdr:colOff>
                    <xdr:row>8</xdr:row>
                    <xdr:rowOff>9525</xdr:rowOff>
                  </from>
                  <to>
                    <xdr:col>10</xdr:col>
                    <xdr:colOff>790575</xdr:colOff>
                    <xdr:row>9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C4F984-50EE-46C7-BECB-43AEB442F8C1}">
  <sheetPr codeName="Hoja14"/>
  <dimension ref="A1:AN51"/>
  <sheetViews>
    <sheetView view="pageBreakPreview" topLeftCell="A15" zoomScale="85" zoomScaleNormal="62" zoomScaleSheetLayoutView="85" workbookViewId="0">
      <selection activeCell="C13" sqref="C13:L24"/>
    </sheetView>
  </sheetViews>
  <sheetFormatPr baseColWidth="10" defaultColWidth="11.42578125" defaultRowHeight="12.75" x14ac:dyDescent="0.2"/>
  <cols>
    <col min="1" max="1" width="3.28515625" customWidth="1"/>
    <col min="2" max="2" width="19.140625" customWidth="1"/>
    <col min="3" max="3" width="7.28515625" customWidth="1"/>
    <col min="4" max="4" width="6.140625" customWidth="1"/>
    <col min="5" max="5" width="7.7109375" customWidth="1"/>
    <col min="6" max="6" width="4.28515625" customWidth="1"/>
    <col min="7" max="7" width="5.140625" customWidth="1"/>
    <col min="8" max="8" width="4.5703125" customWidth="1"/>
    <col min="9" max="9" width="4.28515625" customWidth="1"/>
    <col min="10" max="10" width="7" customWidth="1"/>
    <col min="11" max="11" width="12.7109375" customWidth="1"/>
    <col min="12" max="12" width="13" customWidth="1"/>
    <col min="13" max="13" width="13.28515625" customWidth="1"/>
    <col min="14" max="14" width="3.28515625" customWidth="1"/>
  </cols>
  <sheetData>
    <row r="1" spans="1:40" ht="20.100000000000001" customHeight="1" x14ac:dyDescent="0.45">
      <c r="A1" s="38"/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</row>
    <row r="2" spans="1:40" ht="27.75" customHeight="1" x14ac:dyDescent="0.45">
      <c r="A2" s="38"/>
      <c r="B2" s="332"/>
      <c r="C2" s="339" t="s">
        <v>156</v>
      </c>
      <c r="D2" s="340"/>
      <c r="E2" s="340"/>
      <c r="F2" s="340"/>
      <c r="G2" s="340"/>
      <c r="H2" s="340"/>
      <c r="I2" s="340"/>
      <c r="J2" s="340"/>
      <c r="K2" s="340"/>
      <c r="L2" s="318" t="s">
        <v>51</v>
      </c>
      <c r="M2" s="320"/>
      <c r="N2" s="38"/>
    </row>
    <row r="3" spans="1:40" ht="27.75" customHeight="1" x14ac:dyDescent="0.45">
      <c r="A3" s="38"/>
      <c r="B3" s="333"/>
      <c r="C3" s="342"/>
      <c r="D3" s="343"/>
      <c r="E3" s="343"/>
      <c r="F3" s="343"/>
      <c r="G3" s="343"/>
      <c r="H3" s="343"/>
      <c r="I3" s="343"/>
      <c r="J3" s="343"/>
      <c r="K3" s="343"/>
      <c r="L3" s="321"/>
      <c r="M3" s="323"/>
      <c r="N3" s="38"/>
    </row>
    <row r="4" spans="1:40" ht="18.75" x14ac:dyDescent="0.45">
      <c r="A4" s="38"/>
      <c r="B4" s="60" t="s">
        <v>52</v>
      </c>
      <c r="C4" s="335">
        <f>DATOS!AE7</f>
        <v>0</v>
      </c>
      <c r="D4" s="335"/>
      <c r="E4" s="335"/>
      <c r="F4" s="338"/>
      <c r="G4" s="338"/>
      <c r="H4" s="338"/>
      <c r="I4" s="338"/>
      <c r="J4" s="338"/>
      <c r="K4" s="61" t="s">
        <v>48</v>
      </c>
      <c r="L4" s="181">
        <f>DATOS!AS84</f>
        <v>45331</v>
      </c>
      <c r="M4" s="63"/>
      <c r="N4" s="38"/>
    </row>
    <row r="5" spans="1:40" ht="18.75" x14ac:dyDescent="0.45">
      <c r="A5" s="38"/>
      <c r="B5" s="64" t="s">
        <v>7</v>
      </c>
      <c r="C5" s="65" t="str">
        <f>DATOS!E9</f>
        <v>WINDSHIELD / FRONTSHEIBE</v>
      </c>
      <c r="D5" s="66"/>
      <c r="E5" s="66"/>
      <c r="F5" s="67"/>
      <c r="G5" s="67"/>
      <c r="H5" s="67"/>
      <c r="I5" s="67"/>
      <c r="J5" s="67"/>
      <c r="K5" s="67"/>
      <c r="L5" s="67"/>
      <c r="M5" s="68"/>
      <c r="N5" s="36"/>
      <c r="O5" s="14"/>
      <c r="P5" s="14"/>
      <c r="Q5" s="14"/>
    </row>
    <row r="6" spans="1:40" ht="18.75" x14ac:dyDescent="0.45">
      <c r="A6" s="38"/>
      <c r="B6" s="69" t="s">
        <v>53</v>
      </c>
      <c r="C6" s="336" t="s">
        <v>54</v>
      </c>
      <c r="D6" s="336"/>
      <c r="E6" s="336"/>
      <c r="F6" s="336"/>
      <c r="G6" s="336"/>
      <c r="H6" s="336"/>
      <c r="I6" s="336"/>
      <c r="J6" s="70"/>
      <c r="K6" s="71"/>
      <c r="L6" s="70"/>
      <c r="M6" s="85"/>
      <c r="N6" s="38"/>
      <c r="P6" s="6"/>
      <c r="Q6" s="8"/>
      <c r="R6" s="8"/>
      <c r="S6" s="8"/>
      <c r="T6" s="8"/>
      <c r="U6" s="8"/>
    </row>
    <row r="7" spans="1:40" ht="15" customHeight="1" x14ac:dyDescent="0.45">
      <c r="A7" s="38"/>
      <c r="B7" s="337" t="s">
        <v>55</v>
      </c>
      <c r="C7" s="338"/>
      <c r="D7" s="73"/>
      <c r="E7" s="157" t="s">
        <v>56</v>
      </c>
      <c r="F7" s="158"/>
      <c r="G7" s="158"/>
      <c r="H7" s="157"/>
      <c r="I7" s="157"/>
      <c r="J7" s="157"/>
      <c r="K7" s="157"/>
      <c r="L7" s="157" t="s">
        <v>57</v>
      </c>
      <c r="M7" s="159"/>
      <c r="P7" s="6"/>
      <c r="Q7" s="8"/>
      <c r="R7" s="8"/>
      <c r="S7" s="8"/>
      <c r="T7" s="8"/>
      <c r="U7" s="8"/>
      <c r="AE7" s="249" t="s">
        <v>456</v>
      </c>
      <c r="AF7" s="249"/>
      <c r="AG7" s="249"/>
      <c r="AH7" s="249"/>
      <c r="AI7" s="249"/>
      <c r="AJ7" s="249"/>
      <c r="AK7" s="249"/>
      <c r="AL7" s="249"/>
      <c r="AM7" s="249"/>
      <c r="AN7" s="249"/>
    </row>
    <row r="8" spans="1:40" ht="15" customHeight="1" x14ac:dyDescent="0.45">
      <c r="A8" s="38"/>
      <c r="B8" s="75"/>
      <c r="C8" s="76"/>
      <c r="D8" s="76"/>
      <c r="E8" s="8" t="s">
        <v>58</v>
      </c>
      <c r="F8" s="10"/>
      <c r="G8" s="10"/>
      <c r="H8" s="8"/>
      <c r="I8" s="8"/>
      <c r="J8" s="8"/>
      <c r="K8" s="8"/>
      <c r="L8" s="8" t="s">
        <v>59</v>
      </c>
      <c r="M8" s="160"/>
      <c r="P8" s="6"/>
      <c r="Q8" s="8"/>
      <c r="R8" s="8"/>
      <c r="S8" s="8"/>
      <c r="T8" s="8"/>
      <c r="U8" s="8"/>
      <c r="AE8" s="38"/>
      <c r="AF8" s="38"/>
      <c r="AG8" s="38"/>
      <c r="AH8" s="38"/>
      <c r="AI8" s="38"/>
      <c r="AJ8" s="38"/>
      <c r="AK8" s="38"/>
      <c r="AL8" s="38"/>
      <c r="AM8" s="38"/>
      <c r="AN8" s="38"/>
    </row>
    <row r="9" spans="1:40" ht="15" customHeight="1" x14ac:dyDescent="0.45">
      <c r="A9" s="38"/>
      <c r="B9" s="77"/>
      <c r="C9" s="66"/>
      <c r="D9" s="66"/>
      <c r="E9" s="8" t="s">
        <v>60</v>
      </c>
      <c r="F9" s="8"/>
      <c r="G9" s="8"/>
      <c r="H9" s="8"/>
      <c r="I9" s="8"/>
      <c r="J9" s="8"/>
      <c r="K9" s="8"/>
      <c r="L9" s="8" t="s">
        <v>61</v>
      </c>
      <c r="M9" s="160"/>
      <c r="P9" s="6"/>
      <c r="Q9" s="8"/>
      <c r="R9" s="8"/>
      <c r="S9" s="8"/>
      <c r="T9" s="8"/>
      <c r="U9" s="8"/>
    </row>
    <row r="10" spans="1:40" ht="15" customHeight="1" x14ac:dyDescent="0.45">
      <c r="A10" s="38"/>
      <c r="B10" s="78"/>
      <c r="C10" s="79"/>
      <c r="D10" s="79"/>
      <c r="E10" s="79" t="s">
        <v>62</v>
      </c>
      <c r="F10" s="79"/>
      <c r="G10" s="79"/>
      <c r="H10" s="79"/>
      <c r="I10" s="79"/>
      <c r="J10" s="79"/>
      <c r="K10" s="79"/>
      <c r="L10" s="79"/>
      <c r="M10" s="80"/>
      <c r="N10" s="38"/>
      <c r="P10" s="6"/>
      <c r="Q10" s="8"/>
      <c r="R10" s="8"/>
      <c r="S10" s="8"/>
      <c r="T10" s="8"/>
      <c r="U10" s="8"/>
    </row>
    <row r="11" spans="1:40" ht="15" customHeight="1" x14ac:dyDescent="0.45">
      <c r="A11" s="38"/>
      <c r="B11" s="66"/>
      <c r="C11" s="66"/>
      <c r="D11" s="66"/>
      <c r="E11" s="66"/>
      <c r="F11" s="66"/>
      <c r="G11" s="66"/>
      <c r="H11" s="66"/>
      <c r="I11" s="66"/>
      <c r="J11" s="66"/>
      <c r="K11" s="66"/>
      <c r="L11" s="66"/>
      <c r="M11" s="66"/>
      <c r="N11" s="38"/>
      <c r="P11" s="6"/>
      <c r="Q11" s="8"/>
      <c r="R11" s="8"/>
      <c r="S11" s="8"/>
      <c r="T11" s="8"/>
      <c r="U11" s="8"/>
    </row>
    <row r="12" spans="1:40" ht="15" customHeight="1" x14ac:dyDescent="0.45">
      <c r="A12" s="38"/>
      <c r="B12" s="66"/>
      <c r="C12" s="294" t="s">
        <v>434</v>
      </c>
      <c r="D12" s="295"/>
      <c r="E12" s="295"/>
      <c r="F12" s="295"/>
      <c r="G12" s="295"/>
      <c r="H12" s="295"/>
      <c r="I12" s="295"/>
      <c r="J12" s="295"/>
      <c r="K12" s="295"/>
      <c r="L12" s="317"/>
      <c r="M12" s="66"/>
      <c r="N12" s="38"/>
      <c r="P12" s="6"/>
      <c r="Q12" s="8"/>
      <c r="R12" s="8"/>
      <c r="S12" s="8"/>
      <c r="T12" s="8"/>
      <c r="U12" s="8"/>
    </row>
    <row r="13" spans="1:40" ht="15" customHeight="1" x14ac:dyDescent="0.45">
      <c r="A13" s="38"/>
      <c r="B13" s="66"/>
      <c r="C13" s="324"/>
      <c r="D13" s="325"/>
      <c r="E13" s="325"/>
      <c r="F13" s="325"/>
      <c r="G13" s="325"/>
      <c r="H13" s="325"/>
      <c r="I13" s="325"/>
      <c r="J13" s="325"/>
      <c r="K13" s="325"/>
      <c r="L13" s="326"/>
      <c r="M13" s="66"/>
      <c r="N13" s="38"/>
      <c r="P13" s="6"/>
      <c r="Q13" s="8"/>
      <c r="R13" s="8"/>
      <c r="S13" s="8"/>
      <c r="T13" s="8"/>
      <c r="U13" s="8"/>
    </row>
    <row r="14" spans="1:40" ht="15" customHeight="1" x14ac:dyDescent="0.45">
      <c r="A14" s="38"/>
      <c r="B14" s="66"/>
      <c r="C14" s="327"/>
      <c r="D14" s="303"/>
      <c r="E14" s="303"/>
      <c r="F14" s="303"/>
      <c r="G14" s="303"/>
      <c r="H14" s="303"/>
      <c r="I14" s="303"/>
      <c r="J14" s="303"/>
      <c r="K14" s="303"/>
      <c r="L14" s="328"/>
      <c r="M14" s="66"/>
      <c r="N14" s="38"/>
      <c r="P14" s="6"/>
      <c r="Q14" s="8"/>
      <c r="R14" s="8"/>
      <c r="S14" s="8"/>
      <c r="T14" s="8"/>
      <c r="U14" s="8"/>
    </row>
    <row r="15" spans="1:40" ht="15" customHeight="1" x14ac:dyDescent="0.45">
      <c r="A15" s="38"/>
      <c r="B15" s="66"/>
      <c r="C15" s="327"/>
      <c r="D15" s="303"/>
      <c r="E15" s="303"/>
      <c r="F15" s="303"/>
      <c r="G15" s="303"/>
      <c r="H15" s="303"/>
      <c r="I15" s="303"/>
      <c r="J15" s="303"/>
      <c r="K15" s="303"/>
      <c r="L15" s="328"/>
      <c r="M15" s="66"/>
      <c r="N15" s="38"/>
      <c r="R15" s="8"/>
      <c r="S15" s="8"/>
      <c r="T15" s="8"/>
      <c r="U15" s="8"/>
    </row>
    <row r="16" spans="1:40" ht="15" customHeight="1" x14ac:dyDescent="0.45">
      <c r="A16" s="38"/>
      <c r="B16" s="66"/>
      <c r="C16" s="327"/>
      <c r="D16" s="303"/>
      <c r="E16" s="303"/>
      <c r="F16" s="303"/>
      <c r="G16" s="303"/>
      <c r="H16" s="303"/>
      <c r="I16" s="303"/>
      <c r="J16" s="303"/>
      <c r="K16" s="303"/>
      <c r="L16" s="328"/>
      <c r="M16" s="66"/>
      <c r="N16" s="38"/>
      <c r="P16" s="6"/>
      <c r="Q16" s="8"/>
      <c r="R16" s="8"/>
      <c r="S16" s="8"/>
      <c r="T16" s="8"/>
      <c r="U16" s="8"/>
    </row>
    <row r="17" spans="1:23" ht="15" customHeight="1" x14ac:dyDescent="0.45">
      <c r="A17" s="38"/>
      <c r="B17" s="66"/>
      <c r="C17" s="327"/>
      <c r="D17" s="303"/>
      <c r="E17" s="303"/>
      <c r="F17" s="303"/>
      <c r="G17" s="303"/>
      <c r="H17" s="303"/>
      <c r="I17" s="303"/>
      <c r="J17" s="303"/>
      <c r="K17" s="303"/>
      <c r="L17" s="328"/>
      <c r="M17" s="66"/>
      <c r="N17" s="38"/>
      <c r="Q17" s="8"/>
      <c r="R17" s="8"/>
      <c r="S17" s="8"/>
      <c r="T17" s="8"/>
      <c r="U17" s="8"/>
    </row>
    <row r="18" spans="1:23" ht="15" customHeight="1" x14ac:dyDescent="0.45">
      <c r="A18" s="38"/>
      <c r="B18" s="66"/>
      <c r="C18" s="327"/>
      <c r="D18" s="303"/>
      <c r="E18" s="303"/>
      <c r="F18" s="303"/>
      <c r="G18" s="303"/>
      <c r="H18" s="303"/>
      <c r="I18" s="303"/>
      <c r="J18" s="303"/>
      <c r="K18" s="303"/>
      <c r="L18" s="328"/>
      <c r="M18" s="66"/>
      <c r="N18" s="38"/>
      <c r="Q18" s="8"/>
      <c r="R18" s="8"/>
      <c r="S18" s="8"/>
      <c r="T18" s="8"/>
      <c r="U18" s="8"/>
    </row>
    <row r="19" spans="1:23" ht="15" customHeight="1" x14ac:dyDescent="0.45">
      <c r="A19" s="38"/>
      <c r="B19" s="66"/>
      <c r="C19" s="327"/>
      <c r="D19" s="303"/>
      <c r="E19" s="303"/>
      <c r="F19" s="303"/>
      <c r="G19" s="303"/>
      <c r="H19" s="303"/>
      <c r="I19" s="303"/>
      <c r="J19" s="303"/>
      <c r="K19" s="303"/>
      <c r="L19" s="328"/>
      <c r="M19" s="66"/>
      <c r="N19" s="38"/>
      <c r="P19" s="6"/>
      <c r="Q19" s="8"/>
      <c r="R19" s="8"/>
      <c r="S19" s="8"/>
      <c r="T19" s="8"/>
      <c r="U19" s="8"/>
    </row>
    <row r="20" spans="1:23" ht="15" customHeight="1" x14ac:dyDescent="0.45">
      <c r="A20" s="38"/>
      <c r="B20" s="66"/>
      <c r="C20" s="327"/>
      <c r="D20" s="303"/>
      <c r="E20" s="303"/>
      <c r="F20" s="303"/>
      <c r="G20" s="303"/>
      <c r="H20" s="303"/>
      <c r="I20" s="303"/>
      <c r="J20" s="303"/>
      <c r="K20" s="303"/>
      <c r="L20" s="328"/>
      <c r="M20" s="66"/>
      <c r="N20" s="38"/>
      <c r="P20" s="6"/>
      <c r="Q20" s="8"/>
      <c r="R20" s="8"/>
      <c r="S20" s="8"/>
      <c r="T20" s="8"/>
      <c r="U20" s="8"/>
    </row>
    <row r="21" spans="1:23" ht="15" customHeight="1" x14ac:dyDescent="0.45">
      <c r="A21" s="38"/>
      <c r="B21" s="66"/>
      <c r="C21" s="327"/>
      <c r="D21" s="303"/>
      <c r="E21" s="303"/>
      <c r="F21" s="303"/>
      <c r="G21" s="303"/>
      <c r="H21" s="303"/>
      <c r="I21" s="303"/>
      <c r="J21" s="303"/>
      <c r="K21" s="303"/>
      <c r="L21" s="328"/>
      <c r="M21" s="66"/>
      <c r="N21" s="38"/>
      <c r="P21" s="6"/>
      <c r="Q21" s="8"/>
      <c r="R21" s="8"/>
      <c r="S21" s="8"/>
      <c r="T21" s="8"/>
      <c r="U21" s="8"/>
    </row>
    <row r="22" spans="1:23" ht="15" customHeight="1" x14ac:dyDescent="0.45">
      <c r="A22" s="38"/>
      <c r="B22" s="66"/>
      <c r="C22" s="327"/>
      <c r="D22" s="303"/>
      <c r="E22" s="303"/>
      <c r="F22" s="303"/>
      <c r="G22" s="303"/>
      <c r="H22" s="303"/>
      <c r="I22" s="303"/>
      <c r="J22" s="303"/>
      <c r="K22" s="303"/>
      <c r="L22" s="328"/>
      <c r="M22" s="66"/>
      <c r="N22" s="38"/>
      <c r="P22" s="6"/>
      <c r="Q22" s="8"/>
      <c r="R22" s="8"/>
      <c r="S22" s="8"/>
      <c r="T22" s="8"/>
      <c r="U22" s="8"/>
    </row>
    <row r="23" spans="1:23" ht="15" customHeight="1" x14ac:dyDescent="0.45">
      <c r="A23" s="38"/>
      <c r="B23" s="66"/>
      <c r="C23" s="327"/>
      <c r="D23" s="303"/>
      <c r="E23" s="303"/>
      <c r="F23" s="303"/>
      <c r="G23" s="303"/>
      <c r="H23" s="303"/>
      <c r="I23" s="303"/>
      <c r="J23" s="303"/>
      <c r="K23" s="303"/>
      <c r="L23" s="328"/>
      <c r="M23" s="66"/>
      <c r="N23" s="38"/>
      <c r="P23" s="6"/>
      <c r="Q23" s="8"/>
      <c r="R23" s="8"/>
      <c r="S23" s="8"/>
      <c r="T23" s="8"/>
      <c r="U23" s="8"/>
    </row>
    <row r="24" spans="1:23" ht="15" customHeight="1" x14ac:dyDescent="0.45">
      <c r="A24" s="38"/>
      <c r="B24" s="66"/>
      <c r="C24" s="329"/>
      <c r="D24" s="330"/>
      <c r="E24" s="330"/>
      <c r="F24" s="330"/>
      <c r="G24" s="330"/>
      <c r="H24" s="330"/>
      <c r="I24" s="330"/>
      <c r="J24" s="330"/>
      <c r="K24" s="330"/>
      <c r="L24" s="331"/>
      <c r="M24" s="66"/>
      <c r="N24" s="38"/>
      <c r="P24" s="6"/>
      <c r="Q24" s="8"/>
      <c r="R24" s="8"/>
      <c r="S24" s="8"/>
      <c r="T24" s="8"/>
      <c r="U24" s="8"/>
    </row>
    <row r="25" spans="1:23" ht="15" customHeight="1" x14ac:dyDescent="0.45">
      <c r="A25" s="38"/>
      <c r="B25" s="66"/>
      <c r="C25" s="76"/>
      <c r="D25" s="76"/>
      <c r="E25" s="76"/>
      <c r="F25" s="76"/>
      <c r="G25" s="76"/>
      <c r="H25" s="76"/>
      <c r="I25" s="76"/>
      <c r="J25" s="76"/>
      <c r="K25" s="76"/>
      <c r="L25" s="76"/>
      <c r="M25" s="66"/>
      <c r="N25" s="38"/>
      <c r="P25" s="6"/>
      <c r="Q25" s="8"/>
      <c r="R25" s="8"/>
      <c r="S25" s="8"/>
      <c r="T25" s="8"/>
      <c r="U25" s="8"/>
    </row>
    <row r="26" spans="1:23" ht="15" customHeight="1" x14ac:dyDescent="0.45">
      <c r="A26" s="38"/>
      <c r="B26" s="66"/>
      <c r="C26" s="294" t="s">
        <v>435</v>
      </c>
      <c r="D26" s="295"/>
      <c r="E26" s="295"/>
      <c r="F26" s="295"/>
      <c r="G26" s="295"/>
      <c r="H26" s="295"/>
      <c r="I26" s="295"/>
      <c r="J26" s="295"/>
      <c r="K26" s="295"/>
      <c r="L26" s="317"/>
      <c r="M26" s="66"/>
      <c r="N26" s="38"/>
      <c r="P26" s="6"/>
      <c r="Q26" s="8"/>
      <c r="R26" s="8"/>
      <c r="S26" s="8"/>
      <c r="T26" s="8"/>
      <c r="U26" s="8"/>
    </row>
    <row r="27" spans="1:23" ht="15" customHeight="1" x14ac:dyDescent="0.45">
      <c r="A27" s="38"/>
      <c r="B27" s="76"/>
      <c r="C27" s="366"/>
      <c r="D27" s="366"/>
      <c r="E27" s="366"/>
      <c r="F27" s="366"/>
      <c r="G27" s="366"/>
      <c r="H27" s="366"/>
      <c r="I27" s="366"/>
      <c r="J27" s="366"/>
      <c r="K27" s="366"/>
      <c r="L27" s="366"/>
      <c r="M27" s="76"/>
      <c r="N27" s="38"/>
      <c r="Q27" s="15" t="s">
        <v>142</v>
      </c>
      <c r="R27" s="15"/>
      <c r="S27" s="15"/>
      <c r="T27" s="15"/>
      <c r="U27" s="15"/>
      <c r="V27" s="15"/>
      <c r="W27" s="15"/>
    </row>
    <row r="28" spans="1:23" ht="13.5" customHeight="1" x14ac:dyDescent="0.45">
      <c r="A28" s="38"/>
      <c r="B28" s="76"/>
      <c r="C28" s="366"/>
      <c r="D28" s="366"/>
      <c r="E28" s="366"/>
      <c r="F28" s="366"/>
      <c r="G28" s="366"/>
      <c r="H28" s="366"/>
      <c r="I28" s="366"/>
      <c r="J28" s="366"/>
      <c r="K28" s="366"/>
      <c r="L28" s="366"/>
      <c r="M28" s="76"/>
      <c r="N28" s="38"/>
      <c r="Q28" s="16"/>
      <c r="R28" s="16"/>
      <c r="S28" s="16"/>
      <c r="T28" s="16"/>
      <c r="U28" s="16"/>
      <c r="V28" s="16"/>
      <c r="W28" s="16"/>
    </row>
    <row r="29" spans="1:23" ht="13.5" customHeight="1" x14ac:dyDescent="0.45">
      <c r="A29" s="38"/>
      <c r="B29" s="76"/>
      <c r="C29" s="366"/>
      <c r="D29" s="366"/>
      <c r="E29" s="366"/>
      <c r="F29" s="366"/>
      <c r="G29" s="366"/>
      <c r="H29" s="366"/>
      <c r="I29" s="366"/>
      <c r="J29" s="366"/>
      <c r="K29" s="366"/>
      <c r="L29" s="366"/>
      <c r="M29" s="76"/>
      <c r="N29" s="38"/>
      <c r="Q29" s="16"/>
      <c r="R29" s="16"/>
      <c r="S29" s="16"/>
      <c r="T29" s="16"/>
      <c r="U29" s="16"/>
      <c r="V29" s="16"/>
      <c r="W29" s="16"/>
    </row>
    <row r="30" spans="1:23" ht="13.5" customHeight="1" x14ac:dyDescent="0.45">
      <c r="A30" s="38"/>
      <c r="B30" s="76"/>
      <c r="C30" s="366"/>
      <c r="D30" s="366"/>
      <c r="E30" s="366"/>
      <c r="F30" s="366"/>
      <c r="G30" s="366"/>
      <c r="H30" s="366"/>
      <c r="I30" s="366"/>
      <c r="J30" s="366"/>
      <c r="K30" s="366"/>
      <c r="L30" s="366"/>
      <c r="M30" s="76"/>
      <c r="N30" s="38"/>
      <c r="Q30" s="16"/>
      <c r="R30" s="16"/>
      <c r="S30" s="16"/>
      <c r="T30" s="16"/>
      <c r="U30" s="16"/>
      <c r="V30" s="16"/>
      <c r="W30" s="16"/>
    </row>
    <row r="31" spans="1:23" ht="13.5" customHeight="1" x14ac:dyDescent="0.45">
      <c r="A31" s="38"/>
      <c r="B31" s="76"/>
      <c r="C31" s="366"/>
      <c r="D31" s="366"/>
      <c r="E31" s="366"/>
      <c r="F31" s="366"/>
      <c r="G31" s="366"/>
      <c r="H31" s="366"/>
      <c r="I31" s="366"/>
      <c r="J31" s="366"/>
      <c r="K31" s="366"/>
      <c r="L31" s="366"/>
      <c r="M31" s="76"/>
      <c r="N31" s="38"/>
      <c r="Q31" s="16"/>
      <c r="R31" s="16"/>
      <c r="S31" s="16"/>
      <c r="T31" s="16"/>
      <c r="U31" s="16"/>
      <c r="V31" s="16"/>
      <c r="W31" s="16"/>
    </row>
    <row r="32" spans="1:23" ht="13.5" customHeight="1" x14ac:dyDescent="0.45">
      <c r="A32" s="38"/>
      <c r="B32" s="76"/>
      <c r="C32" s="366"/>
      <c r="D32" s="366"/>
      <c r="E32" s="366"/>
      <c r="F32" s="366"/>
      <c r="G32" s="366"/>
      <c r="H32" s="366"/>
      <c r="I32" s="366"/>
      <c r="J32" s="366"/>
      <c r="K32" s="366"/>
      <c r="L32" s="366"/>
      <c r="M32" s="76"/>
      <c r="N32" s="38"/>
      <c r="Q32" s="16"/>
      <c r="R32" s="16"/>
      <c r="S32" s="16"/>
      <c r="T32" s="16"/>
      <c r="U32" s="16"/>
      <c r="V32" s="16"/>
      <c r="W32" s="16"/>
    </row>
    <row r="33" spans="1:31" ht="13.5" customHeight="1" x14ac:dyDescent="0.45">
      <c r="A33" s="38"/>
      <c r="B33" s="76"/>
      <c r="C33" s="366"/>
      <c r="D33" s="366"/>
      <c r="E33" s="366"/>
      <c r="F33" s="366"/>
      <c r="G33" s="366"/>
      <c r="H33" s="366"/>
      <c r="I33" s="366"/>
      <c r="J33" s="366"/>
      <c r="K33" s="366"/>
      <c r="L33" s="366"/>
      <c r="M33" s="76"/>
      <c r="N33" s="38"/>
      <c r="Q33" s="16"/>
      <c r="R33" s="16"/>
      <c r="S33" s="16"/>
      <c r="T33" s="16"/>
      <c r="U33" s="16"/>
      <c r="V33" s="16"/>
      <c r="W33" s="16"/>
    </row>
    <row r="34" spans="1:31" ht="13.5" customHeight="1" x14ac:dyDescent="0.45">
      <c r="A34" s="38"/>
      <c r="B34" s="76"/>
      <c r="C34" s="366"/>
      <c r="D34" s="366"/>
      <c r="E34" s="366"/>
      <c r="F34" s="366"/>
      <c r="G34" s="366"/>
      <c r="H34" s="366"/>
      <c r="I34" s="366"/>
      <c r="J34" s="366"/>
      <c r="K34" s="366"/>
      <c r="L34" s="366"/>
      <c r="M34" s="76"/>
      <c r="N34" s="38"/>
      <c r="Q34" s="16"/>
      <c r="R34" s="16"/>
      <c r="S34" s="16"/>
      <c r="T34" s="16"/>
      <c r="U34" s="16"/>
      <c r="V34" s="16"/>
      <c r="W34" s="16"/>
    </row>
    <row r="35" spans="1:31" ht="13.5" customHeight="1" x14ac:dyDescent="0.45">
      <c r="A35" s="38"/>
      <c r="B35" s="76"/>
      <c r="C35" s="366"/>
      <c r="D35" s="366"/>
      <c r="E35" s="366"/>
      <c r="F35" s="366"/>
      <c r="G35" s="366"/>
      <c r="H35" s="366"/>
      <c r="I35" s="366"/>
      <c r="J35" s="366"/>
      <c r="K35" s="366"/>
      <c r="L35" s="366"/>
      <c r="M35" s="76"/>
      <c r="N35" s="38"/>
      <c r="Q35" s="16"/>
      <c r="R35" s="16"/>
      <c r="S35" s="16"/>
      <c r="T35" s="16"/>
      <c r="U35" s="16"/>
      <c r="V35" s="16"/>
      <c r="W35" s="16"/>
    </row>
    <row r="36" spans="1:31" ht="13.5" customHeight="1" x14ac:dyDescent="0.45">
      <c r="A36" s="38"/>
      <c r="B36" s="76"/>
      <c r="C36" s="366"/>
      <c r="D36" s="366"/>
      <c r="E36" s="366"/>
      <c r="F36" s="366"/>
      <c r="G36" s="366"/>
      <c r="H36" s="366"/>
      <c r="I36" s="366"/>
      <c r="J36" s="366"/>
      <c r="K36" s="366"/>
      <c r="L36" s="366"/>
      <c r="M36" s="76"/>
      <c r="N36" s="38"/>
      <c r="Q36" s="16"/>
      <c r="R36" s="16"/>
      <c r="S36" s="16"/>
      <c r="T36" s="16"/>
      <c r="U36" s="16"/>
      <c r="V36" s="16"/>
      <c r="W36" s="16"/>
    </row>
    <row r="37" spans="1:31" ht="13.5" customHeight="1" x14ac:dyDescent="0.45">
      <c r="A37" s="38"/>
      <c r="B37" s="76"/>
      <c r="C37" s="366"/>
      <c r="D37" s="366"/>
      <c r="E37" s="366"/>
      <c r="F37" s="366"/>
      <c r="G37" s="366"/>
      <c r="H37" s="366"/>
      <c r="I37" s="366"/>
      <c r="J37" s="366"/>
      <c r="K37" s="366"/>
      <c r="L37" s="366"/>
      <c r="M37" s="76"/>
      <c r="N37" s="38"/>
      <c r="Q37" s="16"/>
      <c r="R37" s="16"/>
      <c r="S37" s="16"/>
      <c r="T37" s="16"/>
      <c r="U37" s="16"/>
      <c r="V37" s="16"/>
      <c r="W37" s="16"/>
    </row>
    <row r="38" spans="1:31" ht="13.5" customHeight="1" x14ac:dyDescent="0.45">
      <c r="A38" s="38"/>
      <c r="B38" s="76"/>
      <c r="C38" s="366"/>
      <c r="D38" s="366"/>
      <c r="E38" s="366"/>
      <c r="F38" s="366"/>
      <c r="G38" s="366"/>
      <c r="H38" s="366"/>
      <c r="I38" s="366"/>
      <c r="J38" s="366"/>
      <c r="K38" s="366"/>
      <c r="L38" s="366"/>
      <c r="M38" s="76"/>
      <c r="N38" s="38"/>
      <c r="Q38" s="16"/>
      <c r="R38" s="16"/>
      <c r="S38" s="16"/>
      <c r="T38" s="16"/>
      <c r="U38" s="16"/>
      <c r="V38" s="16"/>
      <c r="W38" s="16"/>
    </row>
    <row r="39" spans="1:31" ht="13.5" customHeight="1" x14ac:dyDescent="0.45">
      <c r="A39" s="38"/>
      <c r="B39" s="76"/>
      <c r="C39" s="76"/>
      <c r="D39" s="76"/>
      <c r="E39" s="76"/>
      <c r="F39" s="76"/>
      <c r="G39" s="76"/>
      <c r="H39" s="76"/>
      <c r="I39" s="76"/>
      <c r="J39" s="76"/>
      <c r="K39" s="76"/>
      <c r="L39" s="76"/>
      <c r="M39" s="76"/>
      <c r="N39" s="38"/>
      <c r="Q39" s="16"/>
      <c r="R39" s="16"/>
      <c r="S39" s="16"/>
      <c r="T39" s="16"/>
      <c r="U39" s="16"/>
      <c r="V39" s="16"/>
      <c r="W39" s="16"/>
    </row>
    <row r="40" spans="1:31" ht="13.5" customHeight="1" x14ac:dyDescent="0.45">
      <c r="A40" s="38"/>
      <c r="B40" s="76" t="s">
        <v>448</v>
      </c>
      <c r="C40" s="182">
        <v>15</v>
      </c>
      <c r="D40" s="76" t="s">
        <v>433</v>
      </c>
      <c r="E40" s="76"/>
      <c r="F40" s="76"/>
      <c r="G40" s="76"/>
      <c r="H40" s="76"/>
      <c r="I40" s="76"/>
      <c r="J40" s="303" t="s">
        <v>449</v>
      </c>
      <c r="K40" s="303"/>
      <c r="L40" s="182">
        <v>15</v>
      </c>
      <c r="M40" s="76" t="s">
        <v>433</v>
      </c>
      <c r="N40" s="38"/>
      <c r="Q40" s="16"/>
      <c r="R40" s="16"/>
      <c r="S40" s="16"/>
      <c r="T40" s="16"/>
      <c r="U40" s="16"/>
      <c r="V40" s="16"/>
      <c r="W40" s="16"/>
    </row>
    <row r="41" spans="1:31" ht="15" customHeight="1" x14ac:dyDescent="0.45">
      <c r="A41" s="38"/>
      <c r="B41" s="102" t="s">
        <v>446</v>
      </c>
      <c r="C41" s="92"/>
      <c r="D41" s="92"/>
      <c r="E41" s="92"/>
      <c r="F41" s="92"/>
      <c r="G41" s="92"/>
      <c r="H41" s="90"/>
      <c r="I41" s="90"/>
      <c r="J41" s="92"/>
      <c r="K41" s="92"/>
      <c r="L41" s="92"/>
      <c r="M41" s="92"/>
      <c r="N41" s="38"/>
    </row>
    <row r="42" spans="1:31" ht="15" customHeight="1" x14ac:dyDescent="0.45">
      <c r="A42" s="38"/>
      <c r="B42" s="90"/>
      <c r="C42" s="90"/>
      <c r="D42" s="90"/>
      <c r="E42" s="90"/>
      <c r="F42" s="90"/>
      <c r="G42" s="90"/>
      <c r="H42" s="90"/>
      <c r="I42" s="90"/>
      <c r="J42" s="90"/>
      <c r="K42" s="90"/>
      <c r="L42" s="90"/>
      <c r="M42" s="90"/>
      <c r="N42" s="38"/>
      <c r="T42" s="11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</row>
    <row r="43" spans="1:31" ht="15" customHeight="1" x14ac:dyDescent="0.45">
      <c r="A43" s="38"/>
      <c r="B43" s="292" t="s">
        <v>439</v>
      </c>
      <c r="C43" s="292"/>
      <c r="D43" s="91"/>
      <c r="E43" s="91"/>
      <c r="F43" s="292" t="str">
        <f>+TNT!E47</f>
        <v>ssanabria</v>
      </c>
      <c r="G43" s="292"/>
      <c r="H43" s="292"/>
      <c r="I43" s="292"/>
      <c r="J43" s="292"/>
      <c r="K43" s="91"/>
      <c r="L43" s="292" t="s">
        <v>441</v>
      </c>
      <c r="M43" s="292"/>
      <c r="N43" s="38"/>
    </row>
    <row r="44" spans="1:31" ht="15" customHeight="1" x14ac:dyDescent="0.45">
      <c r="A44" s="38"/>
      <c r="B44" s="279" t="s">
        <v>45</v>
      </c>
      <c r="C44" s="279"/>
      <c r="D44" s="92"/>
      <c r="E44" s="92"/>
      <c r="F44" s="279" t="s">
        <v>46</v>
      </c>
      <c r="G44" s="279"/>
      <c r="H44" s="279"/>
      <c r="I44" s="279"/>
      <c r="J44" s="279"/>
      <c r="K44" s="92"/>
      <c r="L44" s="279" t="s">
        <v>47</v>
      </c>
      <c r="M44" s="279"/>
      <c r="N44" s="38"/>
    </row>
    <row r="45" spans="1:31" ht="15" customHeight="1" x14ac:dyDescent="0.45">
      <c r="A45" s="38"/>
      <c r="B45" s="90"/>
      <c r="C45" s="142"/>
      <c r="D45" s="142"/>
      <c r="E45" s="142"/>
      <c r="F45" s="142"/>
      <c r="G45" s="90"/>
      <c r="H45" s="90"/>
      <c r="I45" s="142"/>
      <c r="J45" s="142"/>
      <c r="K45" s="142"/>
      <c r="L45" s="90"/>
      <c r="M45" s="90"/>
      <c r="N45" s="38"/>
    </row>
    <row r="46" spans="1:31" ht="18.75" x14ac:dyDescent="0.45">
      <c r="A46" s="38"/>
      <c r="B46" s="92"/>
      <c r="C46" s="76"/>
      <c r="D46" s="76"/>
      <c r="E46" s="76"/>
      <c r="F46" s="66"/>
      <c r="G46" s="66"/>
      <c r="H46" s="66"/>
      <c r="I46" s="66"/>
      <c r="J46" s="66"/>
      <c r="K46" s="66"/>
      <c r="L46" s="66"/>
      <c r="M46" s="66"/>
      <c r="N46" s="38"/>
    </row>
    <row r="47" spans="1:31" ht="15.75" customHeight="1" x14ac:dyDescent="0.45">
      <c r="A47" s="38"/>
      <c r="B47" s="300" t="s">
        <v>49</v>
      </c>
      <c r="C47" s="300"/>
      <c r="D47" s="66"/>
      <c r="E47" s="66"/>
      <c r="F47" s="303"/>
      <c r="G47" s="303"/>
      <c r="H47" s="303"/>
      <c r="I47" s="303"/>
      <c r="J47" s="302"/>
      <c r="K47" s="302"/>
      <c r="L47" s="66"/>
      <c r="M47" s="94" t="s">
        <v>466</v>
      </c>
      <c r="N47" s="38"/>
    </row>
    <row r="48" spans="1:31" ht="20.100000000000001" customHeight="1" x14ac:dyDescent="0.45">
      <c r="A48" s="38"/>
      <c r="B48" s="38"/>
      <c r="C48" s="38"/>
      <c r="D48" s="38"/>
      <c r="E48" s="38"/>
      <c r="F48" s="38"/>
      <c r="G48" s="38"/>
      <c r="H48" s="38"/>
      <c r="I48" s="38"/>
      <c r="J48" s="38"/>
      <c r="K48" s="38"/>
      <c r="L48" s="38"/>
      <c r="M48" s="38"/>
      <c r="N48" s="38"/>
    </row>
    <row r="49" spans="17:40" x14ac:dyDescent="0.2"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N49" s="12"/>
    </row>
    <row r="50" spans="17:40" x14ac:dyDescent="0.2"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</row>
    <row r="51" spans="17:40" x14ac:dyDescent="0.2"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13"/>
      <c r="AC51" s="13"/>
      <c r="AD51" s="13"/>
    </row>
  </sheetData>
  <mergeCells count="22">
    <mergeCell ref="B44:C44"/>
    <mergeCell ref="F44:J44"/>
    <mergeCell ref="L44:M44"/>
    <mergeCell ref="B47:C47"/>
    <mergeCell ref="F47:I47"/>
    <mergeCell ref="J47:K47"/>
    <mergeCell ref="C12:L12"/>
    <mergeCell ref="C27:L38"/>
    <mergeCell ref="B43:C43"/>
    <mergeCell ref="F43:J43"/>
    <mergeCell ref="L43:M43"/>
    <mergeCell ref="C13:L24"/>
    <mergeCell ref="C26:L26"/>
    <mergeCell ref="J40:K40"/>
    <mergeCell ref="AE7:AN7"/>
    <mergeCell ref="C6:I6"/>
    <mergeCell ref="B2:B3"/>
    <mergeCell ref="C2:K3"/>
    <mergeCell ref="L2:M3"/>
    <mergeCell ref="C4:E4"/>
    <mergeCell ref="F4:J4"/>
    <mergeCell ref="B7:C7"/>
  </mergeCells>
  <pageMargins left="0.7" right="0.7" top="0.75" bottom="0.75" header="0.3" footer="0.3"/>
  <pageSetup paperSize="9" scale="78" orientation="portrait" r:id="rId1"/>
  <colBreaks count="1" manualBreakCount="1">
    <brk id="14" max="16383" man="1"/>
  </colBreak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49857" r:id="rId4" name="Check Box 1">
              <controlPr defaultSize="0" autoFill="0" autoLine="0" autoPict="0">
                <anchor moveWithCells="1">
                  <from>
                    <xdr:col>3</xdr:col>
                    <xdr:colOff>209550</xdr:colOff>
                    <xdr:row>6</xdr:row>
                    <xdr:rowOff>9525</xdr:rowOff>
                  </from>
                  <to>
                    <xdr:col>3</xdr:col>
                    <xdr:colOff>390525</xdr:colOff>
                    <xdr:row>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9858" r:id="rId5" name="Check Box 2">
              <controlPr defaultSize="0" autoFill="0" autoLine="0" autoPict="0">
                <anchor moveWithCells="1">
                  <from>
                    <xdr:col>3</xdr:col>
                    <xdr:colOff>209550</xdr:colOff>
                    <xdr:row>7</xdr:row>
                    <xdr:rowOff>9525</xdr:rowOff>
                  </from>
                  <to>
                    <xdr:col>3</xdr:col>
                    <xdr:colOff>390525</xdr:colOff>
                    <xdr:row>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9859" r:id="rId6" name="Check Box 3">
              <controlPr defaultSize="0" autoFill="0" autoLine="0" autoPict="0">
                <anchor moveWithCells="1">
                  <from>
                    <xdr:col>3</xdr:col>
                    <xdr:colOff>209550</xdr:colOff>
                    <xdr:row>8</xdr:row>
                    <xdr:rowOff>9525</xdr:rowOff>
                  </from>
                  <to>
                    <xdr:col>3</xdr:col>
                    <xdr:colOff>390525</xdr:colOff>
                    <xdr:row>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9860" r:id="rId7" name="Check Box 4">
              <controlPr defaultSize="0" autoFill="0" autoLine="0" autoPict="0">
                <anchor moveWithCells="1">
                  <from>
                    <xdr:col>3</xdr:col>
                    <xdr:colOff>209550</xdr:colOff>
                    <xdr:row>9</xdr:row>
                    <xdr:rowOff>9525</xdr:rowOff>
                  </from>
                  <to>
                    <xdr:col>3</xdr:col>
                    <xdr:colOff>390525</xdr:colOff>
                    <xdr:row>10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9861" r:id="rId8" name="Check Box 5">
              <controlPr defaultSize="0" autoFill="0" autoLine="0" autoPict="0">
                <anchor moveWithCells="1">
                  <from>
                    <xdr:col>10</xdr:col>
                    <xdr:colOff>600075</xdr:colOff>
                    <xdr:row>6</xdr:row>
                    <xdr:rowOff>9525</xdr:rowOff>
                  </from>
                  <to>
                    <xdr:col>10</xdr:col>
                    <xdr:colOff>790575</xdr:colOff>
                    <xdr:row>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9862" r:id="rId9" name="Check Box 6">
              <controlPr defaultSize="0" autoFill="0" autoLine="0" autoPict="0">
                <anchor moveWithCells="1">
                  <from>
                    <xdr:col>10</xdr:col>
                    <xdr:colOff>600075</xdr:colOff>
                    <xdr:row>7</xdr:row>
                    <xdr:rowOff>9525</xdr:rowOff>
                  </from>
                  <to>
                    <xdr:col>10</xdr:col>
                    <xdr:colOff>790575</xdr:colOff>
                    <xdr:row>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9863" r:id="rId10" name="Check Box 7">
              <controlPr defaultSize="0" autoFill="0" autoLine="0" autoPict="0">
                <anchor moveWithCells="1">
                  <from>
                    <xdr:col>10</xdr:col>
                    <xdr:colOff>600075</xdr:colOff>
                    <xdr:row>8</xdr:row>
                    <xdr:rowOff>9525</xdr:rowOff>
                  </from>
                  <to>
                    <xdr:col>10</xdr:col>
                    <xdr:colOff>790575</xdr:colOff>
                    <xdr:row>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9865" r:id="rId11" name="Check Box 9">
              <controlPr defaultSize="0" autoFill="0" autoLine="0" autoPict="0">
                <anchor moveWithCells="1">
                  <from>
                    <xdr:col>10</xdr:col>
                    <xdr:colOff>600075</xdr:colOff>
                    <xdr:row>6</xdr:row>
                    <xdr:rowOff>9525</xdr:rowOff>
                  </from>
                  <to>
                    <xdr:col>10</xdr:col>
                    <xdr:colOff>790575</xdr:colOff>
                    <xdr:row>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9866" r:id="rId12" name="Check Box 10">
              <controlPr defaultSize="0" autoFill="0" autoLine="0" autoPict="0">
                <anchor moveWithCells="1">
                  <from>
                    <xdr:col>10</xdr:col>
                    <xdr:colOff>600075</xdr:colOff>
                    <xdr:row>7</xdr:row>
                    <xdr:rowOff>9525</xdr:rowOff>
                  </from>
                  <to>
                    <xdr:col>10</xdr:col>
                    <xdr:colOff>790575</xdr:colOff>
                    <xdr:row>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9867" r:id="rId13" name="Check Box 11">
              <controlPr defaultSize="0" autoFill="0" autoLine="0" autoPict="0">
                <anchor moveWithCells="1">
                  <from>
                    <xdr:col>10</xdr:col>
                    <xdr:colOff>600075</xdr:colOff>
                    <xdr:row>8</xdr:row>
                    <xdr:rowOff>9525</xdr:rowOff>
                  </from>
                  <to>
                    <xdr:col>10</xdr:col>
                    <xdr:colOff>790575</xdr:colOff>
                    <xdr:row>9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Hoja13"/>
  <dimension ref="A1:AN40"/>
  <sheetViews>
    <sheetView view="pageBreakPreview" topLeftCell="A28" zoomScale="115" zoomScaleNormal="62" zoomScaleSheetLayoutView="115" workbookViewId="0">
      <selection activeCell="C13" sqref="C13:L27"/>
    </sheetView>
  </sheetViews>
  <sheetFormatPr baseColWidth="10" defaultColWidth="11.42578125" defaultRowHeight="12.75" x14ac:dyDescent="0.2"/>
  <cols>
    <col min="1" max="1" width="3.28515625" customWidth="1"/>
    <col min="2" max="2" width="19.140625" customWidth="1"/>
    <col min="3" max="3" width="7.28515625" customWidth="1"/>
    <col min="4" max="4" width="6.140625" customWidth="1"/>
    <col min="5" max="5" width="7.7109375" customWidth="1"/>
    <col min="6" max="6" width="4.28515625" customWidth="1"/>
    <col min="7" max="7" width="5.140625" customWidth="1"/>
    <col min="8" max="8" width="4.5703125" customWidth="1"/>
    <col min="9" max="9" width="4.28515625" customWidth="1"/>
    <col min="10" max="10" width="7" customWidth="1"/>
    <col min="11" max="11" width="12.7109375" customWidth="1"/>
    <col min="12" max="12" width="14.7109375" customWidth="1"/>
    <col min="13" max="13" width="13.28515625" customWidth="1"/>
    <col min="14" max="14" width="3.28515625" customWidth="1"/>
  </cols>
  <sheetData>
    <row r="1" spans="1:40" ht="20.100000000000001" customHeight="1" x14ac:dyDescent="0.45">
      <c r="A1" s="38"/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</row>
    <row r="2" spans="1:40" ht="27.75" customHeight="1" x14ac:dyDescent="0.45">
      <c r="A2" s="38"/>
      <c r="B2" s="332"/>
      <c r="C2" s="339" t="s">
        <v>158</v>
      </c>
      <c r="D2" s="340"/>
      <c r="E2" s="340"/>
      <c r="F2" s="340"/>
      <c r="G2" s="340"/>
      <c r="H2" s="340"/>
      <c r="I2" s="340"/>
      <c r="J2" s="340"/>
      <c r="K2" s="340"/>
      <c r="L2" s="318" t="s">
        <v>51</v>
      </c>
      <c r="M2" s="320"/>
      <c r="N2" s="38"/>
    </row>
    <row r="3" spans="1:40" ht="27.75" customHeight="1" x14ac:dyDescent="0.45">
      <c r="A3" s="38"/>
      <c r="B3" s="333"/>
      <c r="C3" s="342"/>
      <c r="D3" s="343"/>
      <c r="E3" s="343"/>
      <c r="F3" s="343"/>
      <c r="G3" s="343"/>
      <c r="H3" s="343"/>
      <c r="I3" s="343"/>
      <c r="J3" s="343"/>
      <c r="K3" s="343"/>
      <c r="L3" s="321"/>
      <c r="M3" s="323"/>
      <c r="N3" s="38"/>
    </row>
    <row r="4" spans="1:40" ht="18.75" x14ac:dyDescent="0.45">
      <c r="A4" s="38"/>
      <c r="B4" s="60" t="s">
        <v>52</v>
      </c>
      <c r="C4" s="335">
        <f>+ACCESSORIES!C4</f>
        <v>0</v>
      </c>
      <c r="D4" s="335"/>
      <c r="E4" s="335"/>
      <c r="F4" s="338"/>
      <c r="G4" s="338"/>
      <c r="H4" s="338"/>
      <c r="I4" s="338"/>
      <c r="J4" s="338"/>
      <c r="K4" s="61" t="s">
        <v>48</v>
      </c>
      <c r="L4" s="181">
        <f>DATOS!AS84</f>
        <v>45331</v>
      </c>
      <c r="M4" s="63"/>
      <c r="N4" s="38"/>
    </row>
    <row r="5" spans="1:40" ht="18.75" x14ac:dyDescent="0.45">
      <c r="A5" s="38"/>
      <c r="B5" s="64" t="s">
        <v>7</v>
      </c>
      <c r="C5" s="65" t="str">
        <f>DATOS!E9</f>
        <v>WINDSHIELD / FRONTSHEIBE</v>
      </c>
      <c r="D5" s="66"/>
      <c r="E5" s="66"/>
      <c r="F5" s="67"/>
      <c r="G5" s="67"/>
      <c r="H5" s="67"/>
      <c r="I5" s="67"/>
      <c r="J5" s="67"/>
      <c r="K5" s="67"/>
      <c r="L5" s="67"/>
      <c r="M5" s="68"/>
      <c r="N5" s="36"/>
      <c r="O5" s="14"/>
      <c r="P5" s="14"/>
      <c r="Q5" s="14"/>
    </row>
    <row r="6" spans="1:40" ht="18.75" x14ac:dyDescent="0.45">
      <c r="A6" s="38"/>
      <c r="B6" s="69" t="s">
        <v>53</v>
      </c>
      <c r="C6" s="336" t="s">
        <v>54</v>
      </c>
      <c r="D6" s="336"/>
      <c r="E6" s="336"/>
      <c r="F6" s="336"/>
      <c r="G6" s="336"/>
      <c r="H6" s="336"/>
      <c r="I6" s="336"/>
      <c r="J6" s="70"/>
      <c r="K6" s="71"/>
      <c r="L6" s="70"/>
      <c r="M6" s="85"/>
      <c r="N6" s="38"/>
      <c r="P6" s="6"/>
      <c r="Q6" s="8"/>
      <c r="R6" s="8"/>
      <c r="S6" s="8"/>
      <c r="T6" s="8"/>
      <c r="U6" s="8"/>
    </row>
    <row r="7" spans="1:40" ht="15" customHeight="1" x14ac:dyDescent="0.45">
      <c r="A7" s="38"/>
      <c r="B7" s="337" t="s">
        <v>55</v>
      </c>
      <c r="C7" s="338"/>
      <c r="D7" s="73"/>
      <c r="E7" s="157" t="s">
        <v>56</v>
      </c>
      <c r="F7" s="158"/>
      <c r="G7" s="158"/>
      <c r="H7" s="157"/>
      <c r="I7" s="157"/>
      <c r="J7" s="157"/>
      <c r="K7" s="157"/>
      <c r="L7" s="157" t="s">
        <v>57</v>
      </c>
      <c r="M7" s="159"/>
      <c r="P7" s="6"/>
      <c r="Q7" s="8"/>
      <c r="R7" s="8"/>
      <c r="S7" s="8"/>
      <c r="T7" s="8"/>
      <c r="U7" s="8"/>
      <c r="AE7" s="249" t="s">
        <v>456</v>
      </c>
      <c r="AF7" s="249"/>
      <c r="AG7" s="249"/>
      <c r="AH7" s="249"/>
      <c r="AI7" s="249"/>
      <c r="AJ7" s="249"/>
      <c r="AK7" s="249"/>
      <c r="AL7" s="249"/>
      <c r="AM7" s="249"/>
      <c r="AN7" s="249"/>
    </row>
    <row r="8" spans="1:40" ht="15" customHeight="1" x14ac:dyDescent="0.45">
      <c r="A8" s="38"/>
      <c r="B8" s="75"/>
      <c r="C8" s="76"/>
      <c r="D8" s="76"/>
      <c r="E8" s="8" t="s">
        <v>58</v>
      </c>
      <c r="F8" s="10"/>
      <c r="G8" s="10"/>
      <c r="H8" s="8"/>
      <c r="I8" s="8"/>
      <c r="J8" s="8"/>
      <c r="K8" s="8"/>
      <c r="L8" s="8" t="s">
        <v>59</v>
      </c>
      <c r="M8" s="160"/>
      <c r="P8" s="6"/>
      <c r="Q8" s="8"/>
      <c r="R8" s="8"/>
      <c r="S8" s="8"/>
      <c r="T8" s="8"/>
      <c r="U8" s="8"/>
      <c r="AE8" s="38"/>
      <c r="AF8" s="38"/>
      <c r="AG8" s="38"/>
      <c r="AH8" s="38"/>
      <c r="AI8" s="38"/>
      <c r="AJ8" s="38"/>
      <c r="AK8" s="38"/>
      <c r="AL8" s="38"/>
      <c r="AM8" s="38"/>
      <c r="AN8" s="38"/>
    </row>
    <row r="9" spans="1:40" ht="15" customHeight="1" x14ac:dyDescent="0.45">
      <c r="A9" s="38"/>
      <c r="B9" s="77"/>
      <c r="C9" s="66"/>
      <c r="D9" s="66"/>
      <c r="E9" s="8" t="s">
        <v>60</v>
      </c>
      <c r="F9" s="8"/>
      <c r="G9" s="8"/>
      <c r="H9" s="8"/>
      <c r="I9" s="8"/>
      <c r="J9" s="8"/>
      <c r="K9" s="8"/>
      <c r="L9" s="8" t="s">
        <v>61</v>
      </c>
      <c r="M9" s="160"/>
      <c r="P9" s="6"/>
      <c r="Q9" s="8"/>
      <c r="R9" s="8"/>
      <c r="S9" s="8"/>
      <c r="T9" s="8"/>
      <c r="U9" s="8"/>
    </row>
    <row r="10" spans="1:40" ht="15" customHeight="1" x14ac:dyDescent="0.45">
      <c r="A10" s="38"/>
      <c r="B10" s="78"/>
      <c r="C10" s="79"/>
      <c r="D10" s="79"/>
      <c r="E10" s="79" t="s">
        <v>62</v>
      </c>
      <c r="F10" s="79"/>
      <c r="G10" s="79"/>
      <c r="H10" s="79"/>
      <c r="I10" s="79"/>
      <c r="J10" s="79"/>
      <c r="K10" s="79"/>
      <c r="L10" s="79"/>
      <c r="M10" s="80"/>
      <c r="N10" s="38"/>
      <c r="P10" s="6"/>
      <c r="Q10" s="8"/>
      <c r="R10" s="8"/>
      <c r="S10" s="8"/>
      <c r="T10" s="8"/>
      <c r="U10" s="8"/>
    </row>
    <row r="11" spans="1:40" ht="15" customHeight="1" x14ac:dyDescent="0.45">
      <c r="A11" s="38"/>
      <c r="B11" s="66"/>
      <c r="C11" s="66"/>
      <c r="D11" s="66"/>
      <c r="E11" s="66"/>
      <c r="F11" s="66"/>
      <c r="G11" s="66"/>
      <c r="H11" s="66"/>
      <c r="I11" s="66"/>
      <c r="J11" s="66"/>
      <c r="K11" s="66"/>
      <c r="L11" s="66"/>
      <c r="M11" s="66"/>
      <c r="N11" s="38"/>
      <c r="P11" s="6"/>
      <c r="Q11" s="8"/>
      <c r="R11" s="8"/>
      <c r="S11" s="8"/>
      <c r="T11" s="8"/>
      <c r="U11" s="8"/>
    </row>
    <row r="12" spans="1:40" ht="15" customHeight="1" x14ac:dyDescent="0.45">
      <c r="A12" s="38"/>
      <c r="B12" s="66"/>
      <c r="C12" s="294" t="s">
        <v>154</v>
      </c>
      <c r="D12" s="295"/>
      <c r="E12" s="295"/>
      <c r="F12" s="295"/>
      <c r="G12" s="295"/>
      <c r="H12" s="295"/>
      <c r="I12" s="295"/>
      <c r="J12" s="295"/>
      <c r="K12" s="295"/>
      <c r="L12" s="317"/>
      <c r="M12" s="66"/>
      <c r="N12" s="38"/>
      <c r="P12" s="6"/>
      <c r="Q12" s="8"/>
      <c r="R12" s="8"/>
      <c r="S12" s="8"/>
      <c r="T12" s="8"/>
      <c r="U12" s="8"/>
    </row>
    <row r="13" spans="1:40" ht="15" customHeight="1" x14ac:dyDescent="0.45">
      <c r="A13" s="38"/>
      <c r="B13" s="102"/>
      <c r="C13" s="399"/>
      <c r="D13" s="398"/>
      <c r="E13" s="398"/>
      <c r="F13" s="398"/>
      <c r="G13" s="398"/>
      <c r="H13" s="398"/>
      <c r="I13" s="398"/>
      <c r="J13" s="398"/>
      <c r="K13" s="398"/>
      <c r="L13" s="400"/>
      <c r="M13" s="102"/>
      <c r="N13" s="38"/>
    </row>
    <row r="14" spans="1:40" ht="15" customHeight="1" x14ac:dyDescent="0.45">
      <c r="A14" s="38"/>
      <c r="B14" s="76"/>
      <c r="C14" s="401"/>
      <c r="D14" s="365"/>
      <c r="E14" s="365"/>
      <c r="F14" s="365"/>
      <c r="G14" s="365"/>
      <c r="H14" s="365"/>
      <c r="I14" s="365"/>
      <c r="J14" s="365"/>
      <c r="K14" s="365"/>
      <c r="L14" s="402"/>
      <c r="M14" s="76"/>
      <c r="N14" s="38"/>
      <c r="Q14" s="15" t="s">
        <v>142</v>
      </c>
      <c r="R14" s="15"/>
      <c r="S14" s="15"/>
      <c r="T14" s="15"/>
      <c r="U14" s="15"/>
      <c r="V14" s="15"/>
      <c r="W14" s="15"/>
    </row>
    <row r="15" spans="1:40" ht="13.5" customHeight="1" x14ac:dyDescent="0.45">
      <c r="A15" s="38"/>
      <c r="B15" s="76"/>
      <c r="C15" s="401"/>
      <c r="D15" s="365"/>
      <c r="E15" s="365"/>
      <c r="F15" s="365"/>
      <c r="G15" s="365"/>
      <c r="H15" s="365"/>
      <c r="I15" s="365"/>
      <c r="J15" s="365"/>
      <c r="K15" s="365"/>
      <c r="L15" s="402"/>
      <c r="M15" s="76"/>
      <c r="N15" s="38"/>
      <c r="Q15" s="16"/>
      <c r="R15" s="16"/>
      <c r="S15" s="16"/>
      <c r="T15" s="16"/>
      <c r="U15" s="16"/>
      <c r="V15" s="16"/>
      <c r="W15" s="16"/>
    </row>
    <row r="16" spans="1:40" ht="13.5" customHeight="1" x14ac:dyDescent="0.45">
      <c r="A16" s="38"/>
      <c r="B16" s="76"/>
      <c r="C16" s="401"/>
      <c r="D16" s="365"/>
      <c r="E16" s="365"/>
      <c r="F16" s="365"/>
      <c r="G16" s="365"/>
      <c r="H16" s="365"/>
      <c r="I16" s="365"/>
      <c r="J16" s="365"/>
      <c r="K16" s="365"/>
      <c r="L16" s="402"/>
      <c r="M16" s="76"/>
      <c r="N16" s="38"/>
      <c r="Q16" s="16"/>
      <c r="R16" s="16"/>
      <c r="S16" s="16"/>
      <c r="T16" s="16"/>
      <c r="U16" s="16"/>
      <c r="V16" s="16"/>
      <c r="W16" s="16"/>
    </row>
    <row r="17" spans="1:31" ht="13.5" customHeight="1" x14ac:dyDescent="0.45">
      <c r="A17" s="38"/>
      <c r="B17" s="76"/>
      <c r="C17" s="401"/>
      <c r="D17" s="365"/>
      <c r="E17" s="365"/>
      <c r="F17" s="365"/>
      <c r="G17" s="365"/>
      <c r="H17" s="365"/>
      <c r="I17" s="365"/>
      <c r="J17" s="365"/>
      <c r="K17" s="365"/>
      <c r="L17" s="402"/>
      <c r="M17" s="76"/>
      <c r="N17" s="38"/>
      <c r="Q17" s="16"/>
      <c r="R17" s="16"/>
      <c r="S17" s="16"/>
      <c r="T17" s="16"/>
      <c r="U17" s="16"/>
      <c r="V17" s="16"/>
      <c r="W17" s="16"/>
    </row>
    <row r="18" spans="1:31" ht="13.5" customHeight="1" x14ac:dyDescent="0.45">
      <c r="A18" s="38"/>
      <c r="B18" s="76"/>
      <c r="C18" s="401"/>
      <c r="D18" s="365"/>
      <c r="E18" s="365"/>
      <c r="F18" s="365"/>
      <c r="G18" s="365"/>
      <c r="H18" s="365"/>
      <c r="I18" s="365"/>
      <c r="J18" s="365"/>
      <c r="K18" s="365"/>
      <c r="L18" s="402"/>
      <c r="M18" s="76"/>
      <c r="N18" s="38"/>
      <c r="Q18" s="16"/>
      <c r="R18" s="16"/>
      <c r="S18" s="16"/>
      <c r="T18" s="16"/>
      <c r="U18" s="16"/>
      <c r="V18" s="16"/>
      <c r="W18" s="16"/>
    </row>
    <row r="19" spans="1:31" ht="13.5" customHeight="1" x14ac:dyDescent="0.45">
      <c r="A19" s="38"/>
      <c r="B19" s="76"/>
      <c r="C19" s="401"/>
      <c r="D19" s="365"/>
      <c r="E19" s="365"/>
      <c r="F19" s="365"/>
      <c r="G19" s="365"/>
      <c r="H19" s="365"/>
      <c r="I19" s="365"/>
      <c r="J19" s="365"/>
      <c r="K19" s="365"/>
      <c r="L19" s="402"/>
      <c r="M19" s="76"/>
      <c r="N19" s="38"/>
      <c r="Q19" s="16"/>
      <c r="R19" s="16"/>
      <c r="S19" s="16"/>
      <c r="T19" s="16"/>
      <c r="U19" s="16"/>
      <c r="V19" s="16"/>
      <c r="W19" s="16"/>
    </row>
    <row r="20" spans="1:31" ht="13.5" customHeight="1" x14ac:dyDescent="0.45">
      <c r="A20" s="38"/>
      <c r="B20" s="76"/>
      <c r="C20" s="401"/>
      <c r="D20" s="365"/>
      <c r="E20" s="365"/>
      <c r="F20" s="365"/>
      <c r="G20" s="365"/>
      <c r="H20" s="365"/>
      <c r="I20" s="365"/>
      <c r="J20" s="365"/>
      <c r="K20" s="365"/>
      <c r="L20" s="402"/>
      <c r="M20" s="76"/>
      <c r="N20" s="38"/>
      <c r="Q20" s="16"/>
      <c r="R20" s="16"/>
      <c r="S20" s="16"/>
      <c r="T20" s="16"/>
      <c r="U20" s="16"/>
      <c r="V20" s="16"/>
      <c r="W20" s="16"/>
    </row>
    <row r="21" spans="1:31" ht="13.5" customHeight="1" x14ac:dyDescent="0.45">
      <c r="A21" s="38"/>
      <c r="B21" s="76"/>
      <c r="C21" s="401"/>
      <c r="D21" s="365"/>
      <c r="E21" s="365"/>
      <c r="F21" s="365"/>
      <c r="G21" s="365"/>
      <c r="H21" s="365"/>
      <c r="I21" s="365"/>
      <c r="J21" s="365"/>
      <c r="K21" s="365"/>
      <c r="L21" s="402"/>
      <c r="M21" s="76"/>
      <c r="N21" s="38"/>
      <c r="Q21" s="16"/>
      <c r="R21" s="16"/>
      <c r="S21" s="16"/>
      <c r="T21" s="16"/>
      <c r="U21" s="16"/>
      <c r="V21" s="16"/>
      <c r="W21" s="16"/>
    </row>
    <row r="22" spans="1:31" ht="13.5" customHeight="1" x14ac:dyDescent="0.45">
      <c r="A22" s="38"/>
      <c r="B22" s="76"/>
      <c r="C22" s="401"/>
      <c r="D22" s="365"/>
      <c r="E22" s="365"/>
      <c r="F22" s="365"/>
      <c r="G22" s="365"/>
      <c r="H22" s="365"/>
      <c r="I22" s="365"/>
      <c r="J22" s="365"/>
      <c r="K22" s="365"/>
      <c r="L22" s="402"/>
      <c r="M22" s="76"/>
      <c r="N22" s="38"/>
      <c r="Q22" s="16"/>
      <c r="R22" s="16"/>
      <c r="S22" s="16"/>
      <c r="T22" s="16"/>
      <c r="U22" s="16"/>
      <c r="V22" s="16"/>
      <c r="W22" s="16"/>
    </row>
    <row r="23" spans="1:31" ht="13.5" customHeight="1" x14ac:dyDescent="0.45">
      <c r="A23" s="38"/>
      <c r="B23" s="76"/>
      <c r="C23" s="401"/>
      <c r="D23" s="365"/>
      <c r="E23" s="365"/>
      <c r="F23" s="365"/>
      <c r="G23" s="365"/>
      <c r="H23" s="365"/>
      <c r="I23" s="365"/>
      <c r="J23" s="365"/>
      <c r="K23" s="365"/>
      <c r="L23" s="402"/>
      <c r="M23" s="76"/>
      <c r="N23" s="38"/>
      <c r="Q23" s="16"/>
      <c r="R23" s="16"/>
      <c r="S23" s="16"/>
      <c r="T23" s="16"/>
      <c r="U23" s="16"/>
      <c r="V23" s="16"/>
      <c r="W23" s="16"/>
    </row>
    <row r="24" spans="1:31" ht="13.5" customHeight="1" x14ac:dyDescent="0.45">
      <c r="A24" s="38"/>
      <c r="B24" s="76"/>
      <c r="C24" s="401"/>
      <c r="D24" s="365"/>
      <c r="E24" s="365"/>
      <c r="F24" s="365"/>
      <c r="G24" s="365"/>
      <c r="H24" s="365"/>
      <c r="I24" s="365"/>
      <c r="J24" s="365"/>
      <c r="K24" s="365"/>
      <c r="L24" s="402"/>
      <c r="M24" s="76"/>
      <c r="N24" s="38"/>
      <c r="Q24" s="16"/>
      <c r="R24" s="16"/>
      <c r="S24" s="16"/>
      <c r="T24" s="16"/>
      <c r="U24" s="16"/>
      <c r="V24" s="16"/>
      <c r="W24" s="16"/>
    </row>
    <row r="25" spans="1:31" ht="13.5" customHeight="1" x14ac:dyDescent="0.45">
      <c r="A25" s="38"/>
      <c r="B25" s="76"/>
      <c r="C25" s="401"/>
      <c r="D25" s="365"/>
      <c r="E25" s="365"/>
      <c r="F25" s="365"/>
      <c r="G25" s="365"/>
      <c r="H25" s="365"/>
      <c r="I25" s="365"/>
      <c r="J25" s="365"/>
      <c r="K25" s="365"/>
      <c r="L25" s="402"/>
      <c r="M25" s="76"/>
      <c r="N25" s="38"/>
      <c r="Q25" s="16"/>
      <c r="R25" s="16"/>
      <c r="S25" s="16"/>
      <c r="T25" s="16"/>
      <c r="U25" s="16"/>
      <c r="V25" s="16"/>
      <c r="W25" s="16"/>
    </row>
    <row r="26" spans="1:31" ht="13.5" customHeight="1" x14ac:dyDescent="0.45">
      <c r="A26" s="38"/>
      <c r="B26" s="76"/>
      <c r="C26" s="401"/>
      <c r="D26" s="365"/>
      <c r="E26" s="365"/>
      <c r="F26" s="365"/>
      <c r="G26" s="365"/>
      <c r="H26" s="365"/>
      <c r="I26" s="365"/>
      <c r="J26" s="365"/>
      <c r="K26" s="365"/>
      <c r="L26" s="402"/>
      <c r="M26" s="76"/>
      <c r="N26" s="38"/>
      <c r="Q26" s="16"/>
      <c r="R26" s="16"/>
      <c r="S26" s="16"/>
      <c r="T26" s="16"/>
      <c r="U26" s="16"/>
      <c r="V26" s="16"/>
      <c r="W26" s="16"/>
    </row>
    <row r="27" spans="1:31" ht="13.5" customHeight="1" x14ac:dyDescent="0.45">
      <c r="A27" s="38"/>
      <c r="B27" s="76"/>
      <c r="C27" s="403"/>
      <c r="D27" s="404"/>
      <c r="E27" s="404"/>
      <c r="F27" s="404"/>
      <c r="G27" s="404"/>
      <c r="H27" s="404"/>
      <c r="I27" s="404"/>
      <c r="J27" s="404"/>
      <c r="K27" s="404"/>
      <c r="L27" s="405"/>
      <c r="M27" s="76"/>
      <c r="N27" s="38"/>
      <c r="Q27" s="16"/>
      <c r="R27" s="16"/>
      <c r="S27" s="16"/>
      <c r="T27" s="16"/>
      <c r="U27" s="16"/>
      <c r="V27" s="16"/>
      <c r="W27" s="16"/>
    </row>
    <row r="28" spans="1:31" ht="13.5" customHeight="1" x14ac:dyDescent="0.45">
      <c r="A28" s="38"/>
      <c r="B28" s="76"/>
      <c r="C28" s="76"/>
      <c r="D28" s="76"/>
      <c r="E28" s="76"/>
      <c r="F28" s="76"/>
      <c r="G28" s="76"/>
      <c r="H28" s="76"/>
      <c r="I28" s="76"/>
      <c r="J28" s="76"/>
      <c r="K28" s="76"/>
      <c r="L28" s="76"/>
      <c r="M28" s="76"/>
      <c r="N28" s="38"/>
      <c r="Q28" s="16"/>
      <c r="R28" s="16"/>
      <c r="S28" s="16"/>
      <c r="T28" s="16"/>
      <c r="U28" s="16"/>
      <c r="V28" s="16"/>
      <c r="W28" s="16"/>
    </row>
    <row r="29" spans="1:31" ht="13.5" customHeight="1" x14ac:dyDescent="0.45">
      <c r="A29" s="38"/>
      <c r="B29" s="76"/>
      <c r="C29" s="76"/>
      <c r="D29" s="76"/>
      <c r="E29" s="76"/>
      <c r="F29" s="76"/>
      <c r="G29" s="76"/>
      <c r="H29" s="76"/>
      <c r="I29" s="76"/>
      <c r="J29" s="76"/>
      <c r="K29" s="76"/>
      <c r="L29" s="76"/>
      <c r="M29" s="76"/>
      <c r="N29" s="38"/>
      <c r="Q29" s="16"/>
      <c r="R29" s="16"/>
      <c r="S29" s="16"/>
      <c r="T29" s="16"/>
      <c r="U29" s="16"/>
      <c r="V29" s="16"/>
      <c r="W29" s="16"/>
    </row>
    <row r="30" spans="1:31" ht="15" customHeight="1" x14ac:dyDescent="0.45">
      <c r="A30" s="38"/>
      <c r="B30" s="92"/>
      <c r="C30" s="92"/>
      <c r="D30" s="92"/>
      <c r="E30" s="92"/>
      <c r="F30" s="92"/>
      <c r="G30" s="92"/>
      <c r="H30" s="90"/>
      <c r="I30" s="90"/>
      <c r="J30" s="92"/>
      <c r="K30" s="92"/>
      <c r="L30" s="92"/>
      <c r="M30" s="92"/>
      <c r="N30" s="38"/>
    </row>
    <row r="31" spans="1:31" ht="15" customHeight="1" x14ac:dyDescent="0.45">
      <c r="A31" s="38"/>
      <c r="B31" s="90"/>
      <c r="C31" s="90"/>
      <c r="D31" s="90"/>
      <c r="E31" s="90"/>
      <c r="F31" s="90"/>
      <c r="G31" s="90"/>
      <c r="H31" s="90"/>
      <c r="I31" s="90"/>
      <c r="J31" s="90"/>
      <c r="K31" s="90"/>
      <c r="L31" s="90"/>
      <c r="M31" s="90"/>
      <c r="N31" s="38"/>
      <c r="T31" s="11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</row>
    <row r="32" spans="1:31" ht="15" customHeight="1" x14ac:dyDescent="0.45">
      <c r="A32" s="38"/>
      <c r="B32" s="292" t="s">
        <v>439</v>
      </c>
      <c r="C32" s="292"/>
      <c r="D32" s="91"/>
      <c r="E32" s="91"/>
      <c r="F32" s="292" t="str">
        <f>+TORKER!F43</f>
        <v>ssanabria</v>
      </c>
      <c r="G32" s="292"/>
      <c r="H32" s="292"/>
      <c r="I32" s="292"/>
      <c r="J32" s="292"/>
      <c r="K32" s="91"/>
      <c r="L32" s="292" t="s">
        <v>438</v>
      </c>
      <c r="M32" s="292"/>
      <c r="N32" s="38"/>
    </row>
    <row r="33" spans="1:40" ht="15" customHeight="1" x14ac:dyDescent="0.45">
      <c r="A33" s="38"/>
      <c r="B33" s="279" t="s">
        <v>45</v>
      </c>
      <c r="C33" s="279"/>
      <c r="D33" s="92"/>
      <c r="E33" s="92"/>
      <c r="F33" s="279" t="s">
        <v>46</v>
      </c>
      <c r="G33" s="279"/>
      <c r="H33" s="279"/>
      <c r="I33" s="279"/>
      <c r="J33" s="279"/>
      <c r="K33" s="92"/>
      <c r="L33" s="279" t="s">
        <v>47</v>
      </c>
      <c r="M33" s="279"/>
      <c r="N33" s="38"/>
    </row>
    <row r="34" spans="1:40" ht="15" customHeight="1" x14ac:dyDescent="0.45">
      <c r="A34" s="38"/>
      <c r="B34" s="90"/>
      <c r="C34" s="142"/>
      <c r="D34" s="142"/>
      <c r="E34" s="142"/>
      <c r="F34" s="142"/>
      <c r="G34" s="90"/>
      <c r="H34" s="90"/>
      <c r="I34" s="142"/>
      <c r="J34" s="142"/>
      <c r="K34" s="142"/>
      <c r="L34" s="90"/>
      <c r="M34" s="90"/>
      <c r="N34" s="38"/>
    </row>
    <row r="35" spans="1:40" ht="18.75" x14ac:dyDescent="0.45">
      <c r="A35" s="38"/>
      <c r="B35" s="92"/>
      <c r="C35" s="76"/>
      <c r="D35" s="76"/>
      <c r="E35" s="76"/>
      <c r="F35" s="66"/>
      <c r="G35" s="66"/>
      <c r="H35" s="66"/>
      <c r="I35" s="66"/>
      <c r="J35" s="66"/>
      <c r="K35" s="66"/>
      <c r="L35" s="66"/>
      <c r="M35" s="66"/>
      <c r="N35" s="38"/>
    </row>
    <row r="36" spans="1:40" ht="15.75" customHeight="1" x14ac:dyDescent="0.45">
      <c r="A36" s="38"/>
      <c r="B36" s="300" t="s">
        <v>49</v>
      </c>
      <c r="C36" s="300"/>
      <c r="D36" s="66"/>
      <c r="E36" s="66"/>
      <c r="F36" s="303"/>
      <c r="G36" s="303"/>
      <c r="H36" s="303"/>
      <c r="I36" s="303"/>
      <c r="J36" s="302"/>
      <c r="K36" s="302"/>
      <c r="L36" s="66"/>
      <c r="M36" s="94" t="s">
        <v>157</v>
      </c>
      <c r="N36" s="38"/>
    </row>
    <row r="37" spans="1:40" ht="20.100000000000001" customHeight="1" x14ac:dyDescent="0.45">
      <c r="A37" s="38"/>
      <c r="B37" s="38"/>
      <c r="C37" s="38"/>
      <c r="D37" s="38"/>
      <c r="E37" s="38"/>
      <c r="F37" s="38"/>
      <c r="G37" s="38"/>
      <c r="H37" s="38"/>
      <c r="I37" s="38"/>
      <c r="J37" s="38"/>
      <c r="K37" s="38"/>
      <c r="L37" s="38"/>
      <c r="M37" s="38"/>
      <c r="N37" s="38"/>
    </row>
    <row r="38" spans="1:40" x14ac:dyDescent="0.2"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N38" s="12"/>
    </row>
    <row r="39" spans="1:40" x14ac:dyDescent="0.2"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</row>
    <row r="40" spans="1:40" x14ac:dyDescent="0.2"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13"/>
      <c r="AC40" s="13"/>
      <c r="AD40" s="13"/>
    </row>
  </sheetData>
  <mergeCells count="19">
    <mergeCell ref="B33:C33"/>
    <mergeCell ref="F33:J33"/>
    <mergeCell ref="L33:M33"/>
    <mergeCell ref="B36:C36"/>
    <mergeCell ref="F36:I36"/>
    <mergeCell ref="J36:K36"/>
    <mergeCell ref="C12:L12"/>
    <mergeCell ref="C13:L27"/>
    <mergeCell ref="B32:C32"/>
    <mergeCell ref="F32:J32"/>
    <mergeCell ref="L32:M32"/>
    <mergeCell ref="AE7:AN7"/>
    <mergeCell ref="C6:I6"/>
    <mergeCell ref="B2:B3"/>
    <mergeCell ref="C2:K3"/>
    <mergeCell ref="L2:M3"/>
    <mergeCell ref="C4:E4"/>
    <mergeCell ref="F4:J4"/>
    <mergeCell ref="B7:C7"/>
  </mergeCells>
  <pageMargins left="0.7" right="0.7" top="0.75" bottom="0.75" header="0.3" footer="0.3"/>
  <pageSetup paperSize="9" scale="78" orientation="portrait" r:id="rId1"/>
  <colBreaks count="1" manualBreakCount="1">
    <brk id="14" max="16383" man="1"/>
  </colBreak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36545" r:id="rId4" name="Check Box 1">
              <controlPr defaultSize="0" autoFill="0" autoLine="0" autoPict="0">
                <anchor moveWithCells="1">
                  <from>
                    <xdr:col>3</xdr:col>
                    <xdr:colOff>209550</xdr:colOff>
                    <xdr:row>6</xdr:row>
                    <xdr:rowOff>9525</xdr:rowOff>
                  </from>
                  <to>
                    <xdr:col>3</xdr:col>
                    <xdr:colOff>390525</xdr:colOff>
                    <xdr:row>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6546" r:id="rId5" name="Check Box 2">
              <controlPr defaultSize="0" autoFill="0" autoLine="0" autoPict="0">
                <anchor moveWithCells="1">
                  <from>
                    <xdr:col>3</xdr:col>
                    <xdr:colOff>209550</xdr:colOff>
                    <xdr:row>7</xdr:row>
                    <xdr:rowOff>9525</xdr:rowOff>
                  </from>
                  <to>
                    <xdr:col>3</xdr:col>
                    <xdr:colOff>390525</xdr:colOff>
                    <xdr:row>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6547" r:id="rId6" name="Check Box 3">
              <controlPr defaultSize="0" autoFill="0" autoLine="0" autoPict="0">
                <anchor moveWithCells="1">
                  <from>
                    <xdr:col>3</xdr:col>
                    <xdr:colOff>209550</xdr:colOff>
                    <xdr:row>8</xdr:row>
                    <xdr:rowOff>9525</xdr:rowOff>
                  </from>
                  <to>
                    <xdr:col>3</xdr:col>
                    <xdr:colOff>390525</xdr:colOff>
                    <xdr:row>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6548" r:id="rId7" name="Check Box 4">
              <controlPr defaultSize="0" autoFill="0" autoLine="0" autoPict="0">
                <anchor moveWithCells="1">
                  <from>
                    <xdr:col>3</xdr:col>
                    <xdr:colOff>209550</xdr:colOff>
                    <xdr:row>9</xdr:row>
                    <xdr:rowOff>9525</xdr:rowOff>
                  </from>
                  <to>
                    <xdr:col>3</xdr:col>
                    <xdr:colOff>390525</xdr:colOff>
                    <xdr:row>10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6549" r:id="rId8" name="Check Box 5">
              <controlPr defaultSize="0" autoFill="0" autoLine="0" autoPict="0">
                <anchor moveWithCells="1">
                  <from>
                    <xdr:col>10</xdr:col>
                    <xdr:colOff>600075</xdr:colOff>
                    <xdr:row>6</xdr:row>
                    <xdr:rowOff>9525</xdr:rowOff>
                  </from>
                  <to>
                    <xdr:col>10</xdr:col>
                    <xdr:colOff>790575</xdr:colOff>
                    <xdr:row>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6550" r:id="rId9" name="Check Box 6">
              <controlPr defaultSize="0" autoFill="0" autoLine="0" autoPict="0">
                <anchor moveWithCells="1">
                  <from>
                    <xdr:col>10</xdr:col>
                    <xdr:colOff>600075</xdr:colOff>
                    <xdr:row>7</xdr:row>
                    <xdr:rowOff>9525</xdr:rowOff>
                  </from>
                  <to>
                    <xdr:col>10</xdr:col>
                    <xdr:colOff>790575</xdr:colOff>
                    <xdr:row>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6551" r:id="rId10" name="Check Box 7">
              <controlPr defaultSize="0" autoFill="0" autoLine="0" autoPict="0">
                <anchor moveWithCells="1">
                  <from>
                    <xdr:col>10</xdr:col>
                    <xdr:colOff>600075</xdr:colOff>
                    <xdr:row>8</xdr:row>
                    <xdr:rowOff>9525</xdr:rowOff>
                  </from>
                  <to>
                    <xdr:col>10</xdr:col>
                    <xdr:colOff>790575</xdr:colOff>
                    <xdr:row>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6553" r:id="rId11" name="Check Box 9">
              <controlPr defaultSize="0" autoFill="0" autoLine="0" autoPict="0">
                <anchor moveWithCells="1">
                  <from>
                    <xdr:col>10</xdr:col>
                    <xdr:colOff>600075</xdr:colOff>
                    <xdr:row>6</xdr:row>
                    <xdr:rowOff>9525</xdr:rowOff>
                  </from>
                  <to>
                    <xdr:col>10</xdr:col>
                    <xdr:colOff>790575</xdr:colOff>
                    <xdr:row>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6554" r:id="rId12" name="Check Box 10">
              <controlPr defaultSize="0" autoFill="0" autoLine="0" autoPict="0">
                <anchor moveWithCells="1">
                  <from>
                    <xdr:col>10</xdr:col>
                    <xdr:colOff>600075</xdr:colOff>
                    <xdr:row>7</xdr:row>
                    <xdr:rowOff>9525</xdr:rowOff>
                  </from>
                  <to>
                    <xdr:col>10</xdr:col>
                    <xdr:colOff>790575</xdr:colOff>
                    <xdr:row>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6555" r:id="rId13" name="Check Box 11">
              <controlPr defaultSize="0" autoFill="0" autoLine="0" autoPict="0">
                <anchor moveWithCells="1">
                  <from>
                    <xdr:col>10</xdr:col>
                    <xdr:colOff>600075</xdr:colOff>
                    <xdr:row>8</xdr:row>
                    <xdr:rowOff>9525</xdr:rowOff>
                  </from>
                  <to>
                    <xdr:col>10</xdr:col>
                    <xdr:colOff>790575</xdr:colOff>
                    <xdr:row>9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Plan2" filterMode="1"/>
  <dimension ref="A1:AB121"/>
  <sheetViews>
    <sheetView tabSelected="1" zoomScaleNormal="100" workbookViewId="0">
      <selection activeCell="C2" sqref="C2"/>
    </sheetView>
  </sheetViews>
  <sheetFormatPr baseColWidth="10" defaultColWidth="11.42578125" defaultRowHeight="18.75" x14ac:dyDescent="0.45"/>
  <cols>
    <col min="1" max="1" width="7.85546875" style="151" customWidth="1"/>
    <col min="2" max="2" width="52.140625" style="38" customWidth="1"/>
    <col min="3" max="3" width="47.140625" style="38" bestFit="1" customWidth="1"/>
    <col min="4" max="16384" width="11.42578125" style="38"/>
  </cols>
  <sheetData>
    <row r="1" spans="1:3" x14ac:dyDescent="0.45">
      <c r="A1" s="152" t="s">
        <v>159</v>
      </c>
      <c r="B1" s="152"/>
      <c r="C1" s="152"/>
    </row>
    <row r="2" spans="1:3" x14ac:dyDescent="0.45">
      <c r="A2" s="152" t="s">
        <v>160</v>
      </c>
      <c r="B2" s="153" t="s">
        <v>161</v>
      </c>
      <c r="C2" s="153" t="s">
        <v>162</v>
      </c>
    </row>
    <row r="3" spans="1:3" hidden="1" x14ac:dyDescent="0.45">
      <c r="A3" s="111">
        <v>0</v>
      </c>
      <c r="B3" s="154" t="s">
        <v>84</v>
      </c>
      <c r="C3" s="154" t="s">
        <v>84</v>
      </c>
    </row>
    <row r="4" spans="1:3" hidden="1" x14ac:dyDescent="0.45">
      <c r="A4" s="111">
        <v>1</v>
      </c>
      <c r="B4" s="154" t="s">
        <v>163</v>
      </c>
      <c r="C4" s="154" t="s">
        <v>164</v>
      </c>
    </row>
    <row r="5" spans="1:3" hidden="1" x14ac:dyDescent="0.45">
      <c r="A5" s="111">
        <v>2</v>
      </c>
      <c r="B5" s="154" t="s">
        <v>165</v>
      </c>
      <c r="C5" s="154" t="s">
        <v>166</v>
      </c>
    </row>
    <row r="6" spans="1:3" hidden="1" x14ac:dyDescent="0.45">
      <c r="A6" s="111">
        <v>3</v>
      </c>
      <c r="B6" s="154" t="s">
        <v>167</v>
      </c>
      <c r="C6" s="154" t="s">
        <v>168</v>
      </c>
    </row>
    <row r="7" spans="1:3" hidden="1" x14ac:dyDescent="0.45">
      <c r="A7" s="111">
        <v>4</v>
      </c>
      <c r="B7" s="154" t="s">
        <v>169</v>
      </c>
      <c r="C7" s="154" t="s">
        <v>170</v>
      </c>
    </row>
    <row r="8" spans="1:3" hidden="1" x14ac:dyDescent="0.45">
      <c r="A8" s="111">
        <v>5</v>
      </c>
      <c r="B8" s="154" t="s">
        <v>171</v>
      </c>
      <c r="C8" s="154" t="s">
        <v>172</v>
      </c>
    </row>
    <row r="9" spans="1:3" hidden="1" x14ac:dyDescent="0.45">
      <c r="A9" s="111">
        <v>6</v>
      </c>
      <c r="B9" s="154" t="s">
        <v>173</v>
      </c>
      <c r="C9" s="154" t="s">
        <v>174</v>
      </c>
    </row>
    <row r="10" spans="1:3" hidden="1" x14ac:dyDescent="0.45">
      <c r="A10" s="111">
        <v>7</v>
      </c>
      <c r="B10" s="154" t="s">
        <v>175</v>
      </c>
      <c r="C10" s="154" t="s">
        <v>176</v>
      </c>
    </row>
    <row r="11" spans="1:3" hidden="1" x14ac:dyDescent="0.45">
      <c r="A11" s="111">
        <v>8</v>
      </c>
      <c r="B11" s="154" t="s">
        <v>177</v>
      </c>
      <c r="C11" s="154" t="s">
        <v>178</v>
      </c>
    </row>
    <row r="12" spans="1:3" hidden="1" x14ac:dyDescent="0.45">
      <c r="A12" s="111">
        <v>9</v>
      </c>
      <c r="B12" s="154" t="s">
        <v>179</v>
      </c>
      <c r="C12" s="154" t="s">
        <v>180</v>
      </c>
    </row>
    <row r="13" spans="1:3" hidden="1" x14ac:dyDescent="0.45">
      <c r="A13" s="111">
        <v>10</v>
      </c>
      <c r="B13" s="154" t="s">
        <v>181</v>
      </c>
      <c r="C13" s="154" t="s">
        <v>182</v>
      </c>
    </row>
    <row r="14" spans="1:3" hidden="1" x14ac:dyDescent="0.45">
      <c r="A14" s="111">
        <v>11</v>
      </c>
      <c r="B14" s="154" t="s">
        <v>183</v>
      </c>
      <c r="C14" s="154" t="s">
        <v>184</v>
      </c>
    </row>
    <row r="15" spans="1:3" hidden="1" x14ac:dyDescent="0.45">
      <c r="A15" s="111">
        <v>12</v>
      </c>
      <c r="B15" s="154" t="s">
        <v>185</v>
      </c>
      <c r="C15" s="154" t="s">
        <v>186</v>
      </c>
    </row>
    <row r="16" spans="1:3" hidden="1" x14ac:dyDescent="0.45">
      <c r="A16" s="111">
        <v>13</v>
      </c>
      <c r="B16" s="154" t="s">
        <v>187</v>
      </c>
      <c r="C16" s="154" t="s">
        <v>188</v>
      </c>
    </row>
    <row r="17" spans="1:3" hidden="1" x14ac:dyDescent="0.45">
      <c r="A17" s="111">
        <v>14</v>
      </c>
      <c r="B17" s="154" t="s">
        <v>189</v>
      </c>
      <c r="C17" s="154" t="s">
        <v>190</v>
      </c>
    </row>
    <row r="18" spans="1:3" hidden="1" x14ac:dyDescent="0.45">
      <c r="A18" s="111">
        <v>15</v>
      </c>
      <c r="B18" s="154" t="s">
        <v>191</v>
      </c>
      <c r="C18" s="154" t="s">
        <v>192</v>
      </c>
    </row>
    <row r="19" spans="1:3" hidden="1" x14ac:dyDescent="0.45">
      <c r="A19" s="111">
        <v>16</v>
      </c>
      <c r="B19" s="154" t="s">
        <v>193</v>
      </c>
      <c r="C19" s="154" t="s">
        <v>194</v>
      </c>
    </row>
    <row r="20" spans="1:3" hidden="1" x14ac:dyDescent="0.45">
      <c r="A20" s="111">
        <v>17</v>
      </c>
      <c r="B20" s="154" t="s">
        <v>195</v>
      </c>
      <c r="C20" s="154" t="s">
        <v>196</v>
      </c>
    </row>
    <row r="21" spans="1:3" hidden="1" x14ac:dyDescent="0.45">
      <c r="A21" s="111">
        <v>18</v>
      </c>
      <c r="B21" s="154" t="s">
        <v>197</v>
      </c>
      <c r="C21" s="154" t="s">
        <v>198</v>
      </c>
    </row>
    <row r="22" spans="1:3" hidden="1" x14ac:dyDescent="0.45">
      <c r="A22" s="111">
        <v>19</v>
      </c>
      <c r="B22" s="154" t="s">
        <v>199</v>
      </c>
      <c r="C22" s="154" t="s">
        <v>200</v>
      </c>
    </row>
    <row r="23" spans="1:3" hidden="1" x14ac:dyDescent="0.45">
      <c r="A23" s="111">
        <v>20</v>
      </c>
      <c r="B23" s="154" t="s">
        <v>201</v>
      </c>
      <c r="C23" s="154" t="s">
        <v>202</v>
      </c>
    </row>
    <row r="24" spans="1:3" hidden="1" x14ac:dyDescent="0.45">
      <c r="A24" s="111">
        <v>21</v>
      </c>
      <c r="B24" s="154" t="s">
        <v>203</v>
      </c>
      <c r="C24" s="154" t="s">
        <v>204</v>
      </c>
    </row>
    <row r="25" spans="1:3" hidden="1" x14ac:dyDescent="0.45">
      <c r="A25" s="111">
        <v>22</v>
      </c>
      <c r="B25" s="154" t="s">
        <v>205</v>
      </c>
      <c r="C25" s="154" t="s">
        <v>206</v>
      </c>
    </row>
    <row r="26" spans="1:3" hidden="1" x14ac:dyDescent="0.45">
      <c r="A26" s="111">
        <v>23</v>
      </c>
      <c r="B26" s="154" t="s">
        <v>207</v>
      </c>
      <c r="C26" s="154" t="s">
        <v>208</v>
      </c>
    </row>
    <row r="27" spans="1:3" hidden="1" x14ac:dyDescent="0.45">
      <c r="A27" s="111">
        <v>24</v>
      </c>
      <c r="B27" s="154" t="s">
        <v>209</v>
      </c>
      <c r="C27" s="154" t="s">
        <v>210</v>
      </c>
    </row>
    <row r="28" spans="1:3" hidden="1" x14ac:dyDescent="0.45">
      <c r="A28" s="111">
        <v>25</v>
      </c>
      <c r="B28" s="154" t="s">
        <v>211</v>
      </c>
      <c r="C28" s="154" t="s">
        <v>212</v>
      </c>
    </row>
    <row r="29" spans="1:3" hidden="1" x14ac:dyDescent="0.45">
      <c r="A29" s="111">
        <v>26</v>
      </c>
      <c r="B29" s="154" t="s">
        <v>213</v>
      </c>
      <c r="C29" s="154" t="s">
        <v>214</v>
      </c>
    </row>
    <row r="30" spans="1:3" hidden="1" x14ac:dyDescent="0.45">
      <c r="A30" s="111">
        <v>27</v>
      </c>
      <c r="B30" s="154" t="s">
        <v>215</v>
      </c>
      <c r="C30" s="154" t="s">
        <v>216</v>
      </c>
    </row>
    <row r="31" spans="1:3" hidden="1" x14ac:dyDescent="0.45">
      <c r="A31" s="111">
        <v>28</v>
      </c>
      <c r="B31" s="154" t="s">
        <v>217</v>
      </c>
      <c r="C31" s="154" t="s">
        <v>218</v>
      </c>
    </row>
    <row r="32" spans="1:3" hidden="1" x14ac:dyDescent="0.45">
      <c r="A32" s="111">
        <v>29</v>
      </c>
      <c r="B32" s="154" t="s">
        <v>219</v>
      </c>
      <c r="C32" s="154" t="s">
        <v>220</v>
      </c>
    </row>
    <row r="33" spans="1:3" hidden="1" x14ac:dyDescent="0.45">
      <c r="A33" s="111">
        <v>30</v>
      </c>
      <c r="B33" s="154" t="s">
        <v>221</v>
      </c>
      <c r="C33" s="154" t="s">
        <v>222</v>
      </c>
    </row>
    <row r="34" spans="1:3" hidden="1" x14ac:dyDescent="0.45">
      <c r="A34" s="111">
        <v>31</v>
      </c>
      <c r="B34" s="154" t="s">
        <v>223</v>
      </c>
      <c r="C34" s="154" t="s">
        <v>224</v>
      </c>
    </row>
    <row r="35" spans="1:3" hidden="1" x14ac:dyDescent="0.45">
      <c r="A35" s="111">
        <v>32</v>
      </c>
      <c r="B35" s="154" t="s">
        <v>225</v>
      </c>
      <c r="C35" s="154" t="s">
        <v>226</v>
      </c>
    </row>
    <row r="36" spans="1:3" hidden="1" x14ac:dyDescent="0.45">
      <c r="A36" s="111">
        <v>33</v>
      </c>
      <c r="B36" s="154" t="s">
        <v>227</v>
      </c>
      <c r="C36" s="154" t="s">
        <v>228</v>
      </c>
    </row>
    <row r="37" spans="1:3" hidden="1" x14ac:dyDescent="0.45">
      <c r="A37" s="111">
        <v>34</v>
      </c>
      <c r="B37" s="154" t="s">
        <v>229</v>
      </c>
      <c r="C37" s="154" t="s">
        <v>230</v>
      </c>
    </row>
    <row r="38" spans="1:3" hidden="1" x14ac:dyDescent="0.45">
      <c r="A38" s="111">
        <v>35</v>
      </c>
      <c r="B38" s="154" t="s">
        <v>231</v>
      </c>
      <c r="C38" s="154" t="s">
        <v>232</v>
      </c>
    </row>
    <row r="39" spans="1:3" hidden="1" x14ac:dyDescent="0.45">
      <c r="A39" s="111">
        <v>36</v>
      </c>
      <c r="B39" s="154" t="s">
        <v>233</v>
      </c>
      <c r="C39" s="154" t="s">
        <v>234</v>
      </c>
    </row>
    <row r="40" spans="1:3" hidden="1" x14ac:dyDescent="0.45">
      <c r="A40" s="111">
        <v>37</v>
      </c>
      <c r="B40" s="154" t="s">
        <v>235</v>
      </c>
      <c r="C40" s="154" t="s">
        <v>236</v>
      </c>
    </row>
    <row r="41" spans="1:3" hidden="1" x14ac:dyDescent="0.45">
      <c r="A41" s="111">
        <v>38</v>
      </c>
      <c r="B41" s="154" t="s">
        <v>237</v>
      </c>
      <c r="C41" s="154" t="s">
        <v>238</v>
      </c>
    </row>
    <row r="42" spans="1:3" hidden="1" x14ac:dyDescent="0.45">
      <c r="A42" s="111">
        <v>39</v>
      </c>
      <c r="B42" s="154" t="s">
        <v>239</v>
      </c>
      <c r="C42" s="154" t="s">
        <v>240</v>
      </c>
    </row>
    <row r="43" spans="1:3" hidden="1" x14ac:dyDescent="0.45">
      <c r="A43" s="111">
        <v>40</v>
      </c>
      <c r="B43" s="154" t="s">
        <v>241</v>
      </c>
      <c r="C43" s="154" t="s">
        <v>242</v>
      </c>
    </row>
    <row r="44" spans="1:3" hidden="1" x14ac:dyDescent="0.45">
      <c r="A44" s="111">
        <v>41</v>
      </c>
      <c r="B44" s="154" t="s">
        <v>243</v>
      </c>
      <c r="C44" s="154" t="s">
        <v>244</v>
      </c>
    </row>
    <row r="45" spans="1:3" hidden="1" x14ac:dyDescent="0.45">
      <c r="A45" s="111">
        <v>42</v>
      </c>
      <c r="B45" s="154" t="s">
        <v>245</v>
      </c>
      <c r="C45" s="154" t="s">
        <v>246</v>
      </c>
    </row>
    <row r="46" spans="1:3" hidden="1" x14ac:dyDescent="0.45">
      <c r="A46" s="111">
        <v>43</v>
      </c>
      <c r="B46" s="154" t="s">
        <v>247</v>
      </c>
      <c r="C46" s="154" t="s">
        <v>248</v>
      </c>
    </row>
    <row r="47" spans="1:3" hidden="1" x14ac:dyDescent="0.45">
      <c r="A47" s="111">
        <v>44</v>
      </c>
      <c r="B47" s="154" t="s">
        <v>249</v>
      </c>
      <c r="C47" s="154" t="s">
        <v>250</v>
      </c>
    </row>
    <row r="48" spans="1:3" hidden="1" x14ac:dyDescent="0.45">
      <c r="A48" s="111">
        <v>45</v>
      </c>
      <c r="B48" s="154" t="s">
        <v>251</v>
      </c>
      <c r="C48" s="154" t="s">
        <v>252</v>
      </c>
    </row>
    <row r="49" spans="1:28" hidden="1" x14ac:dyDescent="0.45">
      <c r="A49" s="111">
        <v>46</v>
      </c>
      <c r="B49" s="154" t="s">
        <v>253</v>
      </c>
      <c r="C49" s="154" t="s">
        <v>254</v>
      </c>
    </row>
    <row r="50" spans="1:28" hidden="1" x14ac:dyDescent="0.45">
      <c r="A50" s="111">
        <v>47</v>
      </c>
      <c r="B50" s="154" t="s">
        <v>255</v>
      </c>
      <c r="C50" s="154" t="s">
        <v>256</v>
      </c>
    </row>
    <row r="51" spans="1:28" hidden="1" x14ac:dyDescent="0.45">
      <c r="A51" s="111">
        <v>48</v>
      </c>
      <c r="B51" s="154" t="s">
        <v>223</v>
      </c>
      <c r="C51" s="154" t="s">
        <v>224</v>
      </c>
    </row>
    <row r="52" spans="1:28" hidden="1" x14ac:dyDescent="0.45">
      <c r="A52" s="111">
        <v>49</v>
      </c>
      <c r="B52" s="154" t="s">
        <v>257</v>
      </c>
      <c r="C52" s="154" t="s">
        <v>258</v>
      </c>
    </row>
    <row r="53" spans="1:28" hidden="1" x14ac:dyDescent="0.45">
      <c r="A53" s="111">
        <v>50</v>
      </c>
      <c r="B53" s="154" t="s">
        <v>259</v>
      </c>
      <c r="C53" s="154" t="s">
        <v>260</v>
      </c>
    </row>
    <row r="54" spans="1:28" hidden="1" x14ac:dyDescent="0.45">
      <c r="A54" s="111">
        <v>51</v>
      </c>
      <c r="B54" s="154" t="s">
        <v>261</v>
      </c>
      <c r="C54" s="154" t="s">
        <v>262</v>
      </c>
    </row>
    <row r="55" spans="1:28" hidden="1" x14ac:dyDescent="0.45">
      <c r="A55" s="111">
        <v>52</v>
      </c>
      <c r="B55" s="154" t="s">
        <v>263</v>
      </c>
      <c r="C55" s="154" t="s">
        <v>264</v>
      </c>
    </row>
    <row r="56" spans="1:28" hidden="1" x14ac:dyDescent="0.45">
      <c r="A56" s="111">
        <v>53</v>
      </c>
      <c r="B56" s="155" t="s">
        <v>265</v>
      </c>
      <c r="C56" s="154" t="s">
        <v>266</v>
      </c>
    </row>
    <row r="57" spans="1:28" hidden="1" x14ac:dyDescent="0.45">
      <c r="A57" s="111">
        <v>54</v>
      </c>
      <c r="B57" s="154" t="s">
        <v>267</v>
      </c>
      <c r="C57" s="154"/>
    </row>
    <row r="58" spans="1:28" hidden="1" x14ac:dyDescent="0.45">
      <c r="A58" s="111">
        <v>55</v>
      </c>
      <c r="B58" s="154" t="s">
        <v>268</v>
      </c>
      <c r="C58" s="154" t="s">
        <v>269</v>
      </c>
    </row>
    <row r="59" spans="1:28" hidden="1" x14ac:dyDescent="0.45">
      <c r="A59" s="111">
        <v>56</v>
      </c>
      <c r="B59" s="154" t="s">
        <v>270</v>
      </c>
      <c r="C59" s="154" t="s">
        <v>271</v>
      </c>
    </row>
    <row r="60" spans="1:28" hidden="1" x14ac:dyDescent="0.45">
      <c r="A60" s="111">
        <v>57</v>
      </c>
      <c r="B60" s="154" t="s">
        <v>272</v>
      </c>
      <c r="C60" s="154" t="s">
        <v>273</v>
      </c>
      <c r="D60" s="27"/>
      <c r="E60" s="27"/>
      <c r="F60" s="27"/>
      <c r="G60" s="27"/>
      <c r="H60" s="27"/>
      <c r="I60" s="27"/>
      <c r="J60" s="27"/>
      <c r="K60" s="27"/>
      <c r="L60" s="27"/>
      <c r="M60" s="27"/>
      <c r="N60" s="27"/>
      <c r="O60" s="27"/>
      <c r="P60" s="27"/>
      <c r="Q60" s="27"/>
      <c r="R60" s="27"/>
      <c r="S60" s="27"/>
      <c r="T60" s="27"/>
      <c r="U60" s="27"/>
      <c r="V60" s="27"/>
      <c r="W60" s="27"/>
      <c r="X60" s="27"/>
      <c r="Y60" s="27"/>
      <c r="Z60" s="27"/>
      <c r="AA60" s="27"/>
      <c r="AB60" s="27"/>
    </row>
    <row r="61" spans="1:28" hidden="1" x14ac:dyDescent="0.45">
      <c r="A61" s="111">
        <v>58</v>
      </c>
      <c r="B61" s="154" t="s">
        <v>274</v>
      </c>
      <c r="C61" s="154" t="s">
        <v>275</v>
      </c>
    </row>
    <row r="62" spans="1:28" hidden="1" x14ac:dyDescent="0.45">
      <c r="A62" s="111">
        <v>59</v>
      </c>
      <c r="B62" s="154" t="s">
        <v>276</v>
      </c>
      <c r="C62" s="154" t="s">
        <v>277</v>
      </c>
    </row>
    <row r="63" spans="1:28" hidden="1" x14ac:dyDescent="0.45">
      <c r="A63" s="111">
        <v>60</v>
      </c>
      <c r="B63" s="154" t="s">
        <v>278</v>
      </c>
      <c r="C63" s="154" t="s">
        <v>279</v>
      </c>
    </row>
    <row r="64" spans="1:28" hidden="1" x14ac:dyDescent="0.45">
      <c r="A64" s="111">
        <v>61</v>
      </c>
      <c r="B64" s="154" t="s">
        <v>280</v>
      </c>
      <c r="C64" s="154" t="s">
        <v>281</v>
      </c>
    </row>
    <row r="65" spans="1:3" hidden="1" x14ac:dyDescent="0.45">
      <c r="A65" s="111">
        <v>62</v>
      </c>
      <c r="B65" s="155" t="s">
        <v>282</v>
      </c>
      <c r="C65" s="155" t="s">
        <v>283</v>
      </c>
    </row>
    <row r="66" spans="1:3" hidden="1" x14ac:dyDescent="0.45">
      <c r="A66" s="111">
        <v>63</v>
      </c>
      <c r="B66" s="155" t="s">
        <v>284</v>
      </c>
      <c r="C66" s="155" t="s">
        <v>285</v>
      </c>
    </row>
    <row r="67" spans="1:3" hidden="1" x14ac:dyDescent="0.45">
      <c r="A67" s="111">
        <v>64</v>
      </c>
      <c r="B67" s="154" t="s">
        <v>286</v>
      </c>
      <c r="C67" s="154" t="s">
        <v>287</v>
      </c>
    </row>
    <row r="68" spans="1:3" hidden="1" x14ac:dyDescent="0.45">
      <c r="A68" s="111">
        <v>65</v>
      </c>
      <c r="B68" s="154" t="s">
        <v>288</v>
      </c>
      <c r="C68" s="154" t="s">
        <v>289</v>
      </c>
    </row>
    <row r="69" spans="1:3" hidden="1" x14ac:dyDescent="0.45">
      <c r="A69" s="151">
        <v>66</v>
      </c>
      <c r="B69" s="155" t="s">
        <v>290</v>
      </c>
      <c r="C69" s="154" t="s">
        <v>291</v>
      </c>
    </row>
    <row r="70" spans="1:3" x14ac:dyDescent="0.45">
      <c r="A70" s="111">
        <v>67</v>
      </c>
      <c r="B70" s="154" t="s">
        <v>292</v>
      </c>
      <c r="C70" s="154" t="s">
        <v>293</v>
      </c>
    </row>
    <row r="71" spans="1:3" hidden="1" x14ac:dyDescent="0.45">
      <c r="A71" s="111">
        <v>68</v>
      </c>
      <c r="B71" s="154" t="s">
        <v>294</v>
      </c>
      <c r="C71" s="154" t="s">
        <v>295</v>
      </c>
    </row>
    <row r="72" spans="1:3" hidden="1" x14ac:dyDescent="0.45">
      <c r="A72" s="111">
        <v>69</v>
      </c>
      <c r="B72" s="154" t="s">
        <v>296</v>
      </c>
      <c r="C72" s="154" t="s">
        <v>297</v>
      </c>
    </row>
    <row r="73" spans="1:3" hidden="1" x14ac:dyDescent="0.45">
      <c r="A73" s="111">
        <v>70</v>
      </c>
      <c r="B73" s="154" t="s">
        <v>298</v>
      </c>
      <c r="C73" s="154" t="s">
        <v>299</v>
      </c>
    </row>
    <row r="74" spans="1:3" hidden="1" x14ac:dyDescent="0.45">
      <c r="A74" s="111">
        <v>71</v>
      </c>
      <c r="B74" s="154" t="s">
        <v>300</v>
      </c>
      <c r="C74" s="154" t="s">
        <v>301</v>
      </c>
    </row>
    <row r="75" spans="1:3" hidden="1" x14ac:dyDescent="0.45">
      <c r="A75" s="151">
        <v>72</v>
      </c>
      <c r="B75" s="154" t="s">
        <v>302</v>
      </c>
      <c r="C75" s="154" t="s">
        <v>303</v>
      </c>
    </row>
    <row r="76" spans="1:3" hidden="1" x14ac:dyDescent="0.45">
      <c r="A76" s="151">
        <v>73</v>
      </c>
      <c r="B76" s="154" t="s">
        <v>304</v>
      </c>
      <c r="C76" s="154" t="s">
        <v>305</v>
      </c>
    </row>
    <row r="77" spans="1:3" hidden="1" x14ac:dyDescent="0.45">
      <c r="A77" s="111">
        <v>74</v>
      </c>
      <c r="B77" s="154" t="s">
        <v>306</v>
      </c>
      <c r="C77" s="154" t="s">
        <v>307</v>
      </c>
    </row>
    <row r="78" spans="1:3" hidden="1" x14ac:dyDescent="0.45">
      <c r="A78" s="151">
        <v>75</v>
      </c>
      <c r="B78" s="155" t="s">
        <v>308</v>
      </c>
      <c r="C78" s="155" t="s">
        <v>309</v>
      </c>
    </row>
    <row r="79" spans="1:3" hidden="1" x14ac:dyDescent="0.45">
      <c r="A79" s="151">
        <v>76</v>
      </c>
      <c r="B79" s="38" t="s">
        <v>310</v>
      </c>
      <c r="C79" s="38" t="s">
        <v>311</v>
      </c>
    </row>
    <row r="80" spans="1:3" hidden="1" x14ac:dyDescent="0.45">
      <c r="A80" s="151">
        <v>77</v>
      </c>
      <c r="B80" s="38" t="s">
        <v>312</v>
      </c>
      <c r="C80" s="38" t="s">
        <v>313</v>
      </c>
    </row>
    <row r="81" spans="1:3" hidden="1" x14ac:dyDescent="0.45">
      <c r="A81" s="151">
        <v>78</v>
      </c>
      <c r="B81" s="38" t="s">
        <v>314</v>
      </c>
      <c r="C81" s="38" t="s">
        <v>315</v>
      </c>
    </row>
    <row r="82" spans="1:3" hidden="1" x14ac:dyDescent="0.45">
      <c r="A82" s="151">
        <v>79</v>
      </c>
      <c r="B82" s="38" t="s">
        <v>316</v>
      </c>
      <c r="C82" s="38" t="s">
        <v>317</v>
      </c>
    </row>
    <row r="83" spans="1:3" hidden="1" x14ac:dyDescent="0.45">
      <c r="A83" s="151">
        <v>80</v>
      </c>
      <c r="B83" s="38" t="s">
        <v>318</v>
      </c>
      <c r="C83" s="38" t="s">
        <v>319</v>
      </c>
    </row>
    <row r="84" spans="1:3" hidden="1" x14ac:dyDescent="0.45">
      <c r="A84" s="151">
        <v>81</v>
      </c>
      <c r="B84" s="38" t="s">
        <v>320</v>
      </c>
      <c r="C84" s="38" t="s">
        <v>321</v>
      </c>
    </row>
    <row r="85" spans="1:3" hidden="1" x14ac:dyDescent="0.45">
      <c r="A85" s="151">
        <v>82</v>
      </c>
      <c r="B85" s="154" t="s">
        <v>322</v>
      </c>
      <c r="C85" s="154" t="s">
        <v>323</v>
      </c>
    </row>
    <row r="86" spans="1:3" hidden="1" x14ac:dyDescent="0.45">
      <c r="A86" s="151">
        <v>83</v>
      </c>
      <c r="B86" s="38" t="s">
        <v>324</v>
      </c>
      <c r="C86" s="38" t="s">
        <v>325</v>
      </c>
    </row>
    <row r="87" spans="1:3" hidden="1" x14ac:dyDescent="0.45">
      <c r="A87" s="151">
        <v>84</v>
      </c>
      <c r="B87" s="38" t="s">
        <v>326</v>
      </c>
      <c r="C87" s="38" t="s">
        <v>327</v>
      </c>
    </row>
    <row r="88" spans="1:3" hidden="1" x14ac:dyDescent="0.45">
      <c r="A88" s="151">
        <v>85</v>
      </c>
      <c r="B88" s="38" t="s">
        <v>328</v>
      </c>
      <c r="C88" s="38" t="s">
        <v>329</v>
      </c>
    </row>
    <row r="89" spans="1:3" hidden="1" x14ac:dyDescent="0.45">
      <c r="A89" s="151">
        <v>86</v>
      </c>
      <c r="B89" s="38" t="s">
        <v>330</v>
      </c>
      <c r="C89" s="38" t="s">
        <v>331</v>
      </c>
    </row>
    <row r="90" spans="1:3" hidden="1" x14ac:dyDescent="0.45">
      <c r="A90" s="151">
        <v>87</v>
      </c>
      <c r="B90" s="38" t="s">
        <v>332</v>
      </c>
      <c r="C90" s="38" t="s">
        <v>277</v>
      </c>
    </row>
    <row r="91" spans="1:3" hidden="1" x14ac:dyDescent="0.45">
      <c r="A91" s="151">
        <v>88</v>
      </c>
      <c r="B91" s="38" t="s">
        <v>333</v>
      </c>
      <c r="C91" s="38" t="s">
        <v>334</v>
      </c>
    </row>
    <row r="92" spans="1:3" hidden="1" x14ac:dyDescent="0.45">
      <c r="A92" s="151">
        <v>89</v>
      </c>
      <c r="B92" s="38" t="s">
        <v>335</v>
      </c>
      <c r="C92" s="38" t="s">
        <v>336</v>
      </c>
    </row>
    <row r="93" spans="1:3" hidden="1" x14ac:dyDescent="0.45">
      <c r="A93" s="151">
        <v>90</v>
      </c>
      <c r="B93" s="38" t="s">
        <v>337</v>
      </c>
      <c r="C93" s="38" t="s">
        <v>338</v>
      </c>
    </row>
    <row r="94" spans="1:3" hidden="1" x14ac:dyDescent="0.45">
      <c r="A94" s="151">
        <v>91</v>
      </c>
      <c r="B94" s="38" t="s">
        <v>339</v>
      </c>
      <c r="C94" s="38" t="s">
        <v>340</v>
      </c>
    </row>
    <row r="95" spans="1:3" hidden="1" x14ac:dyDescent="0.45">
      <c r="A95" s="151">
        <v>92</v>
      </c>
      <c r="B95" s="38" t="s">
        <v>341</v>
      </c>
      <c r="C95" s="38" t="s">
        <v>342</v>
      </c>
    </row>
    <row r="96" spans="1:3" hidden="1" x14ac:dyDescent="0.45">
      <c r="A96" s="151">
        <v>93</v>
      </c>
      <c r="B96" s="38" t="s">
        <v>343</v>
      </c>
      <c r="C96" s="38" t="s">
        <v>344</v>
      </c>
    </row>
    <row r="97" spans="1:3" hidden="1" x14ac:dyDescent="0.45">
      <c r="A97" s="151">
        <v>94</v>
      </c>
      <c r="B97" s="38" t="s">
        <v>345</v>
      </c>
      <c r="C97" s="38" t="s">
        <v>346</v>
      </c>
    </row>
    <row r="98" spans="1:3" hidden="1" x14ac:dyDescent="0.45">
      <c r="A98" s="151">
        <v>95</v>
      </c>
      <c r="B98" s="38" t="s">
        <v>347</v>
      </c>
      <c r="C98" s="38" t="s">
        <v>348</v>
      </c>
    </row>
    <row r="99" spans="1:3" hidden="1" x14ac:dyDescent="0.45">
      <c r="A99" s="151">
        <v>96</v>
      </c>
      <c r="B99" s="38" t="s">
        <v>349</v>
      </c>
      <c r="C99" s="38" t="s">
        <v>350</v>
      </c>
    </row>
    <row r="100" spans="1:3" hidden="1" x14ac:dyDescent="0.45">
      <c r="A100" s="151">
        <v>97</v>
      </c>
      <c r="B100" s="38" t="s">
        <v>351</v>
      </c>
      <c r="C100" s="38" t="s">
        <v>352</v>
      </c>
    </row>
    <row r="101" spans="1:3" hidden="1" x14ac:dyDescent="0.45">
      <c r="A101" s="151">
        <v>98</v>
      </c>
      <c r="B101" s="38" t="s">
        <v>353</v>
      </c>
      <c r="C101" s="38" t="s">
        <v>354</v>
      </c>
    </row>
    <row r="102" spans="1:3" hidden="1" x14ac:dyDescent="0.45">
      <c r="A102" s="151">
        <v>99</v>
      </c>
      <c r="B102" s="38" t="s">
        <v>355</v>
      </c>
      <c r="C102" s="38" t="s">
        <v>356</v>
      </c>
    </row>
    <row r="103" spans="1:3" hidden="1" x14ac:dyDescent="0.45">
      <c r="A103" s="151">
        <v>100</v>
      </c>
      <c r="B103" s="38" t="s">
        <v>357</v>
      </c>
      <c r="C103" s="38" t="s">
        <v>358</v>
      </c>
    </row>
    <row r="104" spans="1:3" hidden="1" x14ac:dyDescent="0.45">
      <c r="A104" s="151">
        <v>101</v>
      </c>
      <c r="B104" s="38" t="s">
        <v>359</v>
      </c>
      <c r="C104" s="38" t="s">
        <v>360</v>
      </c>
    </row>
    <row r="105" spans="1:3" hidden="1" x14ac:dyDescent="0.45">
      <c r="A105" s="151">
        <v>102</v>
      </c>
      <c r="B105" s="38" t="s">
        <v>361</v>
      </c>
      <c r="C105" s="38" t="s">
        <v>362</v>
      </c>
    </row>
    <row r="106" spans="1:3" hidden="1" x14ac:dyDescent="0.45">
      <c r="A106" s="151">
        <v>103</v>
      </c>
      <c r="B106" s="38" t="s">
        <v>363</v>
      </c>
      <c r="C106" s="38" t="s">
        <v>364</v>
      </c>
    </row>
    <row r="107" spans="1:3" hidden="1" x14ac:dyDescent="0.45">
      <c r="A107" s="151">
        <v>104</v>
      </c>
      <c r="B107" s="38" t="s">
        <v>365</v>
      </c>
      <c r="C107" s="38" t="s">
        <v>366</v>
      </c>
    </row>
    <row r="108" spans="1:3" hidden="1" x14ac:dyDescent="0.45">
      <c r="A108" s="151">
        <v>105</v>
      </c>
      <c r="B108" s="38" t="s">
        <v>367</v>
      </c>
      <c r="C108" s="38" t="s">
        <v>368</v>
      </c>
    </row>
    <row r="109" spans="1:3" hidden="1" x14ac:dyDescent="0.45">
      <c r="A109" s="151">
        <v>106</v>
      </c>
      <c r="B109" s="38" t="s">
        <v>369</v>
      </c>
      <c r="C109" s="38" t="s">
        <v>370</v>
      </c>
    </row>
    <row r="110" spans="1:3" hidden="1" x14ac:dyDescent="0.45">
      <c r="A110" s="151">
        <v>107</v>
      </c>
      <c r="B110" s="38" t="s">
        <v>371</v>
      </c>
      <c r="C110" s="38" t="s">
        <v>372</v>
      </c>
    </row>
    <row r="111" spans="1:3" hidden="1" x14ac:dyDescent="0.45">
      <c r="A111" s="151">
        <v>108</v>
      </c>
      <c r="B111" s="38" t="s">
        <v>373</v>
      </c>
      <c r="C111" s="38" t="s">
        <v>374</v>
      </c>
    </row>
    <row r="112" spans="1:3" hidden="1" x14ac:dyDescent="0.45">
      <c r="A112" s="151">
        <v>109</v>
      </c>
      <c r="B112" s="38" t="s">
        <v>375</v>
      </c>
      <c r="C112" s="38" t="s">
        <v>376</v>
      </c>
    </row>
    <row r="113" spans="1:3" hidden="1" x14ac:dyDescent="0.45">
      <c r="A113" s="151">
        <v>110</v>
      </c>
      <c r="B113" s="38" t="s">
        <v>377</v>
      </c>
      <c r="C113" s="38" t="s">
        <v>378</v>
      </c>
    </row>
    <row r="114" spans="1:3" hidden="1" x14ac:dyDescent="0.45">
      <c r="A114" s="151">
        <v>111</v>
      </c>
      <c r="B114" s="38" t="s">
        <v>379</v>
      </c>
      <c r="C114" s="38" t="s">
        <v>380</v>
      </c>
    </row>
    <row r="115" spans="1:3" hidden="1" x14ac:dyDescent="0.45">
      <c r="A115" s="151">
        <v>112</v>
      </c>
      <c r="B115" s="38" t="s">
        <v>381</v>
      </c>
      <c r="C115" s="38" t="s">
        <v>382</v>
      </c>
    </row>
    <row r="116" spans="1:3" hidden="1" x14ac:dyDescent="0.45">
      <c r="A116" s="151">
        <v>113</v>
      </c>
      <c r="B116" s="38" t="s">
        <v>383</v>
      </c>
      <c r="C116" s="38" t="s">
        <v>384</v>
      </c>
    </row>
    <row r="117" spans="1:3" hidden="1" x14ac:dyDescent="0.45">
      <c r="A117" s="151">
        <v>114</v>
      </c>
      <c r="B117" s="38" t="s">
        <v>385</v>
      </c>
      <c r="C117" s="38" t="s">
        <v>386</v>
      </c>
    </row>
    <row r="118" spans="1:3" hidden="1" x14ac:dyDescent="0.45">
      <c r="A118" s="151">
        <v>115</v>
      </c>
      <c r="B118" s="38" t="s">
        <v>387</v>
      </c>
      <c r="C118" s="38" t="s">
        <v>388</v>
      </c>
    </row>
    <row r="119" spans="1:3" hidden="1" x14ac:dyDescent="0.45">
      <c r="A119" s="151">
        <v>116</v>
      </c>
      <c r="B119" s="38" t="s">
        <v>389</v>
      </c>
      <c r="C119" s="38" t="s">
        <v>390</v>
      </c>
    </row>
    <row r="120" spans="1:3" hidden="1" x14ac:dyDescent="0.45">
      <c r="A120" s="151">
        <v>117</v>
      </c>
      <c r="B120" s="38" t="s">
        <v>391</v>
      </c>
      <c r="C120" s="38" t="s">
        <v>392</v>
      </c>
    </row>
    <row r="121" spans="1:3" hidden="1" x14ac:dyDescent="0.45">
      <c r="A121" s="151">
        <v>118</v>
      </c>
      <c r="B121" s="38" t="s">
        <v>393</v>
      </c>
      <c r="C121" s="38" t="s">
        <v>394</v>
      </c>
    </row>
  </sheetData>
  <autoFilter ref="B2:C121" xr:uid="{00000000-0001-0000-0A00-000000000000}">
    <filterColumn colId="1">
      <filters>
        <filter val="Transparency in Black Enamel"/>
      </filters>
    </filterColumn>
  </autoFilter>
  <pageMargins left="0.511811024" right="0.511811024" top="0.78740157499999996" bottom="0.78740157499999996" header="0.31496062000000002" footer="0.3149606200000000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Hoja1"/>
  <dimension ref="A1:B2"/>
  <sheetViews>
    <sheetView workbookViewId="0">
      <selection activeCell="B2" sqref="B2"/>
    </sheetView>
  </sheetViews>
  <sheetFormatPr baseColWidth="10" defaultColWidth="11.42578125" defaultRowHeight="12.75" x14ac:dyDescent="0.2"/>
  <sheetData>
    <row r="1" spans="1:2" x14ac:dyDescent="0.2">
      <c r="A1" t="s">
        <v>395</v>
      </c>
      <c r="B1">
        <v>2</v>
      </c>
    </row>
    <row r="2" spans="1:2" x14ac:dyDescent="0.2">
      <c r="A2" t="s">
        <v>396</v>
      </c>
      <c r="B2">
        <f>COUNTA(DATOS!A:A)</f>
        <v>0</v>
      </c>
    </row>
  </sheetData>
  <phoneticPr fontId="0" type="noConversion"/>
  <pageMargins left="0.78740157499999996" right="0.78740157499999996" top="0.984251969" bottom="0.984251969" header="0" footer="0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Hoja4"/>
  <dimension ref="A1:A7"/>
  <sheetViews>
    <sheetView workbookViewId="0">
      <selection activeCell="B3" sqref="B3:E49"/>
    </sheetView>
  </sheetViews>
  <sheetFormatPr baseColWidth="10" defaultColWidth="11.42578125" defaultRowHeight="12.75" x14ac:dyDescent="0.2"/>
  <sheetData>
    <row r="1" spans="1:1" x14ac:dyDescent="0.2">
      <c r="A1" t="s">
        <v>397</v>
      </c>
    </row>
    <row r="2" spans="1:1" x14ac:dyDescent="0.2">
      <c r="A2" t="s">
        <v>398</v>
      </c>
    </row>
    <row r="3" spans="1:1" x14ac:dyDescent="0.2">
      <c r="A3" t="s">
        <v>399</v>
      </c>
    </row>
    <row r="4" spans="1:1" x14ac:dyDescent="0.2">
      <c r="A4" t="s">
        <v>400</v>
      </c>
    </row>
    <row r="5" spans="1:1" x14ac:dyDescent="0.2">
      <c r="A5" t="s">
        <v>401</v>
      </c>
    </row>
    <row r="6" spans="1:1" x14ac:dyDescent="0.2">
      <c r="A6" t="s">
        <v>402</v>
      </c>
    </row>
    <row r="7" spans="1:1" x14ac:dyDescent="0.2">
      <c r="A7" s="3" t="s">
        <v>403</v>
      </c>
    </row>
  </sheetData>
  <phoneticPr fontId="0" type="noConversion"/>
  <pageMargins left="0.78740157499999996" right="0.78740157499999996" top="0.984251969" bottom="0.984251969" header="0" footer="0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Hoja3"/>
  <dimension ref="A1:D10"/>
  <sheetViews>
    <sheetView workbookViewId="0">
      <selection activeCell="B49" sqref="B49"/>
    </sheetView>
  </sheetViews>
  <sheetFormatPr baseColWidth="10" defaultColWidth="11.42578125" defaultRowHeight="12.75" x14ac:dyDescent="0.2"/>
  <cols>
    <col min="1" max="1" width="32.85546875" style="1" customWidth="1"/>
    <col min="2" max="2" width="28.85546875" customWidth="1"/>
    <col min="3" max="3" width="26.42578125" style="1" customWidth="1"/>
    <col min="4" max="4" width="38.28515625" bestFit="1" customWidth="1"/>
    <col min="5" max="5" width="9.140625" customWidth="1"/>
    <col min="6" max="6" width="12.28515625" bestFit="1" customWidth="1"/>
  </cols>
  <sheetData>
    <row r="1" spans="1:4" x14ac:dyDescent="0.2">
      <c r="A1" s="1" t="s">
        <v>404</v>
      </c>
      <c r="B1">
        <v>15</v>
      </c>
      <c r="C1" s="1" t="s">
        <v>405</v>
      </c>
      <c r="D1" t="s">
        <v>406</v>
      </c>
    </row>
    <row r="2" spans="1:4" x14ac:dyDescent="0.2">
      <c r="A2" s="1" t="s">
        <v>407</v>
      </c>
      <c r="B2">
        <v>4</v>
      </c>
      <c r="C2" s="1" t="s">
        <v>408</v>
      </c>
      <c r="D2" t="s">
        <v>409</v>
      </c>
    </row>
    <row r="3" spans="1:4" x14ac:dyDescent="0.2">
      <c r="A3" s="1" t="s">
        <v>410</v>
      </c>
      <c r="B3">
        <v>8</v>
      </c>
      <c r="C3" s="1" t="s">
        <v>411</v>
      </c>
      <c r="D3" t="s">
        <v>409</v>
      </c>
    </row>
    <row r="4" spans="1:4" x14ac:dyDescent="0.2">
      <c r="A4" s="1" t="s">
        <v>412</v>
      </c>
      <c r="B4">
        <v>65</v>
      </c>
      <c r="C4" s="1" t="s">
        <v>413</v>
      </c>
      <c r="D4" t="s">
        <v>414</v>
      </c>
    </row>
    <row r="5" spans="1:4" x14ac:dyDescent="0.2">
      <c r="A5" s="1" t="s">
        <v>415</v>
      </c>
      <c r="B5">
        <v>640</v>
      </c>
      <c r="C5" s="1" t="s">
        <v>416</v>
      </c>
      <c r="D5" t="s">
        <v>417</v>
      </c>
    </row>
    <row r="6" spans="1:4" x14ac:dyDescent="0.2">
      <c r="A6" s="1" t="s">
        <v>418</v>
      </c>
      <c r="B6">
        <v>40</v>
      </c>
      <c r="C6" s="1" t="s">
        <v>419</v>
      </c>
      <c r="D6" t="s">
        <v>420</v>
      </c>
    </row>
    <row r="7" spans="1:4" x14ac:dyDescent="0.2">
      <c r="A7" s="1" t="s">
        <v>421</v>
      </c>
      <c r="B7">
        <v>450</v>
      </c>
      <c r="C7" s="1" t="s">
        <v>422</v>
      </c>
      <c r="D7" t="s">
        <v>423</v>
      </c>
    </row>
    <row r="8" spans="1:4" x14ac:dyDescent="0.2">
      <c r="A8" s="1" t="s">
        <v>424</v>
      </c>
      <c r="B8" t="s">
        <v>425</v>
      </c>
      <c r="C8" s="1" t="s">
        <v>426</v>
      </c>
      <c r="D8" s="2" t="s">
        <v>427</v>
      </c>
    </row>
    <row r="9" spans="1:4" x14ac:dyDescent="0.2">
      <c r="C9" s="1" t="s">
        <v>428</v>
      </c>
      <c r="D9" t="s">
        <v>429</v>
      </c>
    </row>
    <row r="10" spans="1:4" x14ac:dyDescent="0.2">
      <c r="B10">
        <v>1</v>
      </c>
    </row>
  </sheetData>
  <phoneticPr fontId="0" type="noConversion"/>
  <pageMargins left="0.78740157499999996" right="0.78740157499999996" top="0.984251969" bottom="0.984251969" header="0" footer="0"/>
  <headerFooter alignWithMargins="0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EC106F71F26D14386BBC1A7EF49C1CF" ma:contentTypeVersion="15" ma:contentTypeDescription="Crear nuevo documento." ma:contentTypeScope="" ma:versionID="60556491a60aaba2c22dbd7c14ca3de5">
  <xsd:schema xmlns:xsd="http://www.w3.org/2001/XMLSchema" xmlns:xs="http://www.w3.org/2001/XMLSchema" xmlns:p="http://schemas.microsoft.com/office/2006/metadata/properties" xmlns:ns2="514a5bc8-39bd-4b28-b6db-900c4241381c" xmlns:ns3="2e6036a8-fac0-4022-adb3-433e6a4e4c90" targetNamespace="http://schemas.microsoft.com/office/2006/metadata/properties" ma:root="true" ma:fieldsID="241f84006a8981509d356d559a26c928" ns2:_="" ns3:_="">
    <xsd:import namespace="514a5bc8-39bd-4b28-b6db-900c4241381c"/>
    <xsd:import namespace="2e6036a8-fac0-4022-adb3-433e6a4e4c9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SearchProperties" minOccurs="0"/>
                <xsd:element ref="ns3:MediaLengthInSeconds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14a5bc8-39bd-4b28-b6db-900c4241381c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4848dbd8-d460-4af3-84de-ff2686d3f8a6}" ma:internalName="TaxCatchAll" ma:showField="CatchAllData" ma:web="514a5bc8-39bd-4b28-b6db-900c4241381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e6036a8-fac0-4022-adb3-433e6a4e4c9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ecb544a4-2b8f-4200-bf3a-296ec37d7e7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5BBEFEB-F58A-4D40-950B-469EDCBFD42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14a5bc8-39bd-4b28-b6db-900c4241381c"/>
    <ds:schemaRef ds:uri="2e6036a8-fac0-4022-adb3-433e6a4e4c9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DB13CA5-5E79-4088-8319-46ED621D72CF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15</vt:i4>
      </vt:variant>
      <vt:variant>
        <vt:lpstr>Rangos con nombre</vt:lpstr>
      </vt:variant>
      <vt:variant>
        <vt:i4>12</vt:i4>
      </vt:variant>
    </vt:vector>
  </HeadingPairs>
  <TitlesOfParts>
    <vt:vector size="27" baseType="lpstr">
      <vt:lpstr>DATOS</vt:lpstr>
      <vt:lpstr>TERMO</vt:lpstr>
      <vt:lpstr>DISTORSION</vt:lpstr>
      <vt:lpstr>DOBLE IMAGEN</vt:lpstr>
      <vt:lpstr>ACCESSORIES</vt:lpstr>
      <vt:lpstr>BN</vt:lpstr>
      <vt:lpstr>SERIGRAFIA</vt:lpstr>
      <vt:lpstr>TNT</vt:lpstr>
      <vt:lpstr>PC</vt:lpstr>
      <vt:lpstr>TORKER</vt:lpstr>
      <vt:lpstr>STICKER ADUANA</vt:lpstr>
      <vt:lpstr>Lista Defeitos</vt:lpstr>
      <vt:lpstr>VARIABLES</vt:lpstr>
      <vt:lpstr>POSICIONES</vt:lpstr>
      <vt:lpstr>parametros</vt:lpstr>
      <vt:lpstr>ACCESSORIES!Área_de_impresión</vt:lpstr>
      <vt:lpstr>BN!Área_de_impresión</vt:lpstr>
      <vt:lpstr>DATOS!Área_de_impresión</vt:lpstr>
      <vt:lpstr>DISTORSION!Área_de_impresión</vt:lpstr>
      <vt:lpstr>'DOBLE IMAGEN'!Área_de_impresión</vt:lpstr>
      <vt:lpstr>PC!Área_de_impresión</vt:lpstr>
      <vt:lpstr>SERIGRAFIA!Área_de_impresión</vt:lpstr>
      <vt:lpstr>'STICKER ADUANA'!Área_de_impresión</vt:lpstr>
      <vt:lpstr>TERMO!Área_de_impresión</vt:lpstr>
      <vt:lpstr>TNT!Área_de_impresión</vt:lpstr>
      <vt:lpstr>TORKER!Área_de_impresión</vt:lpstr>
      <vt:lpstr>HOLA</vt:lpstr>
    </vt:vector>
  </TitlesOfParts>
  <Manager/>
  <Company>A.G.P. de Colombia S.A.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Giovani Kovalski</dc:creator>
  <cp:keywords/>
  <dc:description/>
  <cp:lastModifiedBy>Elber Vasquez</cp:lastModifiedBy>
  <cp:revision/>
  <cp:lastPrinted>2024-01-02T20:26:30Z</cp:lastPrinted>
  <dcterms:created xsi:type="dcterms:W3CDTF">2003-06-21T14:33:30Z</dcterms:created>
  <dcterms:modified xsi:type="dcterms:W3CDTF">2024-02-29T13:24:01Z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SynDocOpportunityDesc">
    <vt:lpwstr/>
  </property>
  <property fmtid="{D5CDD505-2E9C-101B-9397-08002B2CF9AE}" pid="3" name="eSynDocOpportunityID">
    <vt:lpwstr/>
  </property>
  <property fmtid="{D5CDD505-2E9C-101B-9397-08002B2CF9AE}" pid="4" name="eSynDocAttachmentID">
    <vt:lpwstr>{c1dc2ff0-d9bf-4a8d-b719-325d0d25c7c8}</vt:lpwstr>
  </property>
  <property fmtid="{D5CDD505-2E9C-101B-9397-08002B2CF9AE}" pid="5" name="eSynDocContactDesc">
    <vt:lpwstr/>
  </property>
  <property fmtid="{D5CDD505-2E9C-101B-9397-08002B2CF9AE}" pid="6" name="eSynDocAccountDesc">
    <vt:lpwstr/>
  </property>
  <property fmtid="{D5CDD505-2E9C-101B-9397-08002B2CF9AE}" pid="7" name="eSynDocProjectDesc">
    <vt:lpwstr>EPD OEM W166 VPAM6</vt:lpwstr>
  </property>
  <property fmtid="{D5CDD505-2E9C-101B-9397-08002B2CF9AE}" pid="8" name="eSynDocTransactionDesc">
    <vt:lpwstr/>
  </property>
  <property fmtid="{D5CDD505-2E9C-101B-9397-08002B2CF9AE}" pid="9" name="eSynDocSerialDesc">
    <vt:lpwstr/>
  </property>
  <property fmtid="{D5CDD505-2E9C-101B-9397-08002B2CF9AE}" pid="10" name="eSynDocItemDesc">
    <vt:lpwstr>3. Process Development</vt:lpwstr>
  </property>
  <property fmtid="{D5CDD505-2E9C-101B-9397-08002B2CF9AE}" pid="11" name="eSynDocResourceDesc">
    <vt:lpwstr>Andres Fernando Sarmiento Santos</vt:lpwstr>
  </property>
  <property fmtid="{D5CDD505-2E9C-101B-9397-08002B2CF9AE}" pid="12" name="eSynTransactionEntryKey">
    <vt:lpwstr/>
  </property>
  <property fmtid="{D5CDD505-2E9C-101B-9397-08002B2CF9AE}" pid="13" name="eSynDocVersionStartDate">
    <vt:lpwstr>09/02/2013 00:00:00</vt:lpwstr>
  </property>
  <property fmtid="{D5CDD505-2E9C-101B-9397-08002B2CF9AE}" pid="14" name="eSynDocVersion">
    <vt:lpwstr>1</vt:lpwstr>
  </property>
  <property fmtid="{D5CDD505-2E9C-101B-9397-08002B2CF9AE}" pid="15" name="eSynDocAttachFileName">
    <vt:lpwstr>00_3) W166 VPAM6 WSS (PBS) Visual.xls</vt:lpwstr>
  </property>
  <property fmtid="{D5CDD505-2E9C-101B-9397-08002B2CF9AE}" pid="16" name="eSynDocSummary">
    <vt:lpwstr/>
  </property>
  <property fmtid="{D5CDD505-2E9C-101B-9397-08002B2CF9AE}" pid="17" name="eSynDocPublish">
    <vt:lpwstr>0</vt:lpwstr>
  </property>
  <property fmtid="{D5CDD505-2E9C-101B-9397-08002B2CF9AE}" pid="18" name="eSynDocTypeID">
    <vt:lpwstr>358</vt:lpwstr>
  </property>
  <property fmtid="{D5CDD505-2E9C-101B-9397-08002B2CF9AE}" pid="19" name="eSynDocSerialNumber">
    <vt:lpwstr/>
  </property>
  <property fmtid="{D5CDD505-2E9C-101B-9397-08002B2CF9AE}" pid="20" name="eSynDocSubject">
    <vt:lpwstr>OEM W166 VPAM6 - Formatos Informes Calidad</vt:lpwstr>
  </property>
  <property fmtid="{D5CDD505-2E9C-101B-9397-08002B2CF9AE}" pid="21" name="eSynDocItem">
    <vt:lpwstr>3.Process-Development</vt:lpwstr>
  </property>
  <property fmtid="{D5CDD505-2E9C-101B-9397-08002B2CF9AE}" pid="22" name="eSynDocAcctContact">
    <vt:lpwstr/>
  </property>
  <property fmtid="{D5CDD505-2E9C-101B-9397-08002B2CF9AE}" pid="23" name="eSynDocContactID">
    <vt:lpwstr/>
  </property>
  <property fmtid="{D5CDD505-2E9C-101B-9397-08002B2CF9AE}" pid="24" name="eSynDocAccount">
    <vt:lpwstr/>
  </property>
  <property fmtid="{D5CDD505-2E9C-101B-9397-08002B2CF9AE}" pid="25" name="eSynDocResource">
    <vt:lpwstr>397</vt:lpwstr>
  </property>
  <property fmtid="{D5CDD505-2E9C-101B-9397-08002B2CF9AE}" pid="26" name="eSynDocProjectNr">
    <vt:lpwstr>EPD - 004.004</vt:lpwstr>
  </property>
  <property fmtid="{D5CDD505-2E9C-101B-9397-08002B2CF9AE}" pid="27" name="eSynDocSecurity">
    <vt:lpwstr>101</vt:lpwstr>
  </property>
  <property fmtid="{D5CDD505-2E9C-101B-9397-08002B2CF9AE}" pid="28" name="eSynDocAssortment">
    <vt:lpwstr>etapas-proyectos-OEM</vt:lpwstr>
  </property>
  <property fmtid="{D5CDD505-2E9C-101B-9397-08002B2CF9AE}" pid="29" name="eSynDocLanguageCode">
    <vt:lpwstr/>
  </property>
  <property fmtid="{D5CDD505-2E9C-101B-9397-08002B2CF9AE}" pid="30" name="eSynDocDivisionDesc">
    <vt:lpwstr>AGP Brasil</vt:lpwstr>
  </property>
  <property fmtid="{D5CDD505-2E9C-101B-9397-08002B2CF9AE}" pid="31" name="eSynDocDivision">
    <vt:lpwstr>003</vt:lpwstr>
  </property>
  <property fmtid="{D5CDD505-2E9C-101B-9397-08002B2CF9AE}" pid="32" name="eSynDocParentDocument">
    <vt:lpwstr/>
  </property>
  <property fmtid="{D5CDD505-2E9C-101B-9397-08002B2CF9AE}" pid="33" name="eSynDocSubCategory">
    <vt:lpwstr/>
  </property>
  <property fmtid="{D5CDD505-2E9C-101B-9397-08002B2CF9AE}" pid="34" name="eSynDocCategoryID">
    <vt:lpwstr/>
  </property>
  <property fmtid="{D5CDD505-2E9C-101B-9397-08002B2CF9AE}" pid="35" name="eSynDocGroupDesc">
    <vt:lpwstr>Attachments &amp; notes</vt:lpwstr>
  </property>
  <property fmtid="{D5CDD505-2E9C-101B-9397-08002B2CF9AE}" pid="36" name="eSynDocGroupID">
    <vt:lpwstr>0</vt:lpwstr>
  </property>
  <property fmtid="{D5CDD505-2E9C-101B-9397-08002B2CF9AE}" pid="37" name="eSynDocHID">
    <vt:lpwstr>12217</vt:lpwstr>
  </property>
  <property fmtid="{D5CDD505-2E9C-101B-9397-08002B2CF9AE}" pid="38" name="eSynCleanUp12/30/2013 14:54:46">
    <vt:i4>1</vt:i4>
  </property>
</Properties>
</file>