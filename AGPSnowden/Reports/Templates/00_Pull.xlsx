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rawings/drawing10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1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371" documentId="13_ncr:1_{C34DC1B1-AADE-44A9-B374-EC009DDBD68D}" xr6:coauthVersionLast="47" xr6:coauthVersionMax="47" xr10:uidLastSave="{76558C03-769D-4125-B463-DB969F85AFE4}"/>
  <bookViews>
    <workbookView xWindow="20370" yWindow="-120" windowWidth="20730" windowHeight="11160" activeTab="4" xr2:uid="{00000000-000D-0000-FFFF-FFFF00000000}"/>
  </bookViews>
  <sheets>
    <sheet name="DATOS" sheetId="7" r:id="rId1"/>
    <sheet name="TERMO" sheetId="11" r:id="rId2"/>
    <sheet name="DISTORSION" sheetId="22" r:id="rId3"/>
    <sheet name="DOBLE IMAGEN" sheetId="16" r:id="rId4"/>
    <sheet name="ACCESSORIES" sheetId="15" r:id="rId5"/>
    <sheet name="BN" sheetId="17" r:id="rId6"/>
    <sheet name="SERIGRAFIA" sheetId="20" r:id="rId7"/>
    <sheet name="TNT" sheetId="18" r:id="rId8"/>
    <sheet name="PC" sheetId="21" r:id="rId9"/>
    <sheet name="TORKER" sheetId="27" r:id="rId10"/>
    <sheet name="STICKER ADUANA" sheetId="23" r:id="rId11"/>
    <sheet name="Lista Defeitos" sheetId="10" r:id="rId12"/>
    <sheet name="VARIABLES" sheetId="5" state="hidden" r:id="rId13"/>
    <sheet name="POSICIONES" sheetId="6" state="hidden" r:id="rId14"/>
    <sheet name="parametros" sheetId="3" state="hidden" r:id="rId15"/>
  </sheets>
  <definedNames>
    <definedName name="_xlnm.Print_Area" localSheetId="4">ACCESSORIES!$A$1:$P$47</definedName>
    <definedName name="_xlnm.Print_Area" localSheetId="5">BN!$A$1:$P$53</definedName>
    <definedName name="_xlnm.Print_Area" localSheetId="0">DATOS!$A$1:$AW$87</definedName>
    <definedName name="_xlnm.Print_Area" localSheetId="2">DISTORSION!$A$1:$J$70</definedName>
    <definedName name="_xlnm.Print_Area" localSheetId="3">'DOBLE IMAGEN'!$A$1:$I$45</definedName>
    <definedName name="_xlnm.Print_Area" localSheetId="8">PC!$A$1:$N$53</definedName>
    <definedName name="_xlnm.Print_Area" localSheetId="6">SERIGRAFIA!$A$1:$P$53</definedName>
    <definedName name="_xlnm.Print_Area" localSheetId="10">'STICKER ADUANA'!$A$1:$N$37</definedName>
    <definedName name="_xlnm.Print_Area" localSheetId="1">TERMO!$A$1:$P$43</definedName>
    <definedName name="_xlnm.Print_Area" localSheetId="7">TNT!$A$1:$M$52</definedName>
    <definedName name="_xlnm.Print_Area" localSheetId="9">TORKER!$A$1:$N$48</definedName>
    <definedName name="G">#REF!</definedName>
    <definedName name="H">#REF!</definedName>
    <definedName name="HOLA">POSICIONES!$C$10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5" i="27"/>
  <c r="C4" i="27"/>
  <c r="C5" i="23"/>
  <c r="C5" i="21"/>
  <c r="C5" i="18"/>
  <c r="C4" i="18"/>
  <c r="C5" i="17"/>
  <c r="C5" i="15"/>
  <c r="C4" i="15"/>
  <c r="C7" i="16"/>
  <c r="H34" i="22"/>
  <c r="H35" i="22" s="1"/>
  <c r="G34" i="22"/>
  <c r="G35" i="22" s="1"/>
  <c r="F34" i="22"/>
  <c r="F35" i="22" s="1"/>
  <c r="E34" i="22"/>
  <c r="E35" i="22" s="1"/>
  <c r="H28" i="22"/>
  <c r="G28" i="22"/>
  <c r="F28" i="22"/>
  <c r="E28" i="22"/>
  <c r="H7" i="22"/>
  <c r="D7" i="22"/>
  <c r="L18" i="11"/>
  <c r="H18" i="11"/>
  <c r="L17" i="11"/>
  <c r="H17" i="11"/>
  <c r="L16" i="11"/>
  <c r="H16" i="11"/>
  <c r="L15" i="11"/>
  <c r="H15" i="11"/>
  <c r="C5" i="11"/>
  <c r="C4" i="11"/>
  <c r="K60" i="7"/>
  <c r="K59" i="7"/>
  <c r="K58" i="7"/>
  <c r="K57" i="7"/>
  <c r="K56" i="7"/>
  <c r="K55" i="7"/>
  <c r="K54" i="7"/>
  <c r="K53" i="7"/>
  <c r="K52" i="7"/>
  <c r="E36" i="22" l="1"/>
  <c r="E37" i="22" s="1"/>
  <c r="F36" i="22"/>
  <c r="F37" i="22" s="1"/>
  <c r="G36" i="22"/>
  <c r="G37" i="22" s="1"/>
  <c r="H36" i="22"/>
  <c r="H3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tc={525BF156-5564-49AD-84BF-8F00BD68B04E}</author>
    <author>tc={441DB781-4687-474E-AB28-16A18353D861}</author>
    <author>tc={DA4FFC63-4874-49E3-824A-F180980FA8A7}</author>
    <author>tc={883CB1AA-BE4F-4EEF-916B-67C588C7F61F}</author>
    <author>tc={3B1525A3-B423-4416-B450-FAC82DAFD6A7}</author>
    <author>tc={6FBDC7AE-92E2-48E2-82C8-23ABFAB983F7}</author>
    <author>tc={5AF988A6-57AC-411B-8013-8D43C796FD01}</author>
    <author>tc={22E98CE0-AEF8-4756-BAC1-2535CF3C2CCC}</author>
    <author>tc={B407E35D-DF81-4883-A34E-C7E9A4E2743F}</author>
  </authors>
  <commentList>
    <comment ref="E7" authorId="0" shapeId="0" xr:uid="{525BF156-5564-49AD-84BF-8F00BD68B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441DB781-4687-474E-AB28-16A18353D8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DA4FFC63-4874-49E3-824A-F180980FA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883CB1AA-BE4F-4EEF-916B-67C588C7F6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3B1525A3-B423-4416-B450-FAC82DAFD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6FBDC7AE-92E2-48E2-82C8-23ABFAB983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5AF988A6-57AC-411B-8013-8D43C796F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22E98CE0-AEF8-4756-BAC1-2535CF3C2C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  <comment ref="N83" authorId="8" shapeId="0" xr:uid="{B407E35D-DF81-4883-A34E-C7E9A4E274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INSPECTOR QUE GENERA CERTIFICADO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tc={5ABB52E6-1E93-47E4-BE54-3732A0CFF979}</author>
    <author>tc={12ABD5DF-B807-4799-AA58-08CBD618F473}</author>
    <author>tc={D89F4C7A-8200-43F5-BE2A-95974626E7AA}</author>
    <author>tc={C3AA824A-643D-4C6F-A278-7EF4E5CB7E23}</author>
  </authors>
  <commentList>
    <comment ref="M18" authorId="0" shapeId="0" xr:uid="{5ABB52E6-1E93-47E4-BE54-3732A0CFF9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DATO, PONER PARAMETRO DE GORDON 726</t>
      </text>
    </comment>
    <comment ref="E20" authorId="1" shapeId="0" xr:uid="{12ABD5DF-B807-4799-AA58-08CBD618F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de Gordon</t>
      </text>
    </comment>
    <comment ref="L20" authorId="2" shapeId="0" xr:uid="{D89F4C7A-8200-43F5-BE2A-95974626E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Parametro gordon 369</t>
      </text>
    </comment>
    <comment ref="F38" authorId="3" shapeId="0" xr:uid="{C3AA824A-643D-4C6F-A278-7EF4E5CB7E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gordon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tc={09877ADC-E117-4A3E-991F-1D5EE4F8931D}</author>
  </authors>
  <commentList>
    <comment ref="E66" authorId="0" shapeId="0" xr:uid="{09877ADC-E117-4A3E-991F-1D5EE4F893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tc={C8F3FC1A-6172-4762-B4CD-E8128192535B}</author>
  </authors>
  <commentList>
    <comment ref="D40" authorId="0" shapeId="0" xr:uid="{C8F3FC1A-6172-4762-B4CD-E812819253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tc={D65E6004-8491-4115-B992-1ECF70C2F50A}</author>
    <author>tc={2AE0B57A-9399-479B-9720-D3BF6447AE82}</author>
    <author>tc={EE08F66F-4E13-49BA-ADE5-ED1B0A9C2059}</author>
  </authors>
  <commentList>
    <comment ref="I32" authorId="0" shapeId="0" xr:uid="{D65E6004-8491-4115-B992-1ECF70C2F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701</t>
      </text>
    </comment>
    <comment ref="M32" authorId="1" shapeId="0" xr:uid="{2AE0B57A-9399-479B-9720-D3BF6447A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725</t>
      </text>
    </comment>
    <comment ref="F42" authorId="2" shapeId="0" xr:uid="{EE08F66F-4E13-49BA-ADE5-ED1B0A9C2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tc={A5D03B66-D295-40E1-8AA4-EFF1D7679B6B}</author>
  </authors>
  <commentList>
    <comment ref="F48" authorId="0" shapeId="0" xr:uid="{A5D03B66-D295-40E1-8AA4-EFF1D7679B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tc={5D6C5F1E-7D1F-48DE-82E8-0685AD7432CA}</author>
  </authors>
  <commentList>
    <comment ref="F48" authorId="0" shapeId="0" xr:uid="{5D6C5F1E-7D1F-48DE-82E8-0685AD743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tc={1B50C7BC-C0C2-4E23-9B08-3250DD0733B7}</author>
  </authors>
  <commentList>
    <comment ref="E47" authorId="0" shapeId="0" xr:uid="{1B50C7BC-C0C2-4E23-9B08-3250DD0733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SAP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tc={44DD6273-3E8B-4424-B77A-BCB653B09E26}</author>
  </authors>
  <commentList>
    <comment ref="F48" authorId="0" shapeId="0" xr:uid="{44DD6273-3E8B-4424-B77A-BCB653B09E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SAP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tc={A3DA0935-446E-40AC-B25E-493BEF58595D}</author>
  </authors>
  <commentList>
    <comment ref="F43" authorId="0" shapeId="0" xr:uid="{A3DA0935-446E-40AC-B25E-493BEF585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INSPECTOR GORDON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tc={6E779F64-2E22-4697-98C0-5DA757879074}</author>
  </authors>
  <commentList>
    <comment ref="F32" authorId="0" shapeId="0" xr:uid="{6E779F64-2E22-4697-98C0-5DA7578790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INSPECTOR DE SAP</t>
      </text>
    </comment>
  </commentList>
</comments>
</file>

<file path=xl/sharedStrings.xml><?xml version="1.0" encoding="utf-8"?>
<sst xmlns="http://schemas.openxmlformats.org/spreadsheetml/2006/main" count="699" uniqueCount="468">
  <si>
    <t>PRODUCT CERTIFICATION</t>
  </si>
  <si>
    <t>QUALITY CONTROL DEPARTMENT</t>
  </si>
  <si>
    <t>CLIENT:</t>
  </si>
  <si>
    <t xml:space="preserve">COLOR: </t>
  </si>
  <si>
    <t>VEHICLE:</t>
  </si>
  <si>
    <t>COMPOSITION:</t>
  </si>
  <si>
    <t>PART NUMBER:</t>
  </si>
  <si>
    <t>PART:</t>
  </si>
  <si>
    <t>WINDSHIELD / FRONTSHEIBE</t>
  </si>
  <si>
    <t>OUTER GLASS FINISH:</t>
  </si>
  <si>
    <t>ACCORDING TO DRAWING</t>
  </si>
  <si>
    <t xml:space="preserve"> SUPERFICIAL AND INTERNAL  APPEARANCE VISUAL DEFECTS CHART</t>
  </si>
  <si>
    <t>ITEM</t>
  </si>
  <si>
    <t>ZONE</t>
  </si>
  <si>
    <t>CODE OF DEFEC</t>
  </si>
  <si>
    <t>DESCRIPTION</t>
  </si>
  <si>
    <t>SIZE (mm)</t>
  </si>
  <si>
    <t>QUANTITY OF DEFECTS</t>
  </si>
  <si>
    <t>ACCORDING TO QV0008
2.3.2</t>
  </si>
  <si>
    <t>B</t>
  </si>
  <si>
    <t>OK</t>
  </si>
  <si>
    <t>Not OK</t>
  </si>
  <si>
    <t>TERMINALS INSULATION</t>
  </si>
  <si>
    <t>LOGO (INTERNAL BLACK)</t>
  </si>
  <si>
    <t>TERMINALS</t>
  </si>
  <si>
    <t>CHAMFER</t>
  </si>
  <si>
    <t>FINISHING</t>
  </si>
  <si>
    <t>REFLECTION</t>
  </si>
  <si>
    <t>MIRROR BRACKET</t>
  </si>
  <si>
    <t>BLACK BAND INTERNAL</t>
  </si>
  <si>
    <t>THICKNEES (33,3 - 37,1 mm)</t>
  </si>
  <si>
    <t>BLACK BAND EXTERNAL</t>
  </si>
  <si>
    <t>SERIGRAPHY</t>
  </si>
  <si>
    <t>COMMENTS</t>
  </si>
  <si>
    <t>CONVENTIONS</t>
  </si>
  <si>
    <t xml:space="preserve">B = WIDTH (mm) </t>
  </si>
  <si>
    <t>L = LENGTH (mm)</t>
  </si>
  <si>
    <t>D = DIAMETER (mm)</t>
  </si>
  <si>
    <t>A = DISTANCE (mm)</t>
  </si>
  <si>
    <t>ANNEXES</t>
  </si>
  <si>
    <t>IT = INSIDE TOLERANCE</t>
  </si>
  <si>
    <t>See attached the geometric report</t>
  </si>
  <si>
    <t>OT = OUT OF TOLERANCE</t>
  </si>
  <si>
    <t>Z = ZONE</t>
  </si>
  <si>
    <t>N/A = NOT APPLICABLE</t>
  </si>
  <si>
    <t>AUTHORIZED BY</t>
  </si>
  <si>
    <t>REVIEWED BY</t>
  </si>
  <si>
    <t xml:space="preserve">CONTROL  CHECK </t>
  </si>
  <si>
    <t>DATE:</t>
  </si>
  <si>
    <t>751-28-03A-15-F01 V.4</t>
  </si>
  <si>
    <t>Pag 1 of 10</t>
  </si>
  <si>
    <t>REPORT THERMOGRAPHY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</si>
  <si>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</si>
  <si>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</si>
  <si>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</si>
  <si>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</si>
  <si>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</si>
  <si>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</si>
  <si>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</si>
  <si>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</si>
  <si>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</si>
  <si>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</si>
  <si>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</si>
  <si>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</si>
  <si>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HEATING ZONE</t>
  </si>
  <si>
    <t>SOURCE POWER [V]</t>
  </si>
  <si>
    <t>CURRENT [A]</t>
  </si>
  <si>
    <t>POWER [W]</t>
  </si>
  <si>
    <t>RESISTANCE [Ohm]</t>
  </si>
  <si>
    <t>MIN</t>
  </si>
  <si>
    <t>MAX</t>
  </si>
  <si>
    <t>WINSHIELD</t>
  </si>
  <si>
    <t>RESISTANCE LEFT (HFS 4)</t>
  </si>
  <si>
    <t>[12,1 +/- 0,1]</t>
  </si>
  <si>
    <t>RESISTANCE RIGHT (HFS 4)</t>
  </si>
  <si>
    <t>Left Thermograph</t>
  </si>
  <si>
    <t>Right Thermograph</t>
  </si>
  <si>
    <t>Camera Thermograph</t>
  </si>
  <si>
    <t>ELECTRIC TERMINALS</t>
  </si>
  <si>
    <t>UPPER CENTRAL</t>
  </si>
  <si>
    <t>LOWER LEFT</t>
  </si>
  <si>
    <t>LOWER RIGHT</t>
  </si>
  <si>
    <t>CONTROL  CHECK</t>
  </si>
  <si>
    <t>Pag 2 of 10</t>
  </si>
  <si>
    <t>QV0008
2.3.2</t>
  </si>
  <si>
    <t>OT</t>
  </si>
  <si>
    <t>-</t>
  </si>
  <si>
    <t>X</t>
  </si>
  <si>
    <t>xx</t>
  </si>
  <si>
    <t>Defects 1 to 7 are not vissible to daylight</t>
  </si>
  <si>
    <t>QUALITY CONTROL</t>
  </si>
  <si>
    <t>PROJECT:</t>
  </si>
  <si>
    <t>REASON FOR SUBMISSION:</t>
  </si>
  <si>
    <t>QUALITY TEST</t>
  </si>
  <si>
    <t>Refractive Power</t>
  </si>
  <si>
    <t>STANDARD</t>
  </si>
  <si>
    <t xml:space="preserve">DIN 52305 </t>
  </si>
  <si>
    <t>DESCRIPTION OF TEST</t>
  </si>
  <si>
    <t>Determination of Refractive Power is according to AZDIN 52305 for Zones 1 and 2.</t>
  </si>
  <si>
    <t>CONDITIONS</t>
  </si>
  <si>
    <t>EVALUATION</t>
  </si>
  <si>
    <t>ZONE A</t>
  </si>
  <si>
    <t>ZONE B</t>
  </si>
  <si>
    <t>MEASUREMENT 1</t>
  </si>
  <si>
    <t>MEASUREMENT 2</t>
  </si>
  <si>
    <t>Max</t>
  </si>
  <si>
    <t>Min</t>
  </si>
  <si>
    <t xml:space="preserve"> Db</t>
  </si>
  <si>
    <t>L1</t>
  </si>
  <si>
    <t>L2</t>
  </si>
  <si>
    <t>b</t>
  </si>
  <si>
    <t>n</t>
  </si>
  <si>
    <t>e</t>
  </si>
  <si>
    <t>rad</t>
  </si>
  <si>
    <t>f(e)</t>
  </si>
  <si>
    <t>Do</t>
  </si>
  <si>
    <t>RESULT</t>
  </si>
  <si>
    <t>mdop</t>
  </si>
  <si>
    <t>REQUERIMENT</t>
  </si>
  <si>
    <t>&lt; 85</t>
  </si>
  <si>
    <t>&lt; 150</t>
  </si>
  <si>
    <t>DISTORTION IMAGE AT 0°</t>
  </si>
  <si>
    <t>DISTORTION WHIOUT ZEBRA</t>
  </si>
  <si>
    <t>DISTORTION IMAGE AT 45°</t>
  </si>
  <si>
    <t>REFLECTION 1</t>
  </si>
  <si>
    <t>LANDSCAPE DISTORTION</t>
  </si>
  <si>
    <t>REFLECTION 2</t>
  </si>
  <si>
    <t>Requirement: Without interruption of  grid lines</t>
  </si>
  <si>
    <t>CONCLUSION</t>
  </si>
  <si>
    <t>This part fullfill with requirements</t>
  </si>
  <si>
    <t>Pag 3 of 10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</si>
  <si>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</si>
  <si>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</si>
  <si>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</si>
  <si>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</si>
  <si>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</si>
  <si>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</si>
  <si>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</si>
  <si>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</si>
  <si>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t>REQUIREMENT: &lt;20 arcmin</t>
  </si>
  <si>
    <t>DOUBLE IMAGE</t>
  </si>
  <si>
    <t>Pag 4 of 10</t>
  </si>
  <si>
    <t>ACCESSORIES</t>
  </si>
  <si>
    <t>15/11/2023</t>
  </si>
  <si>
    <t>TNT FLEX</t>
  </si>
  <si>
    <t>STEELS</t>
  </si>
  <si>
    <t>Pag 5 of 10</t>
  </si>
  <si>
    <t>BLACK BAND MEASUREMET</t>
  </si>
  <si>
    <t xml:space="preserve"> </t>
  </si>
  <si>
    <t>Pag 6 of 10</t>
  </si>
  <si>
    <t>Image 1</t>
  </si>
  <si>
    <t>Image 2</t>
  </si>
  <si>
    <t>Image 3</t>
  </si>
  <si>
    <t>Image 4</t>
  </si>
  <si>
    <t>Pag 7 of 10</t>
  </si>
  <si>
    <t>TNT FLEX MEASUREMET</t>
  </si>
  <si>
    <t>Tolerance</t>
  </si>
  <si>
    <t>A</t>
  </si>
  <si>
    <t>146.8</t>
  </si>
  <si>
    <t>56.8</t>
  </si>
  <si>
    <t>N/A</t>
  </si>
  <si>
    <t>56.9</t>
  </si>
  <si>
    <t>C</t>
  </si>
  <si>
    <t>147.5</t>
  </si>
  <si>
    <t>57.8</t>
  </si>
  <si>
    <t>D</t>
  </si>
  <si>
    <t>58.3</t>
  </si>
  <si>
    <t>Pag 8 of 10</t>
  </si>
  <si>
    <t>IMAGE PC</t>
  </si>
  <si>
    <t>IMAGE 1</t>
  </si>
  <si>
    <t>IMAGE 2</t>
  </si>
  <si>
    <t>Pag 9 of 10</t>
  </si>
  <si>
    <t>TORKER´S TEST</t>
  </si>
  <si>
    <t>Pag 11 of 11</t>
  </si>
  <si>
    <t>CUSTOMS STICKER</t>
  </si>
  <si>
    <t>G</t>
  </si>
  <si>
    <t>Pag 10 of 10</t>
  </si>
  <si>
    <t>DEFECTOS CERTIFICADOS EN INGLES</t>
  </si>
  <si>
    <t xml:space="preserve">Codigo </t>
  </si>
  <si>
    <t>Espanol / Portugues</t>
  </si>
  <si>
    <t>Ingles</t>
  </si>
  <si>
    <t>Impureza</t>
  </si>
  <si>
    <t>Impurity</t>
  </si>
  <si>
    <t>Burbuja</t>
  </si>
  <si>
    <t>Bubble</t>
  </si>
  <si>
    <t>Inclusión</t>
  </si>
  <si>
    <t>Inclusion</t>
  </si>
  <si>
    <t>Porosidad</t>
  </si>
  <si>
    <t>Porosity</t>
  </si>
  <si>
    <t>Punto de Color</t>
  </si>
  <si>
    <t>Color dot</t>
  </si>
  <si>
    <t>Raya sensible a uña</t>
  </si>
  <si>
    <t>Perceptible Scratch</t>
  </si>
  <si>
    <t>Raya no sensible a la uña</t>
  </si>
  <si>
    <t>Unperceptible Scratch</t>
  </si>
  <si>
    <t>Raya Interna</t>
  </si>
  <si>
    <t>Intern Scratch</t>
  </si>
  <si>
    <t>Escalla</t>
  </si>
  <si>
    <t>Conchoidal Defect</t>
  </si>
  <si>
    <t>Cabello</t>
  </si>
  <si>
    <t>Interna Hair</t>
  </si>
  <si>
    <t>Pestaña</t>
  </si>
  <si>
    <t>Internal Eyelash</t>
  </si>
  <si>
    <t>Pelusa</t>
  </si>
  <si>
    <t>Fluff</t>
  </si>
  <si>
    <t>Depresión Circular</t>
  </si>
  <si>
    <t>Circular Depression</t>
  </si>
  <si>
    <t>Depresión Alargada</t>
  </si>
  <si>
    <t>Elongated Depression</t>
  </si>
  <si>
    <t>Rayas sensibles a las una en PC</t>
  </si>
  <si>
    <t>Unperceptible Scratch in AL</t>
  </si>
  <si>
    <t>Ojo en Cristal</t>
  </si>
  <si>
    <t>Bull eye in glass</t>
  </si>
  <si>
    <t>Distorsión</t>
  </si>
  <si>
    <t>Distortion</t>
  </si>
  <si>
    <t>Delaminación</t>
  </si>
  <si>
    <t>Delamination</t>
  </si>
  <si>
    <t>Nube de Puntos</t>
  </si>
  <si>
    <t>Cloud of Dots</t>
  </si>
  <si>
    <t>Picadura</t>
  </si>
  <si>
    <t>Puncture</t>
  </si>
  <si>
    <t>Depresión en borde Paquete</t>
  </si>
  <si>
    <t>Depressions at the edge of the package</t>
  </si>
  <si>
    <t>Oxidación SP</t>
  </si>
  <si>
    <t>Oxidation SP</t>
  </si>
  <si>
    <t>Defecto en sello de Paquete</t>
  </si>
  <si>
    <t>Sealing edge defect</t>
  </si>
  <si>
    <t>Picadura en PC</t>
  </si>
  <si>
    <t>Puncture in PC</t>
  </si>
  <si>
    <t>Huellas de Molde</t>
  </si>
  <si>
    <t>Dent (tool trace)</t>
  </si>
  <si>
    <t>Puntos Difusos en Degrade</t>
  </si>
  <si>
    <t xml:space="preserve">Degradee diffuse point </t>
  </si>
  <si>
    <t>Mancha no visible a luz día</t>
  </si>
  <si>
    <t>Not visible stain Day Light</t>
  </si>
  <si>
    <t>Mancha blanca interna en BN</t>
  </si>
  <si>
    <t>White internal stain in BN</t>
  </si>
  <si>
    <t>Mancha en AL no visible a luz día</t>
  </si>
  <si>
    <t>Not visible stain Light day in AL</t>
  </si>
  <si>
    <t>Marcaciones en PC no visibles</t>
  </si>
  <si>
    <t>Bearing not visible in PC</t>
  </si>
  <si>
    <t>Transparencia en BN interna</t>
  </si>
  <si>
    <t>Transparency internal BN</t>
  </si>
  <si>
    <t>Puntos brillantes en AL o PCHT</t>
  </si>
  <si>
    <t>Brilliant points in AL o PCHT</t>
  </si>
  <si>
    <t>Puntos de Defroster</t>
  </si>
  <si>
    <t>Points of defroster</t>
  </si>
  <si>
    <t>Marcación en AL no visible</t>
  </si>
  <si>
    <t>Bearing not visible in AL</t>
  </si>
  <si>
    <t>PC pequeño en el borde</t>
  </si>
  <si>
    <t>PC Smalll in the edge</t>
  </si>
  <si>
    <t>Mancha blanca externa en AL</t>
  </si>
  <si>
    <t>White external stain in AL</t>
  </si>
  <si>
    <t>Punto Blanco vidrio externo</t>
  </si>
  <si>
    <t>White external dot not visible</t>
  </si>
  <si>
    <t>Defectos circulares bajo AL</t>
  </si>
  <si>
    <t>Defects depressions and bumps between PU and PET</t>
  </si>
  <si>
    <t>Pelos o pelusas bajo AL</t>
  </si>
  <si>
    <t>Hairs / fluff between PU and PET</t>
  </si>
  <si>
    <t>Mancha en defroster</t>
  </si>
  <si>
    <t>Internal stain in defroster</t>
  </si>
  <si>
    <t>Transparencia en BN externa</t>
  </si>
  <si>
    <t>Transparency external BN</t>
  </si>
  <si>
    <t>Raya en BN retocada</t>
  </si>
  <si>
    <t xml:space="preserve">Scratch adjustment  BN </t>
  </si>
  <si>
    <t>Defroster con hilo roto</t>
  </si>
  <si>
    <t>Defroster with broken wire</t>
  </si>
  <si>
    <t>Mancha blanca interna en borde PC</t>
  </si>
  <si>
    <t>White internal stain in PC edge</t>
  </si>
  <si>
    <t>Mancha entre laminado no visible en instalación</t>
  </si>
  <si>
    <t>Stain between laminate not visible after installation</t>
  </si>
  <si>
    <t>Raya en BN</t>
  </si>
  <si>
    <t>Scratch in Black band</t>
  </si>
  <si>
    <t>Punto en BN</t>
  </si>
  <si>
    <t>Black band dot</t>
  </si>
  <si>
    <t>Puntos brillantes en PCHT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</si>
  <si>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</si>
  <si>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</si>
  <si>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</si>
  <si>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</si>
  <si>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</si>
  <si>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</si>
  <si>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</si>
  <si>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Desplazamiento entre BN interna y externa</t>
  </si>
  <si>
    <t>Displacement between internal and external black band</t>
  </si>
  <si>
    <t>Borde BN no uniforme</t>
  </si>
  <si>
    <t>Liberado conforme norma</t>
  </si>
  <si>
    <t>Following Standard</t>
  </si>
  <si>
    <t>No afecta la dirigibilidad</t>
  </si>
  <si>
    <t>No problem to the driver</t>
  </si>
  <si>
    <t>Contaminación</t>
  </si>
  <si>
    <t>Contamination</t>
  </si>
  <si>
    <t>Raya en PC</t>
  </si>
  <si>
    <t>Scratch in PC</t>
  </si>
  <si>
    <t>Marcaciones en PC</t>
  </si>
  <si>
    <t>Bearing in PC</t>
  </si>
  <si>
    <t>Raya</t>
  </si>
  <si>
    <t>Scratch</t>
  </si>
  <si>
    <t>Mancha en BN</t>
  </si>
  <si>
    <t>Stain in Black band</t>
  </si>
  <si>
    <t>defecto en banda negra</t>
  </si>
  <si>
    <t xml:space="preserve">Defect in Black band </t>
  </si>
  <si>
    <t>Mancha por Glassjet</t>
  </si>
  <si>
    <t>Stain Glassjet</t>
  </si>
  <si>
    <t>Puntos brillantes</t>
  </si>
  <si>
    <t>Brilliant points</t>
  </si>
  <si>
    <t xml:space="preserve">Mancha de PBV tejido </t>
  </si>
  <si>
    <t>Stain in PBV</t>
  </si>
  <si>
    <t>Nube de puntos en PBV</t>
  </si>
  <si>
    <t>Cloud of point in PBV</t>
  </si>
  <si>
    <t xml:space="preserve">Transparencia borde BN </t>
  </si>
  <si>
    <t>Transparency in Black Enamel</t>
  </si>
  <si>
    <t>Marcación en PCHT</t>
  </si>
  <si>
    <t>Mark on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</si>
  <si>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</si>
  <si>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</si>
  <si>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</si>
  <si>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</si>
  <si>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</si>
  <si>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</si>
  <si>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</si>
  <si>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</si>
  <si>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</si>
  <si>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</si>
  <si>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</si>
  <si>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</si>
  <si>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</si>
  <si>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</si>
  <si>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</si>
  <si>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</si>
  <si>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</si>
  <si>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</si>
  <si>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</si>
  <si>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</si>
  <si>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</si>
  <si>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</si>
  <si>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</si>
  <si>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</si>
  <si>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</si>
  <si>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</si>
  <si>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</si>
  <si>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</si>
  <si>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</si>
  <si>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</si>
  <si>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</si>
  <si>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</si>
  <si>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</si>
  <si>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</si>
  <si>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</si>
  <si>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</si>
  <si>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</si>
  <si>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</si>
  <si>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</si>
  <si>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</si>
  <si>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</si>
  <si>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</si>
  <si>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</si>
  <si>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</si>
  <si>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</si>
  <si>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</si>
  <si>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</si>
  <si>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</si>
  <si>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</si>
  <si>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</si>
  <si>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</si>
  <si>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</si>
  <si>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</si>
  <si>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</si>
  <si>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</si>
  <si>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</si>
  <si>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</si>
  <si>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</si>
  <si>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</si>
  <si>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</si>
  <si>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</si>
  <si>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</si>
  <si>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</si>
  <si>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</si>
  <si>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</si>
  <si>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</si>
  <si>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</si>
  <si>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</si>
  <si>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</si>
  <si>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</si>
  <si>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</si>
  <si>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</si>
  <si>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</si>
  <si>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</si>
  <si>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</si>
  <si>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</si>
  <si>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</si>
  <si>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</si>
  <si>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</si>
  <si>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</si>
  <si>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</si>
  <si>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</si>
  <si>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</si>
  <si>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</si>
  <si>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</si>
  <si>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</si>
  <si>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</si>
  <si>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</si>
  <si>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</si>
  <si>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</si>
  <si>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</si>
  <si>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</si>
  <si>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</si>
  <si>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</si>
  <si>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</si>
  <si>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</si>
  <si>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</si>
  <si>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</si>
  <si>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</si>
  <si>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INDICE</t>
  </si>
  <si>
    <t>PUNTOS</t>
  </si>
  <si>
    <t>SIN</t>
  </si>
  <si>
    <t>ARRIBA</t>
  </si>
  <si>
    <t>ABAJO</t>
  </si>
  <si>
    <t>IZQUIERDA</t>
  </si>
  <si>
    <t>DERECHA</t>
  </si>
  <si>
    <t>LIBRE</t>
  </si>
  <si>
    <t>-0.1</t>
  </si>
  <si>
    <t>ancho rectangulo</t>
  </si>
  <si>
    <t>CLIENTE</t>
  </si>
  <si>
    <t>MBZ</t>
  </si>
  <si>
    <t>ancho circulo</t>
  </si>
  <si>
    <t>MODELO</t>
  </si>
  <si>
    <t>W166</t>
  </si>
  <si>
    <t>FACTOR ESCALA RECTANGULO</t>
  </si>
  <si>
    <t>NUMERO DE PARTE</t>
  </si>
  <si>
    <t>POSICION ESCALA IZQUIERDA</t>
  </si>
  <si>
    <t>DESCRIPCION</t>
  </si>
  <si>
    <t>FRONT DOOR RIGHT</t>
  </si>
  <si>
    <t>POSICION ESCALA DERECHA</t>
  </si>
  <si>
    <t>OPERADOR</t>
  </si>
  <si>
    <t>Epifanio Pereira</t>
  </si>
  <si>
    <t>POSICION ESCALA SUPERIOR</t>
  </si>
  <si>
    <t>TITULO</t>
  </si>
  <si>
    <t>OFFSET</t>
  </si>
  <si>
    <t>POSICION ESCALA INFERIOR</t>
  </si>
  <si>
    <t xml:space="preserve">OP </t>
  </si>
  <si>
    <t>BB12G</t>
  </si>
  <si>
    <t>DIRECTORIO REPORTES</t>
  </si>
  <si>
    <t>T:\Qualidade\Projetos\Projeto W212\Relatórios de Inspeção final - APROVADAS\Blindado\W166</t>
  </si>
  <si>
    <t>FECHA</t>
  </si>
  <si>
    <t>00/00/2012</t>
  </si>
  <si>
    <t>UNIDADES</t>
  </si>
  <si>
    <t>mm</t>
  </si>
  <si>
    <t>CAMARA BRACKET</t>
  </si>
  <si>
    <t>CABLE OUTPUT (PINS)</t>
  </si>
  <si>
    <t>CONNECTORS</t>
  </si>
  <si>
    <t>N</t>
  </si>
  <si>
    <t>TORKER TEST 1</t>
  </si>
  <si>
    <t>TORKER TEST 2</t>
  </si>
  <si>
    <t>PACKAGE EDGE TYPE:</t>
  </si>
  <si>
    <t>PRODUCTION LOT:</t>
  </si>
  <si>
    <t>LINA TOVAR</t>
  </si>
  <si>
    <t>ELENA BEJARANO</t>
  </si>
  <si>
    <t>RESISTANCE CAMARA (HFS 4)</t>
  </si>
  <si>
    <t xml:space="preserve">LINA TOVAR </t>
  </si>
  <si>
    <t xml:space="preserve">QUALITY CERTIFICATE 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</si>
  <si>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</si>
  <si>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</si>
  <si>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</si>
  <si>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r>
      <t xml:space="preserve">CONCLUSION: </t>
    </r>
    <r>
      <rPr>
        <sz val="10"/>
        <color theme="1" tint="0.249977111117893"/>
        <rFont val="Plus Jakarta Sans"/>
      </rPr>
      <t>This part fullfill with requirements.</t>
    </r>
  </si>
  <si>
    <t>[9,6 +/- 0,1]</t>
  </si>
  <si>
    <t>TORKER TEST 1:</t>
  </si>
  <si>
    <t>TORKER TEST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</si>
</sst>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0"/>
      <name val="Plus Jakarta Sans"/>
    </font>
    <font>
      <sz val="9"/>
      <name val="Plus Jakarta Sans"/>
    </font>
    <font>
      <sz val="11"/>
      <name val="Plus Jakarta Sans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sz val="10"/>
      <color theme="1" tint="0.249977111117893"/>
      <name val="Plantagenet Cherokee"/>
      <family val="1"/>
    </font>
    <font>
      <b/>
      <sz val="10"/>
      <color theme="1" tint="0.249977111117893"/>
      <name val="Plantagenet Cherokee"/>
      <family val="1"/>
    </font>
    <font>
      <sz val="14"/>
      <color theme="1" tint="0.249977111117893"/>
      <name val="Plus Jakarta Sans"/>
    </font>
    <font>
      <sz val="8.5"/>
      <color theme="1" tint="0.249977111117893"/>
      <name val="Plus Jakarta Sans"/>
    </font>
    <font>
      <b/>
      <sz val="14"/>
      <color theme="1" tint="0.249977111117893"/>
      <name val="Plus Jakarta Sans"/>
    </font>
    <font>
      <sz val="11"/>
      <color theme="1" tint="0.249977111117893"/>
      <name val="Plus Jakarta Sans"/>
    </font>
    <font>
      <b/>
      <sz val="11"/>
      <color theme="1" tint="0.249977111117893"/>
      <name val="Plus Jakarta Sans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  <fill>
      <patternFill patternType="solid">
        <fgColor rgb="FF8FC5CF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3" borderId="0" xfId="1" applyFont="1" applyFill="1"/>
    <xf numFmtId="2" fontId="1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2" fontId="3" fillId="0" borderId="0" xfId="0" applyNumberFormat="1" applyFont="1" applyAlignment="1">
      <alignment vertical="center"/>
    </xf>
    <xf numFmtId="0" fontId="1" fillId="0" borderId="0" xfId="1" applyFont="1"/>
    <xf numFmtId="2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49" fontId="6" fillId="0" borderId="0" xfId="0" applyNumberFormat="1" applyFont="1"/>
    <xf numFmtId="2" fontId="6" fillId="0" borderId="0" xfId="0" applyNumberFormat="1" applyFont="1"/>
    <xf numFmtId="0" fontId="9" fillId="2" borderId="0" xfId="1" applyFont="1" applyFill="1"/>
    <xf numFmtId="0" fontId="9" fillId="3" borderId="1" xfId="1" applyFont="1" applyFill="1" applyBorder="1"/>
    <xf numFmtId="0" fontId="9" fillId="3" borderId="1" xfId="1" applyFont="1" applyFill="1" applyBorder="1" applyAlignment="1">
      <alignment horizontal="left"/>
    </xf>
    <xf numFmtId="0" fontId="9" fillId="2" borderId="4" xfId="1" applyFont="1" applyFill="1" applyBorder="1"/>
    <xf numFmtId="0" fontId="9" fillId="3" borderId="0" xfId="1" applyFont="1" applyFill="1"/>
    <xf numFmtId="0" fontId="10" fillId="3" borderId="0" xfId="1" applyFont="1" applyFill="1" applyAlignment="1">
      <alignment horizontal="center"/>
    </xf>
    <xf numFmtId="0" fontId="11" fillId="0" borderId="0" xfId="0" applyFont="1" applyAlignment="1">
      <alignment horizontal="left" readingOrder="1"/>
    </xf>
    <xf numFmtId="0" fontId="12" fillId="3" borderId="5" xfId="1" applyFont="1" applyFill="1" applyBorder="1" applyAlignment="1">
      <alignment vertical="center"/>
    </xf>
    <xf numFmtId="0" fontId="13" fillId="3" borderId="0" xfId="1" applyFont="1" applyFill="1" applyAlignment="1">
      <alignment horizontal="center"/>
    </xf>
    <xf numFmtId="165" fontId="12" fillId="3" borderId="4" xfId="1" applyNumberFormat="1" applyFont="1" applyFill="1" applyBorder="1" applyAlignment="1">
      <alignment horizontal="left" vertical="center"/>
    </xf>
    <xf numFmtId="14" fontId="12" fillId="3" borderId="4" xfId="1" applyNumberFormat="1" applyFont="1" applyFill="1" applyBorder="1" applyAlignment="1">
      <alignment horizontal="left" vertical="center"/>
    </xf>
    <xf numFmtId="0" fontId="14" fillId="3" borderId="0" xfId="1" applyFont="1" applyFill="1" applyAlignment="1">
      <alignment horizontal="center"/>
    </xf>
    <xf numFmtId="0" fontId="9" fillId="3" borderId="4" xfId="1" applyFont="1" applyFill="1" applyBorder="1"/>
    <xf numFmtId="0" fontId="14" fillId="3" borderId="0" xfId="1" applyFont="1" applyFill="1"/>
    <xf numFmtId="0" fontId="14" fillId="3" borderId="0" xfId="1" applyFont="1" applyFill="1" applyAlignment="1">
      <alignment horizontal="left"/>
    </xf>
    <xf numFmtId="0" fontId="9" fillId="0" borderId="0" xfId="0" applyFont="1"/>
    <xf numFmtId="0" fontId="14" fillId="3" borderId="4" xfId="1" applyFont="1" applyFill="1" applyBorder="1" applyAlignment="1">
      <alignment horizontal="center"/>
    </xf>
    <xf numFmtId="49" fontId="9" fillId="3" borderId="0" xfId="1" applyNumberFormat="1" applyFont="1" applyFill="1" applyAlignment="1">
      <alignment horizontal="center"/>
    </xf>
    <xf numFmtId="49" fontId="14" fillId="3" borderId="0" xfId="1" applyNumberFormat="1" applyFont="1" applyFill="1" applyAlignment="1">
      <alignment horizontal="center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14" fillId="2" borderId="0" xfId="1" applyFont="1" applyFill="1" applyAlignment="1">
      <alignment horizontal="center"/>
    </xf>
    <xf numFmtId="0" fontId="14" fillId="3" borderId="2" xfId="1" applyFont="1" applyFill="1" applyBorder="1"/>
    <xf numFmtId="0" fontId="9" fillId="3" borderId="2" xfId="1" applyFont="1" applyFill="1" applyBorder="1" applyAlignment="1" applyProtection="1">
      <alignment vertical="center"/>
      <protection locked="0"/>
    </xf>
    <xf numFmtId="0" fontId="9" fillId="3" borderId="2" xfId="1" applyFont="1" applyFill="1" applyBorder="1" applyAlignment="1" applyProtection="1">
      <alignment horizontal="center" vertical="center"/>
      <protection locked="0"/>
    </xf>
    <xf numFmtId="0" fontId="9" fillId="3" borderId="2" xfId="1" applyFont="1" applyFill="1" applyBorder="1" applyProtection="1">
      <protection locked="0"/>
    </xf>
    <xf numFmtId="0" fontId="9" fillId="2" borderId="0" xfId="1" applyFont="1" applyFill="1" applyAlignment="1">
      <alignment vertical="center"/>
    </xf>
    <xf numFmtId="0" fontId="9" fillId="3" borderId="7" xfId="1" applyFont="1" applyFill="1" applyBorder="1"/>
    <xf numFmtId="0" fontId="9" fillId="3" borderId="0" xfId="1" applyFont="1" applyFill="1" applyAlignment="1" applyProtection="1">
      <alignment horizontal="left"/>
      <protection locked="0"/>
    </xf>
    <xf numFmtId="0" fontId="9" fillId="3" borderId="8" xfId="1" applyFont="1" applyFill="1" applyBorder="1"/>
    <xf numFmtId="0" fontId="9" fillId="3" borderId="10" xfId="1" applyFont="1" applyFill="1" applyBorder="1"/>
    <xf numFmtId="0" fontId="9" fillId="5" borderId="0" xfId="1" applyFont="1" applyFill="1"/>
    <xf numFmtId="0" fontId="14" fillId="5" borderId="0" xfId="1" applyFont="1" applyFill="1" applyAlignment="1">
      <alignment horizontal="center"/>
    </xf>
    <xf numFmtId="0" fontId="9" fillId="5" borderId="0" xfId="0" applyFont="1" applyFill="1"/>
    <xf numFmtId="0" fontId="14" fillId="5" borderId="0" xfId="1" applyFont="1" applyFill="1"/>
    <xf numFmtId="49" fontId="14" fillId="5" borderId="2" xfId="1" applyNumberFormat="1" applyFont="1" applyFill="1" applyBorder="1" applyAlignment="1" applyProtection="1">
      <alignment horizontal="center" vertical="center"/>
      <protection locked="0"/>
    </xf>
    <xf numFmtId="2" fontId="9" fillId="5" borderId="0" xfId="0" applyNumberFormat="1" applyFont="1" applyFill="1"/>
    <xf numFmtId="0" fontId="9" fillId="5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49" fontId="9" fillId="0" borderId="9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0" fontId="14" fillId="0" borderId="7" xfId="0" applyFont="1" applyBorder="1" applyAlignment="1">
      <alignment horizontal="right" vertical="center"/>
    </xf>
    <xf numFmtId="0" fontId="9" fillId="3" borderId="0" xfId="1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4" fillId="3" borderId="0" xfId="1" applyFont="1" applyFill="1" applyAlignment="1">
      <alignment vertical="center"/>
    </xf>
    <xf numFmtId="0" fontId="14" fillId="3" borderId="4" xfId="1" applyFont="1" applyFill="1" applyBorder="1" applyAlignment="1">
      <alignment vertical="center"/>
    </xf>
    <xf numFmtId="0" fontId="14" fillId="0" borderId="8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9" fillId="0" borderId="0" xfId="0" applyFont="1"/>
    <xf numFmtId="0" fontId="9" fillId="0" borderId="9" xfId="0" applyFont="1" applyBorder="1"/>
    <xf numFmtId="0" fontId="14" fillId="0" borderId="1" xfId="0" applyFont="1" applyBorder="1" applyAlignment="1">
      <alignment horizontal="right" vertical="center"/>
    </xf>
    <xf numFmtId="0" fontId="9" fillId="0" borderId="1" xfId="0" applyFont="1" applyBorder="1"/>
    <xf numFmtId="0" fontId="14" fillId="0" borderId="6" xfId="0" applyFont="1" applyBorder="1"/>
    <xf numFmtId="0" fontId="14" fillId="0" borderId="9" xfId="0" applyFont="1" applyBorder="1"/>
    <xf numFmtId="0" fontId="9" fillId="0" borderId="5" xfId="0" applyFont="1" applyBorder="1"/>
    <xf numFmtId="0" fontId="14" fillId="0" borderId="7" xfId="0" applyFont="1" applyBorder="1"/>
    <xf numFmtId="0" fontId="14" fillId="0" borderId="0" xfId="0" applyFont="1"/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10" xfId="0" applyFont="1" applyBorder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2" fontId="9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9" fillId="0" borderId="6" xfId="0" applyFont="1" applyBorder="1"/>
    <xf numFmtId="0" fontId="18" fillId="0" borderId="7" xfId="0" applyFont="1" applyBorder="1" applyAlignment="1">
      <alignment horizontal="right"/>
    </xf>
    <xf numFmtId="0" fontId="14" fillId="0" borderId="0" xfId="0" applyFont="1" applyAlignment="1">
      <alignment horizontal="right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4" fillId="0" borderId="7" xfId="0" applyFont="1" applyBorder="1" applyAlignment="1">
      <alignment horizontal="right"/>
    </xf>
    <xf numFmtId="0" fontId="9" fillId="0" borderId="0" xfId="0" applyFont="1" applyAlignment="1" applyProtection="1">
      <alignment horizontal="left" vertical="center"/>
      <protection locked="0"/>
    </xf>
    <xf numFmtId="0" fontId="24" fillId="0" borderId="9" xfId="0" applyFont="1" applyBorder="1"/>
    <xf numFmtId="0" fontId="24" fillId="0" borderId="0" xfId="0" applyFont="1"/>
    <xf numFmtId="0" fontId="24" fillId="0" borderId="1" xfId="0" applyFont="1" applyBorder="1"/>
    <xf numFmtId="0" fontId="14" fillId="0" borderId="12" xfId="0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3" fillId="0" borderId="13" xfId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9" fontId="9" fillId="0" borderId="0" xfId="0" applyNumberFormat="1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Protection="1">
      <protection locked="0"/>
    </xf>
    <xf numFmtId="0" fontId="20" fillId="3" borderId="0" xfId="1" applyFont="1" applyFill="1"/>
    <xf numFmtId="2" fontId="14" fillId="0" borderId="7" xfId="0" applyNumberFormat="1" applyFont="1" applyBorder="1" applyAlignment="1">
      <alignment vertical="center"/>
    </xf>
    <xf numFmtId="2" fontId="9" fillId="0" borderId="7" xfId="0" applyNumberFormat="1" applyFont="1" applyBorder="1" applyAlignment="1">
      <alignment vertical="center"/>
    </xf>
    <xf numFmtId="2" fontId="14" fillId="0" borderId="0" xfId="0" applyNumberFormat="1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16" fillId="6" borderId="12" xfId="1" applyFont="1" applyFill="1" applyBorder="1" applyAlignment="1">
      <alignment horizontal="center" vertical="center"/>
    </xf>
    <xf numFmtId="0" fontId="16" fillId="6" borderId="13" xfId="1" applyFont="1" applyFill="1" applyBorder="1" applyAlignment="1">
      <alignment horizontal="center" vertical="center"/>
    </xf>
    <xf numFmtId="0" fontId="16" fillId="6" borderId="14" xfId="1" applyFont="1" applyFill="1" applyBorder="1" applyAlignment="1">
      <alignment horizontal="center" vertical="center"/>
    </xf>
    <xf numFmtId="0" fontId="16" fillId="6" borderId="12" xfId="1" applyFont="1" applyFill="1" applyBorder="1" applyAlignment="1">
      <alignment horizontal="center" vertical="center" wrapText="1"/>
    </xf>
    <xf numFmtId="0" fontId="16" fillId="6" borderId="13" xfId="1" applyFont="1" applyFill="1" applyBorder="1" applyAlignment="1">
      <alignment horizontal="center" vertical="center" wrapText="1"/>
    </xf>
    <xf numFmtId="0" fontId="16" fillId="6" borderId="14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 applyProtection="1">
      <alignment horizontal="center" vertical="center"/>
      <protection locked="0"/>
    </xf>
    <xf numFmtId="0" fontId="9" fillId="3" borderId="2" xfId="1" applyFont="1" applyFill="1" applyBorder="1" applyAlignment="1" applyProtection="1">
      <alignment horizontal="center"/>
      <protection locked="0"/>
    </xf>
    <xf numFmtId="0" fontId="14" fillId="3" borderId="12" xfId="1" applyFont="1" applyFill="1" applyBorder="1" applyAlignment="1" applyProtection="1">
      <alignment horizontal="center" vertical="center"/>
      <protection locked="0"/>
    </xf>
    <xf numFmtId="0" fontId="14" fillId="3" borderId="13" xfId="1" applyFont="1" applyFill="1" applyBorder="1" applyAlignment="1" applyProtection="1">
      <alignment horizontal="center" vertical="center"/>
      <protection locked="0"/>
    </xf>
    <xf numFmtId="0" fontId="14" fillId="3" borderId="14" xfId="1" applyFont="1" applyFill="1" applyBorder="1" applyAlignment="1" applyProtection="1">
      <alignment horizontal="center" vertical="center"/>
      <protection locked="0"/>
    </xf>
    <xf numFmtId="0" fontId="14" fillId="3" borderId="12" xfId="1" applyFont="1" applyFill="1" applyBorder="1" applyAlignment="1">
      <alignment horizontal="center"/>
    </xf>
    <xf numFmtId="0" fontId="14" fillId="3" borderId="13" xfId="1" applyFont="1" applyFill="1" applyBorder="1" applyAlignment="1">
      <alignment horizontal="center"/>
    </xf>
    <xf numFmtId="0" fontId="14" fillId="3" borderId="14" xfId="1" applyFont="1" applyFill="1" applyBorder="1" applyAlignment="1">
      <alignment horizontal="center"/>
    </xf>
    <xf numFmtId="0" fontId="9" fillId="3" borderId="12" xfId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9" fillId="3" borderId="14" xfId="1" applyFont="1" applyFill="1" applyBorder="1" applyAlignment="1" applyProtection="1">
      <alignment horizontal="center" vertical="center"/>
      <protection locked="0"/>
    </xf>
    <xf numFmtId="0" fontId="9" fillId="3" borderId="12" xfId="1" applyFont="1" applyFill="1" applyBorder="1" applyAlignment="1" applyProtection="1">
      <alignment horizontal="center"/>
      <protection locked="0"/>
    </xf>
    <xf numFmtId="0" fontId="9" fillId="3" borderId="13" xfId="1" applyFont="1" applyFill="1" applyBorder="1" applyAlignment="1" applyProtection="1">
      <alignment horizontal="center"/>
      <protection locked="0"/>
    </xf>
    <xf numFmtId="0" fontId="9" fillId="3" borderId="14" xfId="1" applyFont="1" applyFill="1" applyBorder="1" applyAlignment="1" applyProtection="1">
      <alignment horizontal="center"/>
      <protection locked="0"/>
    </xf>
    <xf numFmtId="0" fontId="9" fillId="3" borderId="7" xfId="1" applyFont="1" applyFill="1" applyBorder="1" applyAlignment="1">
      <alignment horizontal="right" vertical="center"/>
    </xf>
    <xf numFmtId="0" fontId="9" fillId="3" borderId="0" xfId="1" applyFont="1" applyFill="1" applyAlignment="1">
      <alignment horizontal="right" vertical="center"/>
    </xf>
    <xf numFmtId="0" fontId="14" fillId="3" borderId="25" xfId="1" applyFont="1" applyFill="1" applyBorder="1" applyAlignment="1" applyProtection="1">
      <alignment horizontal="center"/>
      <protection locked="0"/>
    </xf>
    <xf numFmtId="0" fontId="14" fillId="3" borderId="24" xfId="1" applyFont="1" applyFill="1" applyBorder="1" applyAlignment="1" applyProtection="1">
      <alignment horizontal="center"/>
      <protection locked="0"/>
    </xf>
    <xf numFmtId="0" fontId="14" fillId="3" borderId="26" xfId="1" applyFont="1" applyFill="1" applyBorder="1" applyAlignment="1" applyProtection="1">
      <alignment horizontal="center"/>
      <protection locked="0"/>
    </xf>
    <xf numFmtId="0" fontId="14" fillId="3" borderId="27" xfId="1" applyFont="1" applyFill="1" applyBorder="1" applyAlignment="1" applyProtection="1">
      <alignment horizontal="center"/>
      <protection locked="0"/>
    </xf>
    <xf numFmtId="0" fontId="14" fillId="3" borderId="0" xfId="1" applyFont="1" applyFill="1" applyAlignment="1" applyProtection="1">
      <alignment horizontal="center"/>
      <protection locked="0"/>
    </xf>
    <xf numFmtId="0" fontId="14" fillId="3" borderId="28" xfId="1" applyFont="1" applyFill="1" applyBorder="1" applyAlignment="1" applyProtection="1">
      <alignment horizontal="center"/>
      <protection locked="0"/>
    </xf>
    <xf numFmtId="0" fontId="14" fillId="3" borderId="29" xfId="1" applyFont="1" applyFill="1" applyBorder="1" applyAlignment="1" applyProtection="1">
      <alignment horizontal="center"/>
      <protection locked="0"/>
    </xf>
    <xf numFmtId="0" fontId="14" fillId="3" borderId="30" xfId="1" applyFont="1" applyFill="1" applyBorder="1" applyAlignment="1" applyProtection="1">
      <alignment horizontal="center"/>
      <protection locked="0"/>
    </xf>
    <xf numFmtId="0" fontId="14" fillId="3" borderId="31" xfId="1" applyFont="1" applyFill="1" applyBorder="1" applyAlignment="1" applyProtection="1">
      <alignment horizontal="center"/>
      <protection locked="0"/>
    </xf>
    <xf numFmtId="0" fontId="14" fillId="3" borderId="12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horizontal="center" vertical="center"/>
    </xf>
    <xf numFmtId="0" fontId="14" fillId="3" borderId="14" xfId="1" applyFont="1" applyFill="1" applyBorder="1" applyAlignment="1">
      <alignment horizontal="center" vertical="center"/>
    </xf>
    <xf numFmtId="49" fontId="9" fillId="3" borderId="24" xfId="1" applyNumberFormat="1" applyFont="1" applyFill="1" applyBorder="1" applyAlignment="1">
      <alignment horizontal="center" wrapText="1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4" xfId="1" applyFont="1" applyFill="1" applyBorder="1" applyAlignment="1">
      <alignment horizontal="center"/>
    </xf>
    <xf numFmtId="0" fontId="14" fillId="3" borderId="12" xfId="1" applyFont="1" applyFill="1" applyBorder="1" applyAlignment="1">
      <alignment horizontal="center" vertical="center" wrapText="1"/>
    </xf>
    <xf numFmtId="0" fontId="14" fillId="3" borderId="13" xfId="1" applyFont="1" applyFill="1" applyBorder="1" applyAlignment="1">
      <alignment horizontal="center" vertical="center" wrapText="1"/>
    </xf>
    <xf numFmtId="0" fontId="14" fillId="3" borderId="14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center"/>
    </xf>
    <xf numFmtId="0" fontId="12" fillId="3" borderId="0" xfId="1" applyFont="1" applyFill="1" applyAlignment="1">
      <alignment horizontal="left" vertical="center"/>
    </xf>
    <xf numFmtId="0" fontId="9" fillId="2" borderId="0" xfId="1" applyFont="1" applyFill="1" applyAlignment="1">
      <alignment horizontal="right" vertical="center"/>
    </xf>
    <xf numFmtId="0" fontId="15" fillId="3" borderId="0" xfId="1" applyFont="1" applyFill="1" applyAlignment="1">
      <alignment horizontal="center"/>
    </xf>
    <xf numFmtId="0" fontId="15" fillId="3" borderId="4" xfId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3" borderId="0" xfId="1" applyFont="1" applyFill="1" applyAlignment="1">
      <alignment horizontal="center"/>
    </xf>
    <xf numFmtId="0" fontId="9" fillId="5" borderId="0" xfId="1" applyFont="1" applyFill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0" fontId="9" fillId="3" borderId="1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/>
    </xf>
    <xf numFmtId="0" fontId="14" fillId="7" borderId="13" xfId="1" applyFont="1" applyFill="1" applyBorder="1" applyAlignment="1">
      <alignment horizontal="center"/>
    </xf>
    <xf numFmtId="0" fontId="14" fillId="7" borderId="14" xfId="1" applyFont="1" applyFill="1" applyBorder="1" applyAlignment="1">
      <alignment horizontal="center"/>
    </xf>
    <xf numFmtId="0" fontId="9" fillId="3" borderId="14" xfId="1" applyFont="1" applyFill="1" applyBorder="1" applyProtection="1">
      <protection locked="0"/>
    </xf>
    <xf numFmtId="2" fontId="9" fillId="3" borderId="12" xfId="1" applyNumberFormat="1" applyFont="1" applyFill="1" applyBorder="1" applyAlignment="1" applyProtection="1">
      <alignment horizontal="center" vertical="center"/>
      <protection locked="0"/>
    </xf>
    <xf numFmtId="2" fontId="9" fillId="3" borderId="13" xfId="1" applyNumberFormat="1" applyFont="1" applyFill="1" applyBorder="1" applyAlignment="1" applyProtection="1">
      <alignment horizontal="center" vertical="center"/>
      <protection locked="0"/>
    </xf>
    <xf numFmtId="2" fontId="9" fillId="3" borderId="14" xfId="1" applyNumberFormat="1" applyFont="1" applyFill="1" applyBorder="1" applyAlignment="1" applyProtection="1">
      <alignment horizontal="center" vertical="center"/>
      <protection locked="0"/>
    </xf>
    <xf numFmtId="0" fontId="14" fillId="8" borderId="12" xfId="1" applyFont="1" applyFill="1" applyBorder="1" applyAlignment="1">
      <alignment horizontal="center"/>
    </xf>
    <xf numFmtId="0" fontId="14" fillId="8" borderId="13" xfId="1" applyFont="1" applyFill="1" applyBorder="1" applyAlignment="1">
      <alignment horizontal="center"/>
    </xf>
    <xf numFmtId="0" fontId="14" fillId="8" borderId="14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9" fillId="3" borderId="10" xfId="1" applyFont="1" applyFill="1" applyBorder="1" applyAlignment="1">
      <alignment horizontal="center"/>
    </xf>
    <xf numFmtId="0" fontId="14" fillId="3" borderId="2" xfId="1" applyFont="1" applyFill="1" applyBorder="1" applyAlignment="1">
      <alignment horizontal="center" vertical="center" wrapText="1"/>
    </xf>
    <xf numFmtId="49" fontId="9" fillId="3" borderId="24" xfId="1" applyNumberFormat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/>
    </xf>
    <xf numFmtId="0" fontId="14" fillId="3" borderId="2" xfId="1" applyFont="1" applyFill="1" applyBorder="1" applyAlignment="1" applyProtection="1">
      <alignment horizontal="center"/>
      <protection locked="0"/>
    </xf>
    <xf numFmtId="0" fontId="16" fillId="6" borderId="2" xfId="1" applyFont="1" applyFill="1" applyBorder="1" applyAlignment="1">
      <alignment horizontal="center" vertical="center" wrapText="1"/>
    </xf>
    <xf numFmtId="0" fontId="14" fillId="3" borderId="6" xfId="1" applyFont="1" applyFill="1" applyBorder="1" applyAlignment="1">
      <alignment horizontal="center"/>
    </xf>
    <xf numFmtId="0" fontId="14" fillId="3" borderId="9" xfId="1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9" fillId="3" borderId="12" xfId="1" applyFont="1" applyFill="1" applyBorder="1" applyAlignment="1" applyProtection="1">
      <alignment horizontal="left"/>
      <protection locked="0"/>
    </xf>
    <xf numFmtId="0" fontId="9" fillId="3" borderId="13" xfId="1" applyFont="1" applyFill="1" applyBorder="1" applyAlignment="1" applyProtection="1">
      <alignment horizontal="left"/>
      <protection locked="0"/>
    </xf>
    <xf numFmtId="0" fontId="9" fillId="3" borderId="14" xfId="1" applyFont="1" applyFill="1" applyBorder="1" applyAlignment="1" applyProtection="1">
      <alignment horizontal="left"/>
      <protection locked="0"/>
    </xf>
    <xf numFmtId="0" fontId="9" fillId="3" borderId="0" xfId="1" applyFont="1" applyFill="1" applyAlignment="1" applyProtection="1">
      <alignment horizontal="left"/>
      <protection locked="0"/>
    </xf>
    <xf numFmtId="0" fontId="14" fillId="6" borderId="12" xfId="1" applyFont="1" applyFill="1" applyBorder="1" applyAlignment="1">
      <alignment horizontal="center"/>
    </xf>
    <xf numFmtId="0" fontId="14" fillId="6" borderId="13" xfId="1" applyFont="1" applyFill="1" applyBorder="1" applyAlignment="1">
      <alignment horizontal="center"/>
    </xf>
    <xf numFmtId="0" fontId="14" fillId="6" borderId="14" xfId="1" applyFont="1" applyFill="1" applyBorder="1" applyAlignment="1">
      <alignment horizontal="center"/>
    </xf>
    <xf numFmtId="0" fontId="14" fillId="5" borderId="0" xfId="1" applyFont="1" applyFill="1" applyAlignment="1">
      <alignment horizontal="center" vertical="center"/>
    </xf>
    <xf numFmtId="0" fontId="14" fillId="5" borderId="9" xfId="1" applyFont="1" applyFill="1" applyBorder="1" applyAlignment="1">
      <alignment horizontal="center"/>
    </xf>
    <xf numFmtId="0" fontId="9" fillId="5" borderId="0" xfId="1" applyFont="1" applyFill="1" applyAlignment="1">
      <alignment horizontal="left" vertical="center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2" fontId="9" fillId="0" borderId="13" xfId="0" applyNumberFormat="1" applyFont="1" applyBorder="1" applyAlignment="1" applyProtection="1">
      <alignment horizontal="center" vertical="center"/>
      <protection locked="0"/>
    </xf>
    <xf numFmtId="2" fontId="9" fillId="0" borderId="14" xfId="0" applyNumberFormat="1" applyFont="1" applyBorder="1" applyAlignment="1" applyProtection="1">
      <alignment horizontal="center" vertical="center"/>
      <protection locked="0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6" fontId="9" fillId="5" borderId="12" xfId="0" applyNumberFormat="1" applyFont="1" applyFill="1" applyBorder="1" applyAlignment="1">
      <alignment horizontal="center" vertical="center"/>
    </xf>
    <xf numFmtId="166" fontId="9" fillId="5" borderId="13" xfId="0" applyNumberFormat="1" applyFont="1" applyFill="1" applyBorder="1" applyAlignment="1">
      <alignment horizontal="center" vertical="center"/>
    </xf>
    <xf numFmtId="166" fontId="9" fillId="5" borderId="14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14" fillId="6" borderId="12" xfId="0" applyNumberFormat="1" applyFont="1" applyFill="1" applyBorder="1" applyAlignment="1">
      <alignment horizontal="center" vertical="center"/>
    </xf>
    <xf numFmtId="2" fontId="14" fillId="6" borderId="13" xfId="0" applyNumberFormat="1" applyFont="1" applyFill="1" applyBorder="1" applyAlignment="1">
      <alignment horizontal="center" vertical="center"/>
    </xf>
    <xf numFmtId="2" fontId="14" fillId="6" borderId="14" xfId="0" applyNumberFormat="1" applyFont="1" applyFill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2" fontId="14" fillId="0" borderId="13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2" fontId="14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4" fillId="0" borderId="6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4" fillId="0" borderId="2" xfId="0" applyFont="1" applyBorder="1" applyAlignment="1">
      <alignment horizontal="center"/>
    </xf>
    <xf numFmtId="0" fontId="14" fillId="6" borderId="6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8FC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290" name="Text Box 11">
          <a:extLst>
            <a:ext uri="{FF2B5EF4-FFF2-40B4-BE49-F238E27FC236}">
              <a16:creationId xmlns:a16="http://schemas.microsoft.com/office/drawing/2014/main" id="{00000000-0008-0000-0000-000002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38100</xdr:colOff>
      <xdr:row>36</xdr:row>
      <xdr:rowOff>68580</xdr:rowOff>
    </xdr:to>
    <xdr:sp macro="" textlink="">
      <xdr:nvSpPr>
        <xdr:cNvPr id="236291" name="Text Box 12">
          <a:extLst>
            <a:ext uri="{FF2B5EF4-FFF2-40B4-BE49-F238E27FC236}">
              <a16:creationId xmlns:a16="http://schemas.microsoft.com/office/drawing/2014/main" id="{00000000-0008-0000-0000-0000039B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123825</xdr:colOff>
      <xdr:row>36</xdr:row>
      <xdr:rowOff>68580</xdr:rowOff>
    </xdr:to>
    <xdr:sp macro="" textlink="">
      <xdr:nvSpPr>
        <xdr:cNvPr id="236292" name="Text Box 13">
          <a:extLst>
            <a:ext uri="{FF2B5EF4-FFF2-40B4-BE49-F238E27FC236}">
              <a16:creationId xmlns:a16="http://schemas.microsoft.com/office/drawing/2014/main" id="{00000000-0008-0000-0000-0000049B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400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247650</xdr:colOff>
      <xdr:row>36</xdr:row>
      <xdr:rowOff>38100</xdr:rowOff>
    </xdr:to>
    <xdr:sp macro="" textlink="">
      <xdr:nvSpPr>
        <xdr:cNvPr id="236293" name="Text Box 14">
          <a:extLst>
            <a:ext uri="{FF2B5EF4-FFF2-40B4-BE49-F238E27FC236}">
              <a16:creationId xmlns:a16="http://schemas.microsoft.com/office/drawing/2014/main" id="{00000000-0008-0000-0000-0000059B0300}"/>
            </a:ext>
          </a:extLst>
        </xdr:cNvPr>
        <xdr:cNvSpPr txBox="1">
          <a:spLocks noChangeArrowheads="1"/>
        </xdr:cNvSpPr>
      </xdr:nvSpPr>
      <xdr:spPr bwMode="auto">
        <a:xfrm>
          <a:off x="681228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36</xdr:row>
      <xdr:rowOff>38100</xdr:rowOff>
    </xdr:from>
    <xdr:to>
      <xdr:col>38</xdr:col>
      <xdr:colOff>0</xdr:colOff>
      <xdr:row>37</xdr:row>
      <xdr:rowOff>7620</xdr:rowOff>
    </xdr:to>
    <xdr:sp macro="" textlink="">
      <xdr:nvSpPr>
        <xdr:cNvPr id="236294" name="Text Box 15">
          <a:extLst>
            <a:ext uri="{FF2B5EF4-FFF2-40B4-BE49-F238E27FC236}">
              <a16:creationId xmlns:a16="http://schemas.microsoft.com/office/drawing/2014/main" id="{00000000-0008-0000-0000-0000069B0300}"/>
            </a:ext>
          </a:extLst>
        </xdr:cNvPr>
        <xdr:cNvSpPr txBox="1">
          <a:spLocks noChangeArrowheads="1"/>
        </xdr:cNvSpPr>
      </xdr:nvSpPr>
      <xdr:spPr bwMode="auto">
        <a:xfrm>
          <a:off x="6781800" y="7025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32</xdr:row>
      <xdr:rowOff>83820</xdr:rowOff>
    </xdr:to>
    <xdr:sp macro="" textlink="">
      <xdr:nvSpPr>
        <xdr:cNvPr id="236295" name="Text Box 1490">
          <a:extLst>
            <a:ext uri="{FF2B5EF4-FFF2-40B4-BE49-F238E27FC236}">
              <a16:creationId xmlns:a16="http://schemas.microsoft.com/office/drawing/2014/main" id="{00000000-0008-0000-0000-000007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36296" name="Text Box 1494">
          <a:extLst>
            <a:ext uri="{FF2B5EF4-FFF2-40B4-BE49-F238E27FC236}">
              <a16:creationId xmlns:a16="http://schemas.microsoft.com/office/drawing/2014/main" id="{00000000-0008-0000-0000-0000089B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05150" y="3219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2409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90774" y="3133725"/>
          <a:ext cx="257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95625" y="27432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38550" y="31146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33</xdr:row>
      <xdr:rowOff>34925</xdr:rowOff>
    </xdr:from>
    <xdr:to>
      <xdr:col>29</xdr:col>
      <xdr:colOff>96558</xdr:colOff>
      <xdr:row>35</xdr:row>
      <xdr:rowOff>34925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95850" y="3819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52700" y="2676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33</xdr:row>
      <xdr:rowOff>76200</xdr:rowOff>
    </xdr:from>
    <xdr:to>
      <xdr:col>26</xdr:col>
      <xdr:colOff>57306</xdr:colOff>
      <xdr:row>35</xdr:row>
      <xdr:rowOff>76200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371975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33</xdr:row>
      <xdr:rowOff>111125</xdr:rowOff>
    </xdr:from>
    <xdr:to>
      <xdr:col>22</xdr:col>
      <xdr:colOff>19245</xdr:colOff>
      <xdr:row>35</xdr:row>
      <xdr:rowOff>111125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2902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32</xdr:row>
      <xdr:rowOff>95250</xdr:rowOff>
    </xdr:from>
    <xdr:to>
      <xdr:col>20</xdr:col>
      <xdr:colOff>0</xdr:colOff>
      <xdr:row>34</xdr:row>
      <xdr:rowOff>95250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95650" y="37623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52925" y="33909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33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000500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33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619375" y="39052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33</xdr:row>
      <xdr:rowOff>111125</xdr:rowOff>
    </xdr:from>
    <xdr:to>
      <xdr:col>18</xdr:col>
      <xdr:colOff>73148</xdr:colOff>
      <xdr:row>35</xdr:row>
      <xdr:rowOff>111125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11467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8675" y="27051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76800" y="3171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32</xdr:row>
      <xdr:rowOff>57462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4714875" y="3438525"/>
          <a:ext cx="3619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57150</xdr:rowOff>
    </xdr:from>
    <xdr:to>
      <xdr:col>27</xdr:col>
      <xdr:colOff>124973</xdr:colOff>
      <xdr:row>36</xdr:row>
      <xdr:rowOff>67046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581525" y="3981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61296</xdr:colOff>
      <xdr:row>40</xdr:row>
      <xdr:rowOff>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4850" y="44100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23689</xdr:colOff>
      <xdr:row>38</xdr:row>
      <xdr:rowOff>38527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524375" y="42481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47950" y="26479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102972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57400" y="4181474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9576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162425" y="434339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321" name="Text Box 11">
          <a:extLst>
            <a:ext uri="{FF2B5EF4-FFF2-40B4-BE49-F238E27FC236}">
              <a16:creationId xmlns:a16="http://schemas.microsoft.com/office/drawing/2014/main" id="{00000000-0008-0000-0000-000021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38100</xdr:colOff>
      <xdr:row>26</xdr:row>
      <xdr:rowOff>60960</xdr:rowOff>
    </xdr:to>
    <xdr:sp macro="" textlink="">
      <xdr:nvSpPr>
        <xdr:cNvPr id="236322" name="Text Box 12">
          <a:extLst>
            <a:ext uri="{FF2B5EF4-FFF2-40B4-BE49-F238E27FC236}">
              <a16:creationId xmlns:a16="http://schemas.microsoft.com/office/drawing/2014/main" id="{00000000-0008-0000-0000-0000229B0300}"/>
            </a:ext>
          </a:extLst>
        </xdr:cNvPr>
        <xdr:cNvSpPr txBox="1">
          <a:spLocks noChangeArrowheads="1"/>
        </xdr:cNvSpPr>
      </xdr:nvSpPr>
      <xdr:spPr bwMode="auto">
        <a:xfrm>
          <a:off x="6118860" y="4975860"/>
          <a:ext cx="70866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123825</xdr:colOff>
      <xdr:row>26</xdr:row>
      <xdr:rowOff>60960</xdr:rowOff>
    </xdr:to>
    <xdr:sp macro="" textlink="">
      <xdr:nvSpPr>
        <xdr:cNvPr id="236323" name="Text Box 13">
          <a:extLst>
            <a:ext uri="{FF2B5EF4-FFF2-40B4-BE49-F238E27FC236}">
              <a16:creationId xmlns:a16="http://schemas.microsoft.com/office/drawing/2014/main" id="{00000000-0008-0000-0000-0000239B0300}"/>
            </a:ext>
          </a:extLst>
        </xdr:cNvPr>
        <xdr:cNvSpPr txBox="1">
          <a:spLocks noChangeArrowheads="1"/>
        </xdr:cNvSpPr>
      </xdr:nvSpPr>
      <xdr:spPr bwMode="auto">
        <a:xfrm>
          <a:off x="4023360" y="4975860"/>
          <a:ext cx="6400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37</xdr:col>
      <xdr:colOff>247650</xdr:colOff>
      <xdr:row>26</xdr:row>
      <xdr:rowOff>38100</xdr:rowOff>
    </xdr:to>
    <xdr:sp macro="" textlink="">
      <xdr:nvSpPr>
        <xdr:cNvPr id="236324" name="Text Box 14">
          <a:extLst>
            <a:ext uri="{FF2B5EF4-FFF2-40B4-BE49-F238E27FC236}">
              <a16:creationId xmlns:a16="http://schemas.microsoft.com/office/drawing/2014/main" id="{00000000-0008-0000-0000-0000249B0300}"/>
            </a:ext>
          </a:extLst>
        </xdr:cNvPr>
        <xdr:cNvSpPr txBox="1">
          <a:spLocks noChangeArrowheads="1"/>
        </xdr:cNvSpPr>
      </xdr:nvSpPr>
      <xdr:spPr bwMode="auto">
        <a:xfrm>
          <a:off x="6812280" y="4930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26</xdr:row>
      <xdr:rowOff>38100</xdr:rowOff>
    </xdr:from>
    <xdr:to>
      <xdr:col>38</xdr:col>
      <xdr:colOff>0</xdr:colOff>
      <xdr:row>27</xdr:row>
      <xdr:rowOff>7620</xdr:rowOff>
    </xdr:to>
    <xdr:sp macro="" textlink="">
      <xdr:nvSpPr>
        <xdr:cNvPr id="236325" name="Text Box 15">
          <a:extLst>
            <a:ext uri="{FF2B5EF4-FFF2-40B4-BE49-F238E27FC236}">
              <a16:creationId xmlns:a16="http://schemas.microsoft.com/office/drawing/2014/main" id="{00000000-0008-0000-0000-0000259B0300}"/>
            </a:ext>
          </a:extLst>
        </xdr:cNvPr>
        <xdr:cNvSpPr txBox="1">
          <a:spLocks noChangeArrowheads="1"/>
        </xdr:cNvSpPr>
      </xdr:nvSpPr>
      <xdr:spPr bwMode="auto">
        <a:xfrm>
          <a:off x="6781800" y="5120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36326" name="Text Box 1490">
          <a:extLst>
            <a:ext uri="{FF2B5EF4-FFF2-40B4-BE49-F238E27FC236}">
              <a16:creationId xmlns:a16="http://schemas.microsoft.com/office/drawing/2014/main" id="{00000000-0008-0000-0000-000026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31</xdr:row>
      <xdr:rowOff>45720</xdr:rowOff>
    </xdr:from>
    <xdr:to>
      <xdr:col>31</xdr:col>
      <xdr:colOff>91440</xdr:colOff>
      <xdr:row>32</xdr:row>
      <xdr:rowOff>30480</xdr:rowOff>
    </xdr:to>
    <xdr:sp macro="" textlink="">
      <xdr:nvSpPr>
        <xdr:cNvPr id="236327" name="Text Box 1494">
          <a:extLst>
            <a:ext uri="{FF2B5EF4-FFF2-40B4-BE49-F238E27FC236}">
              <a16:creationId xmlns:a16="http://schemas.microsoft.com/office/drawing/2014/main" id="{00000000-0008-0000-0000-0000279B0300}"/>
            </a:ext>
          </a:extLst>
        </xdr:cNvPr>
        <xdr:cNvSpPr txBox="1">
          <a:spLocks noChangeArrowheads="1"/>
        </xdr:cNvSpPr>
      </xdr:nvSpPr>
      <xdr:spPr bwMode="auto">
        <a:xfrm>
          <a:off x="5920740" y="6080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2512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5082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4542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543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7846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96558</xdr:colOff>
      <xdr:row>25</xdr:row>
      <xdr:rowOff>34925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54600" y="4540250"/>
          <a:ext cx="2728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162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24375" y="45815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784600" y="4616450"/>
          <a:ext cx="23491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102870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48050" y="44100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5053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152900" y="4581525"/>
          <a:ext cx="25407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92400" y="4619625"/>
          <a:ext cx="2283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263900" y="4616450"/>
          <a:ext cx="2382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7879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355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 flipH="1">
          <a:off x="48672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64770</xdr:rowOff>
    </xdr:from>
    <xdr:to>
      <xdr:col>27</xdr:col>
      <xdr:colOff>124973</xdr:colOff>
      <xdr:row>26</xdr:row>
      <xdr:rowOff>67011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33925" y="4752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61296</xdr:colOff>
      <xdr:row>32</xdr:row>
      <xdr:rowOff>0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51375" y="5457825"/>
          <a:ext cx="269589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67250" y="5172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146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102972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022475" y="5095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64769</xdr:rowOff>
    </xdr:from>
    <xdr:to>
      <xdr:col>25</xdr:col>
      <xdr:colOff>236</xdr:colOff>
      <xdr:row>31</xdr:row>
      <xdr:rowOff>9553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314825" y="5324474"/>
          <a:ext cx="190736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6</xdr:col>
      <xdr:colOff>92177</xdr:colOff>
      <xdr:row>1</xdr:row>
      <xdr:rowOff>92178</xdr:rowOff>
    </xdr:from>
    <xdr:to>
      <xdr:col>16</xdr:col>
      <xdr:colOff>77015</xdr:colOff>
      <xdr:row>3</xdr:row>
      <xdr:rowOff>163871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145" y="337984"/>
          <a:ext cx="1838628" cy="706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7" name="Check Box 653" hidden="1">
              <a:extLst>
                <a:ext uri="{63B3BB69-23CF-44E3-9099-C40C66FF867C}">
                  <a14:compatExt spid="_x0000_s211597"/>
                </a:ext>
                <a:ext uri="{FF2B5EF4-FFF2-40B4-BE49-F238E27FC236}">
                  <a16:creationId xmlns:a16="http://schemas.microsoft.com/office/drawing/2014/main" id="{00000000-0008-0000-0100-00008D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8" name="Check Box 654" hidden="1">
              <a:extLst>
                <a:ext uri="{63B3BB69-23CF-44E3-9099-C40C66FF867C}">
                  <a14:compatExt spid="_x0000_s211598"/>
                </a:ext>
                <a:ext uri="{FF2B5EF4-FFF2-40B4-BE49-F238E27FC236}">
                  <a16:creationId xmlns:a16="http://schemas.microsoft.com/office/drawing/2014/main" id="{00000000-0008-0000-0100-00008E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9" name="Check Box 655" hidden="1">
              <a:extLst>
                <a:ext uri="{63B3BB69-23CF-44E3-9099-C40C66FF867C}">
                  <a14:compatExt spid="_x0000_s211599"/>
                </a:ext>
                <a:ext uri="{FF2B5EF4-FFF2-40B4-BE49-F238E27FC236}">
                  <a16:creationId xmlns:a16="http://schemas.microsoft.com/office/drawing/2014/main" id="{00000000-0008-0000-0100-00008F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0" name="Check Box 656" hidden="1">
              <a:extLst>
                <a:ext uri="{63B3BB69-23CF-44E3-9099-C40C66FF867C}">
                  <a14:compatExt spid="_x0000_s211600"/>
                </a:ext>
                <a:ext uri="{FF2B5EF4-FFF2-40B4-BE49-F238E27FC236}">
                  <a16:creationId xmlns:a16="http://schemas.microsoft.com/office/drawing/2014/main" id="{00000000-0008-0000-0100-000090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1" name="Check Box 657" hidden="1">
              <a:extLst>
                <a:ext uri="{63B3BB69-23CF-44E3-9099-C40C66FF867C}">
                  <a14:compatExt spid="_x0000_s211601"/>
                </a:ext>
                <a:ext uri="{FF2B5EF4-FFF2-40B4-BE49-F238E27FC236}">
                  <a16:creationId xmlns:a16="http://schemas.microsoft.com/office/drawing/2014/main" id="{00000000-0008-0000-0100-000091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2" name="Check Box 658" hidden="1">
              <a:extLst>
                <a:ext uri="{63B3BB69-23CF-44E3-9099-C40C66FF867C}">
                  <a14:compatExt spid="_x0000_s211602"/>
                </a:ext>
                <a:ext uri="{FF2B5EF4-FFF2-40B4-BE49-F238E27FC236}">
                  <a16:creationId xmlns:a16="http://schemas.microsoft.com/office/drawing/2014/main" id="{00000000-0008-0000-0100-000092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3" name="Check Box 659" hidden="1">
              <a:extLst>
                <a:ext uri="{63B3BB69-23CF-44E3-9099-C40C66FF867C}">
                  <a14:compatExt spid="_x0000_s211603"/>
                </a:ext>
                <a:ext uri="{FF2B5EF4-FFF2-40B4-BE49-F238E27FC236}">
                  <a16:creationId xmlns:a16="http://schemas.microsoft.com/office/drawing/2014/main" id="{00000000-0008-0000-0100-000093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50" name="Check Box 1006" hidden="1">
              <a:extLst>
                <a:ext uri="{63B3BB69-23CF-44E3-9099-C40C66FF867C}">
                  <a14:compatExt spid="_x0000_s211950"/>
                </a:ext>
                <a:ext uri="{FF2B5EF4-FFF2-40B4-BE49-F238E27FC236}">
                  <a16:creationId xmlns:a16="http://schemas.microsoft.com/office/drawing/2014/main" id="{00000000-0008-0000-0100-0000E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51" name="Check Box 1007" hidden="1">
              <a:extLst>
                <a:ext uri="{63B3BB69-23CF-44E3-9099-C40C66FF867C}">
                  <a14:compatExt spid="_x0000_s211951"/>
                </a:ext>
                <a:ext uri="{FF2B5EF4-FFF2-40B4-BE49-F238E27FC236}">
                  <a16:creationId xmlns:a16="http://schemas.microsoft.com/office/drawing/2014/main" id="{00000000-0008-0000-0100-0000EF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190500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1952" name="Check Box 1008" hidden="1">
              <a:extLst>
                <a:ext uri="{63B3BB69-23CF-44E3-9099-C40C66FF867C}">
                  <a14:compatExt spid="_x0000_s211952"/>
                </a:ext>
                <a:ext uri="{FF2B5EF4-FFF2-40B4-BE49-F238E27FC236}">
                  <a16:creationId xmlns:a16="http://schemas.microsoft.com/office/drawing/2014/main" id="{00000000-0008-0000-0100-0000F0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19050</xdr:rowOff>
        </xdr:from>
        <xdr:to>
          <xdr:col>4</xdr:col>
          <xdr:colOff>0</xdr:colOff>
          <xdr:row>10</xdr:row>
          <xdr:rowOff>9525</xdr:rowOff>
        </xdr:to>
        <xdr:sp macro="" textlink="">
          <xdr:nvSpPr>
            <xdr:cNvPr id="211953" name="Check Box 1009" hidden="1">
              <a:extLst>
                <a:ext uri="{63B3BB69-23CF-44E3-9099-C40C66FF867C}">
                  <a14:compatExt spid="_x0000_s211953"/>
                </a:ext>
                <a:ext uri="{FF2B5EF4-FFF2-40B4-BE49-F238E27FC236}">
                  <a16:creationId xmlns:a16="http://schemas.microsoft.com/office/drawing/2014/main" id="{00000000-0008-0000-0100-0000F1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6</xdr:row>
          <xdr:rowOff>9525</xdr:rowOff>
        </xdr:from>
        <xdr:to>
          <xdr:col>12</xdr:col>
          <xdr:colOff>9525</xdr:colOff>
          <xdr:row>7</xdr:row>
          <xdr:rowOff>0</xdr:rowOff>
        </xdr:to>
        <xdr:sp macro="" textlink="">
          <xdr:nvSpPr>
            <xdr:cNvPr id="211954" name="Check Box 1010" hidden="1">
              <a:extLst>
                <a:ext uri="{63B3BB69-23CF-44E3-9099-C40C66FF867C}">
                  <a14:compatExt spid="_x0000_s211954"/>
                </a:ext>
                <a:ext uri="{FF2B5EF4-FFF2-40B4-BE49-F238E27FC236}">
                  <a16:creationId xmlns:a16="http://schemas.microsoft.com/office/drawing/2014/main" id="{00000000-0008-0000-0100-0000F2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7</xdr:row>
          <xdr:rowOff>9525</xdr:rowOff>
        </xdr:from>
        <xdr:to>
          <xdr:col>12</xdr:col>
          <xdr:colOff>9525</xdr:colOff>
          <xdr:row>8</xdr:row>
          <xdr:rowOff>0</xdr:rowOff>
        </xdr:to>
        <xdr:sp macro="" textlink="">
          <xdr:nvSpPr>
            <xdr:cNvPr id="211955" name="Check Box 1011" hidden="1">
              <a:extLst>
                <a:ext uri="{63B3BB69-23CF-44E3-9099-C40C66FF867C}">
                  <a14:compatExt spid="_x0000_s211955"/>
                </a:ext>
                <a:ext uri="{FF2B5EF4-FFF2-40B4-BE49-F238E27FC236}">
                  <a16:creationId xmlns:a16="http://schemas.microsoft.com/office/drawing/2014/main" id="{00000000-0008-0000-0100-0000F3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695325</xdr:colOff>
          <xdr:row>8</xdr:row>
          <xdr:rowOff>9525</xdr:rowOff>
        </xdr:from>
        <xdr:to>
          <xdr:col>12</xdr:col>
          <xdr:colOff>9525</xdr:colOff>
          <xdr:row>9</xdr:row>
          <xdr:rowOff>0</xdr:rowOff>
        </xdr:to>
        <xdr:sp macro="" textlink="">
          <xdr:nvSpPr>
            <xdr:cNvPr id="211956" name="Check Box 1012" hidden="1">
              <a:extLst>
                <a:ext uri="{63B3BB69-23CF-44E3-9099-C40C66FF867C}">
                  <a14:compatExt spid="_x0000_s211956"/>
                </a:ext>
                <a:ext uri="{FF2B5EF4-FFF2-40B4-BE49-F238E27FC236}">
                  <a16:creationId xmlns:a16="http://schemas.microsoft.com/office/drawing/2014/main" id="{00000000-0008-0000-0100-0000F4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124239</xdr:colOff>
      <xdr:row>1</xdr:row>
      <xdr:rowOff>57979</xdr:rowOff>
    </xdr:from>
    <xdr:to>
      <xdr:col>2</xdr:col>
      <xdr:colOff>121945</xdr:colOff>
      <xdr:row>2</xdr:row>
      <xdr:rowOff>289892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39" y="306457"/>
          <a:ext cx="1529989" cy="588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8</xdr:row>
          <xdr:rowOff>38100</xdr:rowOff>
        </xdr:from>
        <xdr:to>
          <xdr:col>3</xdr:col>
          <xdr:colOff>0</xdr:colOff>
          <xdr:row>9</xdr:row>
          <xdr:rowOff>171450</xdr:rowOff>
        </xdr:to>
        <xdr:sp macro="" textlink="">
          <xdr:nvSpPr>
            <xdr:cNvPr id="234498" name="Check Box 2" hidden="1">
              <a:extLst>
                <a:ext uri="{63B3BB69-23CF-44E3-9099-C40C66FF867C}">
                  <a14:compatExt spid="_x0000_s234498"/>
                </a:ext>
                <a:ext uri="{FF2B5EF4-FFF2-40B4-BE49-F238E27FC236}">
                  <a16:creationId xmlns:a16="http://schemas.microsoft.com/office/drawing/2014/main" id="{00000000-0008-0000-0200-000002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9</xdr:row>
          <xdr:rowOff>161925</xdr:rowOff>
        </xdr:from>
        <xdr:to>
          <xdr:col>3</xdr:col>
          <xdr:colOff>0</xdr:colOff>
          <xdr:row>10</xdr:row>
          <xdr:rowOff>85725</xdr:rowOff>
        </xdr:to>
        <xdr:sp macro="" textlink="">
          <xdr:nvSpPr>
            <xdr:cNvPr id="234499" name="Check Box 3" hidden="1">
              <a:extLst>
                <a:ext uri="{63B3BB69-23CF-44E3-9099-C40C66FF867C}">
                  <a14:compatExt spid="_x0000_s234499"/>
                </a:ext>
                <a:ext uri="{FF2B5EF4-FFF2-40B4-BE49-F238E27FC236}">
                  <a16:creationId xmlns:a16="http://schemas.microsoft.com/office/drawing/2014/main" id="{00000000-0008-0000-0200-000003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10</xdr:row>
          <xdr:rowOff>142875</xdr:rowOff>
        </xdr:from>
        <xdr:to>
          <xdr:col>3</xdr:col>
          <xdr:colOff>0</xdr:colOff>
          <xdr:row>11</xdr:row>
          <xdr:rowOff>85725</xdr:rowOff>
        </xdr:to>
        <xdr:sp macro="" textlink="">
          <xdr:nvSpPr>
            <xdr:cNvPr id="234500" name="Check Box 4" hidden="1">
              <a:extLst>
                <a:ext uri="{63B3BB69-23CF-44E3-9099-C40C66FF867C}">
                  <a14:compatExt spid="_x0000_s234500"/>
                </a:ext>
                <a:ext uri="{FF2B5EF4-FFF2-40B4-BE49-F238E27FC236}">
                  <a16:creationId xmlns:a16="http://schemas.microsoft.com/office/drawing/2014/main" id="{00000000-0008-0000-0200-000004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12</xdr:row>
          <xdr:rowOff>0</xdr:rowOff>
        </xdr:from>
        <xdr:to>
          <xdr:col>3</xdr:col>
          <xdr:colOff>0</xdr:colOff>
          <xdr:row>12</xdr:row>
          <xdr:rowOff>180975</xdr:rowOff>
        </xdr:to>
        <xdr:sp macro="" textlink="">
          <xdr:nvSpPr>
            <xdr:cNvPr id="234501" name="Check Box 5" hidden="1">
              <a:extLst>
                <a:ext uri="{63B3BB69-23CF-44E3-9099-C40C66FF867C}">
                  <a14:compatExt spid="_x0000_s234501"/>
                </a:ext>
                <a:ext uri="{FF2B5EF4-FFF2-40B4-BE49-F238E27FC236}">
                  <a16:creationId xmlns:a16="http://schemas.microsoft.com/office/drawing/2014/main" id="{00000000-0008-0000-0200-000005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8</xdr:row>
          <xdr:rowOff>28575</xdr:rowOff>
        </xdr:from>
        <xdr:to>
          <xdr:col>5</xdr:col>
          <xdr:colOff>952500</xdr:colOff>
          <xdr:row>9</xdr:row>
          <xdr:rowOff>161925</xdr:rowOff>
        </xdr:to>
        <xdr:sp macro="" textlink="">
          <xdr:nvSpPr>
            <xdr:cNvPr id="234502" name="Check Box 6" hidden="1">
              <a:extLst>
                <a:ext uri="{63B3BB69-23CF-44E3-9099-C40C66FF867C}">
                  <a14:compatExt spid="_x0000_s234502"/>
                </a:ext>
                <a:ext uri="{FF2B5EF4-FFF2-40B4-BE49-F238E27FC236}">
                  <a16:creationId xmlns:a16="http://schemas.microsoft.com/office/drawing/2014/main" id="{00000000-0008-0000-0200-000006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9</xdr:row>
          <xdr:rowOff>161925</xdr:rowOff>
        </xdr:from>
        <xdr:to>
          <xdr:col>5</xdr:col>
          <xdr:colOff>952500</xdr:colOff>
          <xdr:row>10</xdr:row>
          <xdr:rowOff>95250</xdr:rowOff>
        </xdr:to>
        <xdr:sp macro="" textlink="">
          <xdr:nvSpPr>
            <xdr:cNvPr id="234503" name="Check Box 7" hidden="1">
              <a:extLst>
                <a:ext uri="{63B3BB69-23CF-44E3-9099-C40C66FF867C}">
                  <a14:compatExt spid="_x0000_s234503"/>
                </a:ext>
                <a:ext uri="{FF2B5EF4-FFF2-40B4-BE49-F238E27FC236}">
                  <a16:creationId xmlns:a16="http://schemas.microsoft.com/office/drawing/2014/main" id="{00000000-0008-0000-0200-000007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10</xdr:row>
          <xdr:rowOff>171450</xdr:rowOff>
        </xdr:from>
        <xdr:to>
          <xdr:col>5</xdr:col>
          <xdr:colOff>952500</xdr:colOff>
          <xdr:row>11</xdr:row>
          <xdr:rowOff>114300</xdr:rowOff>
        </xdr:to>
        <xdr:sp macro="" textlink="">
          <xdr:nvSpPr>
            <xdr:cNvPr id="234504" name="Check Box 8" hidden="1">
              <a:extLst>
                <a:ext uri="{63B3BB69-23CF-44E3-9099-C40C66FF867C}">
                  <a14:compatExt spid="_x0000_s234504"/>
                </a:ext>
                <a:ext uri="{FF2B5EF4-FFF2-40B4-BE49-F238E27FC236}">
                  <a16:creationId xmlns:a16="http://schemas.microsoft.com/office/drawing/2014/main" id="{00000000-0008-0000-0200-000008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106913</xdr:colOff>
      <xdr:row>1</xdr:row>
      <xdr:rowOff>68036</xdr:rowOff>
    </xdr:from>
    <xdr:to>
      <xdr:col>2</xdr:col>
      <xdr:colOff>845587</xdr:colOff>
      <xdr:row>4</xdr:row>
      <xdr:rowOff>82657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" y="262424"/>
          <a:ext cx="1652297" cy="5880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695325</xdr:colOff>
      <xdr:row>15</xdr:row>
      <xdr:rowOff>218471</xdr:rowOff>
    </xdr:to>
    <xdr:pic>
      <xdr:nvPicPr>
        <xdr:cNvPr id="224660" name="Imagem 15" descr="Imagen que contiene dibujo&#10;&#10;Descripción generada automáticamente">
          <a:extLst>
            <a:ext uri="{FF2B5EF4-FFF2-40B4-BE49-F238E27FC236}">
              <a16:creationId xmlns:a16="http://schemas.microsoft.com/office/drawing/2014/main" id="{00000000-0008-0000-0300-0000946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2194560"/>
          <a:ext cx="2674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790533</xdr:colOff>
      <xdr:row>16</xdr:row>
      <xdr:rowOff>0</xdr:rowOff>
    </xdr:from>
    <xdr:to>
      <xdr:col>7</xdr:col>
      <xdr:colOff>625270</xdr:colOff>
      <xdr:row>16</xdr:row>
      <xdr:rowOff>158062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170988" y="3078715"/>
          <a:ext cx="2614238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7</xdr:row>
          <xdr:rowOff>9525</xdr:rowOff>
        </xdr:from>
        <xdr:to>
          <xdr:col>3</xdr:col>
          <xdr:colOff>66675</xdr:colOff>
          <xdr:row>7</xdr:row>
          <xdr:rowOff>190500</xdr:rowOff>
        </xdr:to>
        <xdr:sp macro="" textlink="">
          <xdr:nvSpPr>
            <xdr:cNvPr id="224284" name="Check Box 28" hidden="1">
              <a:extLst>
                <a:ext uri="{63B3BB69-23CF-44E3-9099-C40C66FF867C}">
                  <a14:compatExt spid="_x0000_s224284"/>
                </a:ext>
                <a:ext uri="{FF2B5EF4-FFF2-40B4-BE49-F238E27FC236}">
                  <a16:creationId xmlns:a16="http://schemas.microsoft.com/office/drawing/2014/main" id="{00000000-0008-0000-0300-00001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0</xdr:rowOff>
        </xdr:from>
        <xdr:to>
          <xdr:col>3</xdr:col>
          <xdr:colOff>66675</xdr:colOff>
          <xdr:row>8</xdr:row>
          <xdr:rowOff>171450</xdr:rowOff>
        </xdr:to>
        <xdr:sp macro="" textlink="">
          <xdr:nvSpPr>
            <xdr:cNvPr id="224285" name="Check Box 29" hidden="1">
              <a:extLst>
                <a:ext uri="{63B3BB69-23CF-44E3-9099-C40C66FF867C}">
                  <a14:compatExt spid="_x0000_s224285"/>
                </a:ext>
                <a:ext uri="{FF2B5EF4-FFF2-40B4-BE49-F238E27FC236}">
                  <a16:creationId xmlns:a16="http://schemas.microsoft.com/office/drawing/2014/main" id="{00000000-0008-0000-0300-00001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171450</xdr:rowOff>
        </xdr:from>
        <xdr:to>
          <xdr:col>3</xdr:col>
          <xdr:colOff>66675</xdr:colOff>
          <xdr:row>9</xdr:row>
          <xdr:rowOff>85725</xdr:rowOff>
        </xdr:to>
        <xdr:sp macro="" textlink="">
          <xdr:nvSpPr>
            <xdr:cNvPr id="224286" name="Check Box 30" hidden="1">
              <a:extLst>
                <a:ext uri="{63B3BB69-23CF-44E3-9099-C40C66FF867C}">
                  <a14:compatExt spid="_x0000_s224286"/>
                </a:ext>
                <a:ext uri="{FF2B5EF4-FFF2-40B4-BE49-F238E27FC236}">
                  <a16:creationId xmlns:a16="http://schemas.microsoft.com/office/drawing/2014/main" id="{00000000-0008-0000-0300-00001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9</xdr:row>
          <xdr:rowOff>171450</xdr:rowOff>
        </xdr:from>
        <xdr:to>
          <xdr:col>3</xdr:col>
          <xdr:colOff>66675</xdr:colOff>
          <xdr:row>10</xdr:row>
          <xdr:rowOff>85725</xdr:rowOff>
        </xdr:to>
        <xdr:sp macro="" textlink="">
          <xdr:nvSpPr>
            <xdr:cNvPr id="224287" name="Check Box 31" hidden="1">
              <a:extLst>
                <a:ext uri="{63B3BB69-23CF-44E3-9099-C40C66FF867C}">
                  <a14:compatExt spid="_x0000_s224287"/>
                </a:ext>
                <a:ext uri="{FF2B5EF4-FFF2-40B4-BE49-F238E27FC236}">
                  <a16:creationId xmlns:a16="http://schemas.microsoft.com/office/drawing/2014/main" id="{00000000-0008-0000-0300-00001F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7</xdr:row>
          <xdr:rowOff>9525</xdr:rowOff>
        </xdr:from>
        <xdr:to>
          <xdr:col>6</xdr:col>
          <xdr:colOff>0</xdr:colOff>
          <xdr:row>7</xdr:row>
          <xdr:rowOff>190500</xdr:rowOff>
        </xdr:to>
        <xdr:sp macro="" textlink="">
          <xdr:nvSpPr>
            <xdr:cNvPr id="224288" name="Check Box 32" hidden="1">
              <a:extLst>
                <a:ext uri="{63B3BB69-23CF-44E3-9099-C40C66FF867C}">
                  <a14:compatExt spid="_x0000_s224288"/>
                </a:ext>
                <a:ext uri="{FF2B5EF4-FFF2-40B4-BE49-F238E27FC236}">
                  <a16:creationId xmlns:a16="http://schemas.microsoft.com/office/drawing/2014/main" id="{00000000-0008-0000-0300-000020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0</xdr:rowOff>
        </xdr:from>
        <xdr:to>
          <xdr:col>6</xdr:col>
          <xdr:colOff>0</xdr:colOff>
          <xdr:row>8</xdr:row>
          <xdr:rowOff>180975</xdr:rowOff>
        </xdr:to>
        <xdr:sp macro="" textlink="">
          <xdr:nvSpPr>
            <xdr:cNvPr id="224289" name="Check Box 33" hidden="1">
              <a:extLst>
                <a:ext uri="{63B3BB69-23CF-44E3-9099-C40C66FF867C}">
                  <a14:compatExt spid="_x0000_s224289"/>
                </a:ext>
                <a:ext uri="{FF2B5EF4-FFF2-40B4-BE49-F238E27FC236}">
                  <a16:creationId xmlns:a16="http://schemas.microsoft.com/office/drawing/2014/main" id="{00000000-0008-0000-0300-000021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171450</xdr:rowOff>
        </xdr:from>
        <xdr:to>
          <xdr:col>6</xdr:col>
          <xdr:colOff>0</xdr:colOff>
          <xdr:row>9</xdr:row>
          <xdr:rowOff>85725</xdr:rowOff>
        </xdr:to>
        <xdr:sp macro="" textlink="">
          <xdr:nvSpPr>
            <xdr:cNvPr id="224290" name="Check Box 34" hidden="1">
              <a:extLst>
                <a:ext uri="{63B3BB69-23CF-44E3-9099-C40C66FF867C}">
                  <a14:compatExt spid="_x0000_s224290"/>
                </a:ext>
                <a:ext uri="{FF2B5EF4-FFF2-40B4-BE49-F238E27FC236}">
                  <a16:creationId xmlns:a16="http://schemas.microsoft.com/office/drawing/2014/main" id="{00000000-0008-0000-0300-000022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272142</xdr:colOff>
      <xdr:row>1</xdr:row>
      <xdr:rowOff>40822</xdr:rowOff>
    </xdr:from>
    <xdr:to>
      <xdr:col>2</xdr:col>
      <xdr:colOff>46810</xdr:colOff>
      <xdr:row>4</xdr:row>
      <xdr:rowOff>139029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72143"/>
          <a:ext cx="1529989" cy="5880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4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4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4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4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4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4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4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3255" name="Check Box 23" hidden="1">
              <a:extLst>
                <a:ext uri="{63B3BB69-23CF-44E3-9099-C40C66FF867C}">
                  <a14:compatExt spid="_x0000_s223255"/>
                </a:ext>
                <a:ext uri="{FF2B5EF4-FFF2-40B4-BE49-F238E27FC236}">
                  <a16:creationId xmlns:a16="http://schemas.microsoft.com/office/drawing/2014/main" id="{00000000-0008-0000-0400-00001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3256" name="Check Box 24" hidden="1">
              <a:extLst>
                <a:ext uri="{63B3BB69-23CF-44E3-9099-C40C66FF867C}">
                  <a14:compatExt spid="_x0000_s223256"/>
                </a:ext>
                <a:ext uri="{FF2B5EF4-FFF2-40B4-BE49-F238E27FC236}">
                  <a16:creationId xmlns:a16="http://schemas.microsoft.com/office/drawing/2014/main" id="{00000000-0008-0000-0400-00001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0</xdr:rowOff>
        </xdr:from>
        <xdr:to>
          <xdr:col>3</xdr:col>
          <xdr:colOff>400050</xdr:colOff>
          <xdr:row>8</xdr:row>
          <xdr:rowOff>180975</xdr:rowOff>
        </xdr:to>
        <xdr:sp macro="" textlink="">
          <xdr:nvSpPr>
            <xdr:cNvPr id="223257" name="Check Box 25" hidden="1">
              <a:extLst>
                <a:ext uri="{63B3BB69-23CF-44E3-9099-C40C66FF867C}">
                  <a14:compatExt spid="_x0000_s223257"/>
                </a:ext>
                <a:ext uri="{FF2B5EF4-FFF2-40B4-BE49-F238E27FC236}">
                  <a16:creationId xmlns:a16="http://schemas.microsoft.com/office/drawing/2014/main" id="{00000000-0008-0000-0400-000019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0</xdr:rowOff>
        </xdr:from>
        <xdr:to>
          <xdr:col>3</xdr:col>
          <xdr:colOff>400050</xdr:colOff>
          <xdr:row>9</xdr:row>
          <xdr:rowOff>180975</xdr:rowOff>
        </xdr:to>
        <xdr:sp macro="" textlink="">
          <xdr:nvSpPr>
            <xdr:cNvPr id="223258" name="Check Box 26" hidden="1">
              <a:extLst>
                <a:ext uri="{63B3BB69-23CF-44E3-9099-C40C66FF867C}">
                  <a14:compatExt spid="_x0000_s223258"/>
                </a:ext>
                <a:ext uri="{FF2B5EF4-FFF2-40B4-BE49-F238E27FC236}">
                  <a16:creationId xmlns:a16="http://schemas.microsoft.com/office/drawing/2014/main" id="{00000000-0008-0000-0400-00001A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59" name="Check Box 27" hidden="1">
              <a:extLst>
                <a:ext uri="{63B3BB69-23CF-44E3-9099-C40C66FF867C}">
                  <a14:compatExt spid="_x0000_s223259"/>
                </a:ext>
                <a:ext uri="{FF2B5EF4-FFF2-40B4-BE49-F238E27FC236}">
                  <a16:creationId xmlns:a16="http://schemas.microsoft.com/office/drawing/2014/main" id="{00000000-0008-0000-0400-00001B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60" name="Check Box 28" hidden="1">
              <a:extLst>
                <a:ext uri="{63B3BB69-23CF-44E3-9099-C40C66FF867C}">
                  <a14:compatExt spid="_x0000_s223260"/>
                </a:ext>
                <a:ext uri="{FF2B5EF4-FFF2-40B4-BE49-F238E27FC236}">
                  <a16:creationId xmlns:a16="http://schemas.microsoft.com/office/drawing/2014/main" id="{00000000-0008-0000-0400-00001C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0</xdr:rowOff>
        </xdr:from>
        <xdr:to>
          <xdr:col>12</xdr:col>
          <xdr:colOff>0</xdr:colOff>
          <xdr:row>8</xdr:row>
          <xdr:rowOff>180975</xdr:rowOff>
        </xdr:to>
        <xdr:sp macro="" textlink="">
          <xdr:nvSpPr>
            <xdr:cNvPr id="223261" name="Check Box 29" hidden="1">
              <a:extLst>
                <a:ext uri="{63B3BB69-23CF-44E3-9099-C40C66FF867C}">
                  <a14:compatExt spid="_x0000_s223261"/>
                </a:ext>
                <a:ext uri="{FF2B5EF4-FFF2-40B4-BE49-F238E27FC236}">
                  <a16:creationId xmlns:a16="http://schemas.microsoft.com/office/drawing/2014/main" id="{00000000-0008-0000-0400-00001D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142876</xdr:colOff>
      <xdr:row>1</xdr:row>
      <xdr:rowOff>23812</xdr:rowOff>
    </xdr:from>
    <xdr:to>
      <xdr:col>2</xdr:col>
      <xdr:colOff>89334</xdr:colOff>
      <xdr:row>2</xdr:row>
      <xdr:rowOff>254689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273843"/>
          <a:ext cx="1529989" cy="5880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26319" name="Check Box 15" hidden="1">
              <a:extLst>
                <a:ext uri="{63B3BB69-23CF-44E3-9099-C40C66FF867C}">
                  <a14:compatExt spid="_x0000_s226319"/>
                </a:ext>
                <a:ext uri="{FF2B5EF4-FFF2-40B4-BE49-F238E27FC236}">
                  <a16:creationId xmlns:a16="http://schemas.microsoft.com/office/drawing/2014/main" id="{00000000-0008-0000-0500-00000F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26320" name="Check Box 16" hidden="1">
              <a:extLst>
                <a:ext uri="{63B3BB69-23CF-44E3-9099-C40C66FF867C}">
                  <a14:compatExt spid="_x0000_s226320"/>
                </a:ext>
                <a:ext uri="{FF2B5EF4-FFF2-40B4-BE49-F238E27FC236}">
                  <a16:creationId xmlns:a16="http://schemas.microsoft.com/office/drawing/2014/main" id="{00000000-0008-0000-0500-000010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26321" name="Check Box 17" hidden="1">
              <a:extLst>
                <a:ext uri="{63B3BB69-23CF-44E3-9099-C40C66FF867C}">
                  <a14:compatExt spid="_x0000_s226321"/>
                </a:ext>
                <a:ext uri="{FF2B5EF4-FFF2-40B4-BE49-F238E27FC236}">
                  <a16:creationId xmlns:a16="http://schemas.microsoft.com/office/drawing/2014/main" id="{00000000-0008-0000-0500-00001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26322" name="Check Box 18" hidden="1">
              <a:extLst>
                <a:ext uri="{63B3BB69-23CF-44E3-9099-C40C66FF867C}">
                  <a14:compatExt spid="_x0000_s226322"/>
                </a:ext>
                <a:ext uri="{FF2B5EF4-FFF2-40B4-BE49-F238E27FC236}">
                  <a16:creationId xmlns:a16="http://schemas.microsoft.com/office/drawing/2014/main" id="{00000000-0008-0000-0500-00001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800100</xdr:colOff>
          <xdr:row>7</xdr:row>
          <xdr:rowOff>0</xdr:rowOff>
        </xdr:to>
        <xdr:sp macro="" textlink="">
          <xdr:nvSpPr>
            <xdr:cNvPr id="226323" name="Check Box 19" hidden="1">
              <a:extLst>
                <a:ext uri="{63B3BB69-23CF-44E3-9099-C40C66FF867C}">
                  <a14:compatExt spid="_x0000_s226323"/>
                </a:ext>
                <a:ext uri="{FF2B5EF4-FFF2-40B4-BE49-F238E27FC236}">
                  <a16:creationId xmlns:a16="http://schemas.microsoft.com/office/drawing/2014/main" id="{00000000-0008-0000-0500-00001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800100</xdr:colOff>
          <xdr:row>8</xdr:row>
          <xdr:rowOff>0</xdr:rowOff>
        </xdr:to>
        <xdr:sp macro="" textlink="">
          <xdr:nvSpPr>
            <xdr:cNvPr id="226324" name="Check Box 20" hidden="1">
              <a:extLst>
                <a:ext uri="{63B3BB69-23CF-44E3-9099-C40C66FF867C}">
                  <a14:compatExt spid="_x0000_s226324"/>
                </a:ext>
                <a:ext uri="{FF2B5EF4-FFF2-40B4-BE49-F238E27FC236}">
                  <a16:creationId xmlns:a16="http://schemas.microsoft.com/office/drawing/2014/main" id="{00000000-0008-0000-0500-00001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26325" name="Check Box 21" hidden="1">
              <a:extLst>
                <a:ext uri="{63B3BB69-23CF-44E3-9099-C40C66FF867C}">
                  <a14:compatExt spid="_x0000_s226325"/>
                </a:ext>
                <a:ext uri="{FF2B5EF4-FFF2-40B4-BE49-F238E27FC236}">
                  <a16:creationId xmlns:a16="http://schemas.microsoft.com/office/drawing/2014/main" id="{00000000-0008-0000-0500-00001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150002</xdr:colOff>
      <xdr:row>12</xdr:row>
      <xdr:rowOff>71173</xdr:rowOff>
    </xdr:from>
    <xdr:to>
      <xdr:col>12</xdr:col>
      <xdr:colOff>771507</xdr:colOff>
      <xdr:row>26</xdr:row>
      <xdr:rowOff>124810</xdr:rowOff>
    </xdr:to>
    <xdr:pic>
      <xdr:nvPicPr>
        <xdr:cNvPr id="5" name="Imagen 4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4295" y="2876121"/>
          <a:ext cx="4989867" cy="2484155"/>
        </a:xfrm>
        <a:prstGeom prst="rect">
          <a:avLst/>
        </a:prstGeom>
      </xdr:spPr>
    </xdr:pic>
    <xdr:clientData/>
  </xdr:twoCellAnchor>
  <xdr:twoCellAnchor editAs="oneCell">
    <xdr:from>
      <xdr:col>2</xdr:col>
      <xdr:colOff>105103</xdr:colOff>
      <xdr:row>30</xdr:row>
      <xdr:rowOff>151086</xdr:rowOff>
    </xdr:from>
    <xdr:to>
      <xdr:col>12</xdr:col>
      <xdr:colOff>811087</xdr:colOff>
      <xdr:row>44</xdr:row>
      <xdr:rowOff>124810</xdr:rowOff>
    </xdr:to>
    <xdr:pic>
      <xdr:nvPicPr>
        <xdr:cNvPr id="7" name="Imagen 6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396" y="5872655"/>
          <a:ext cx="5074346" cy="2542189"/>
        </a:xfrm>
        <a:prstGeom prst="rect">
          <a:avLst/>
        </a:prstGeom>
      </xdr:spPr>
    </xdr:pic>
    <xdr:clientData/>
  </xdr:twoCellAnchor>
  <xdr:twoCellAnchor>
    <xdr:from>
      <xdr:col>3</xdr:col>
      <xdr:colOff>72258</xdr:colOff>
      <xdr:row>38</xdr:row>
      <xdr:rowOff>98535</xdr:rowOff>
    </xdr:from>
    <xdr:to>
      <xdr:col>4</xdr:col>
      <xdr:colOff>281950</xdr:colOff>
      <xdr:row>39</xdr:row>
      <xdr:rowOff>52340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187465" y="7462345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211520</xdr:colOff>
      <xdr:row>33</xdr:row>
      <xdr:rowOff>73573</xdr:rowOff>
    </xdr:from>
    <xdr:to>
      <xdr:col>10</xdr:col>
      <xdr:colOff>217574</xdr:colOff>
      <xdr:row>34</xdr:row>
      <xdr:rowOff>47085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4179175" y="652429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331075</xdr:colOff>
      <xdr:row>38</xdr:row>
      <xdr:rowOff>74887</xdr:rowOff>
    </xdr:from>
    <xdr:to>
      <xdr:col>13</xdr:col>
      <xdr:colOff>80939</xdr:colOff>
      <xdr:row>39</xdr:row>
      <xdr:rowOff>28692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6203730" y="743869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181302</xdr:colOff>
      <xdr:row>41</xdr:row>
      <xdr:rowOff>115615</xdr:rowOff>
    </xdr:from>
    <xdr:to>
      <xdr:col>10</xdr:col>
      <xdr:colOff>187356</xdr:colOff>
      <xdr:row>42</xdr:row>
      <xdr:rowOff>69420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4148957" y="8050925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156571</xdr:colOff>
      <xdr:row>14</xdr:row>
      <xdr:rowOff>44897</xdr:rowOff>
    </xdr:from>
    <xdr:to>
      <xdr:col>10</xdr:col>
      <xdr:colOff>162625</xdr:colOff>
      <xdr:row>15</xdr:row>
      <xdr:rowOff>18409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4124226" y="3230845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33074</xdr:colOff>
      <xdr:row>19</xdr:row>
      <xdr:rowOff>33073</xdr:rowOff>
    </xdr:from>
    <xdr:to>
      <xdr:col>4</xdr:col>
      <xdr:colOff>242766</xdr:colOff>
      <xdr:row>20</xdr:row>
      <xdr:rowOff>6585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2148281" y="407298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139492</xdr:colOff>
      <xdr:row>22</xdr:row>
      <xdr:rowOff>54094</xdr:rowOff>
    </xdr:from>
    <xdr:to>
      <xdr:col>10</xdr:col>
      <xdr:colOff>145546</xdr:colOff>
      <xdr:row>23</xdr:row>
      <xdr:rowOff>27606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4107147" y="460638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206496</xdr:colOff>
      <xdr:row>19</xdr:row>
      <xdr:rowOff>42270</xdr:rowOff>
    </xdr:from>
    <xdr:to>
      <xdr:col>12</xdr:col>
      <xdr:colOff>823464</xdr:colOff>
      <xdr:row>20</xdr:row>
      <xdr:rowOff>15782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6079151" y="4082184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 editAs="oneCell">
    <xdr:from>
      <xdr:col>0</xdr:col>
      <xdr:colOff>111673</xdr:colOff>
      <xdr:row>1</xdr:row>
      <xdr:rowOff>45982</xdr:rowOff>
    </xdr:from>
    <xdr:to>
      <xdr:col>2</xdr:col>
      <xdr:colOff>137369</xdr:colOff>
      <xdr:row>2</xdr:row>
      <xdr:rowOff>279323</xdr:rowOff>
    </xdr:to>
    <xdr:pic>
      <xdr:nvPicPr>
        <xdr:cNvPr id="13" name="Imagen 1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3" y="295603"/>
          <a:ext cx="1529989" cy="5880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1425" name="Check Box 1" hidden="1">
              <a:extLst>
                <a:ext uri="{63B3BB69-23CF-44E3-9099-C40C66FF867C}">
                  <a14:compatExt spid="_x0000_s231425"/>
                </a:ext>
                <a:ext uri="{FF2B5EF4-FFF2-40B4-BE49-F238E27FC236}">
                  <a16:creationId xmlns:a16="http://schemas.microsoft.com/office/drawing/2014/main" id="{00000000-0008-0000-0600-000001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1426" name="Check Box 2" hidden="1">
              <a:extLst>
                <a:ext uri="{63B3BB69-23CF-44E3-9099-C40C66FF867C}">
                  <a14:compatExt spid="_x0000_s231426"/>
                </a:ext>
                <a:ext uri="{FF2B5EF4-FFF2-40B4-BE49-F238E27FC236}">
                  <a16:creationId xmlns:a16="http://schemas.microsoft.com/office/drawing/2014/main" id="{00000000-0008-0000-0600-000002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1427" name="Check Box 3" hidden="1">
              <a:extLst>
                <a:ext uri="{63B3BB69-23CF-44E3-9099-C40C66FF867C}">
                  <a14:compatExt spid="_x0000_s231427"/>
                </a:ext>
                <a:ext uri="{FF2B5EF4-FFF2-40B4-BE49-F238E27FC236}">
                  <a16:creationId xmlns:a16="http://schemas.microsoft.com/office/drawing/2014/main" id="{00000000-0008-0000-0600-000003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1428" name="Check Box 4" hidden="1">
              <a:extLst>
                <a:ext uri="{63B3BB69-23CF-44E3-9099-C40C66FF867C}">
                  <a14:compatExt spid="_x0000_s231428"/>
                </a:ext>
                <a:ext uri="{FF2B5EF4-FFF2-40B4-BE49-F238E27FC236}">
                  <a16:creationId xmlns:a16="http://schemas.microsoft.com/office/drawing/2014/main" id="{00000000-0008-0000-0600-000004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790575</xdr:colOff>
          <xdr:row>7</xdr:row>
          <xdr:rowOff>0</xdr:rowOff>
        </xdr:to>
        <xdr:sp macro="" textlink="">
          <xdr:nvSpPr>
            <xdr:cNvPr id="231429" name="Check Box 5" hidden="1">
              <a:extLst>
                <a:ext uri="{63B3BB69-23CF-44E3-9099-C40C66FF867C}">
                  <a14:compatExt spid="_x0000_s231429"/>
                </a:ext>
                <a:ext uri="{FF2B5EF4-FFF2-40B4-BE49-F238E27FC236}">
                  <a16:creationId xmlns:a16="http://schemas.microsoft.com/office/drawing/2014/main" id="{00000000-0008-0000-0600-000005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790575</xdr:colOff>
          <xdr:row>8</xdr:row>
          <xdr:rowOff>0</xdr:rowOff>
        </xdr:to>
        <xdr:sp macro="" textlink="">
          <xdr:nvSpPr>
            <xdr:cNvPr id="231430" name="Check Box 6" hidden="1">
              <a:extLst>
                <a:ext uri="{63B3BB69-23CF-44E3-9099-C40C66FF867C}">
                  <a14:compatExt spid="_x0000_s231430"/>
                </a:ext>
                <a:ext uri="{FF2B5EF4-FFF2-40B4-BE49-F238E27FC236}">
                  <a16:creationId xmlns:a16="http://schemas.microsoft.com/office/drawing/2014/main" id="{00000000-0008-0000-0600-000006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31431" name="Check Box 7" hidden="1">
              <a:extLst>
                <a:ext uri="{63B3BB69-23CF-44E3-9099-C40C66FF867C}">
                  <a14:compatExt spid="_x0000_s231431"/>
                </a:ext>
                <a:ext uri="{FF2B5EF4-FFF2-40B4-BE49-F238E27FC236}">
                  <a16:creationId xmlns:a16="http://schemas.microsoft.com/office/drawing/2014/main" id="{00000000-0008-0000-0600-000007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117725</xdr:colOff>
      <xdr:row>1</xdr:row>
      <xdr:rowOff>32107</xdr:rowOff>
    </xdr:from>
    <xdr:to>
      <xdr:col>2</xdr:col>
      <xdr:colOff>63781</xdr:colOff>
      <xdr:row>2</xdr:row>
      <xdr:rowOff>266998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5" y="278259"/>
          <a:ext cx="1529989" cy="5880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555507</xdr:colOff>
      <xdr:row>13</xdr:row>
      <xdr:rowOff>127953</xdr:rowOff>
    </xdr:from>
    <xdr:to>
      <xdr:col>8</xdr:col>
      <xdr:colOff>481424</xdr:colOff>
      <xdr:row>29</xdr:row>
      <xdr:rowOff>29418</xdr:rowOff>
    </xdr:to>
    <xdr:pic>
      <xdr:nvPicPr>
        <xdr:cNvPr id="8" name="Imagen 7" descr="Imagen que contiene Diagrama&#10;&#10;Descripción generada automáticament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855" y="3142823"/>
          <a:ext cx="4282569" cy="2700986"/>
        </a:xfrm>
        <a:prstGeom prst="rect">
          <a:avLst/>
        </a:prstGeom>
      </xdr:spPr>
    </xdr:pic>
    <xdr:clientData/>
  </xdr:twoCellAnchor>
  <xdr:twoCellAnchor>
    <xdr:from>
      <xdr:col>1</xdr:col>
      <xdr:colOff>917177</xdr:colOff>
      <xdr:row>17</xdr:row>
      <xdr:rowOff>28576</xdr:rowOff>
    </xdr:from>
    <xdr:to>
      <xdr:col>1</xdr:col>
      <xdr:colOff>1115297</xdr:colOff>
      <xdr:row>18</xdr:row>
      <xdr:rowOff>49611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06505" y="3472230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A</a:t>
          </a:r>
        </a:p>
      </xdr:txBody>
    </xdr:sp>
    <xdr:clientData/>
  </xdr:twoCellAnchor>
  <xdr:twoCellAnchor>
    <xdr:from>
      <xdr:col>1</xdr:col>
      <xdr:colOff>604382</xdr:colOff>
      <xdr:row>26</xdr:row>
      <xdr:rowOff>123187</xdr:rowOff>
    </xdr:from>
    <xdr:to>
      <xdr:col>1</xdr:col>
      <xdr:colOff>794882</xdr:colOff>
      <xdr:row>27</xdr:row>
      <xdr:rowOff>151761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821158" y="5148446"/>
          <a:ext cx="190500" cy="19936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B</a:t>
          </a:r>
        </a:p>
      </xdr:txBody>
    </xdr:sp>
    <xdr:clientData/>
  </xdr:twoCellAnchor>
  <xdr:twoCellAnchor>
    <xdr:from>
      <xdr:col>7</xdr:col>
      <xdr:colOff>340743</xdr:colOff>
      <xdr:row>16</xdr:row>
      <xdr:rowOff>150830</xdr:rowOff>
    </xdr:from>
    <xdr:to>
      <xdr:col>8</xdr:col>
      <xdr:colOff>79695</xdr:colOff>
      <xdr:row>18</xdr:row>
      <xdr:rowOff>40508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393795" y="3468158"/>
          <a:ext cx="185641" cy="231264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C</a:t>
          </a:r>
        </a:p>
      </xdr:txBody>
    </xdr:sp>
    <xdr:clientData/>
  </xdr:twoCellAnchor>
  <xdr:twoCellAnchor>
    <xdr:from>
      <xdr:col>8</xdr:col>
      <xdr:colOff>205315</xdr:colOff>
      <xdr:row>26</xdr:row>
      <xdr:rowOff>91946</xdr:rowOff>
    </xdr:from>
    <xdr:to>
      <xdr:col>8</xdr:col>
      <xdr:colOff>419348</xdr:colOff>
      <xdr:row>27</xdr:row>
      <xdr:rowOff>148685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705056" y="5117205"/>
          <a:ext cx="214033" cy="22753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</xdr:row>
          <xdr:rowOff>9525</xdr:rowOff>
        </xdr:from>
        <xdr:to>
          <xdr:col>2</xdr:col>
          <xdr:colOff>581025</xdr:colOff>
          <xdr:row>7</xdr:row>
          <xdr:rowOff>0</xdr:rowOff>
        </xdr:to>
        <xdr:sp macro="" textlink="">
          <xdr:nvSpPr>
            <xdr:cNvPr id="229425" name="Check Box 49" hidden="1">
              <a:extLst>
                <a:ext uri="{63B3BB69-23CF-44E3-9099-C40C66FF867C}">
                  <a14:compatExt spid="_x0000_s229425"/>
                </a:ext>
                <a:ext uri="{FF2B5EF4-FFF2-40B4-BE49-F238E27FC236}">
                  <a16:creationId xmlns:a16="http://schemas.microsoft.com/office/drawing/2014/main" id="{00000000-0008-0000-0700-00003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7</xdr:row>
          <xdr:rowOff>9525</xdr:rowOff>
        </xdr:from>
        <xdr:to>
          <xdr:col>2</xdr:col>
          <xdr:colOff>581025</xdr:colOff>
          <xdr:row>8</xdr:row>
          <xdr:rowOff>0</xdr:rowOff>
        </xdr:to>
        <xdr:sp macro="" textlink="">
          <xdr:nvSpPr>
            <xdr:cNvPr id="229427" name="Check Box 51" hidden="1">
              <a:extLst>
                <a:ext uri="{63B3BB69-23CF-44E3-9099-C40C66FF867C}">
                  <a14:compatExt spid="_x0000_s229427"/>
                </a:ext>
                <a:ext uri="{FF2B5EF4-FFF2-40B4-BE49-F238E27FC236}">
                  <a16:creationId xmlns:a16="http://schemas.microsoft.com/office/drawing/2014/main" id="{00000000-0008-0000-0700-00003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</xdr:row>
          <xdr:rowOff>9525</xdr:rowOff>
        </xdr:from>
        <xdr:to>
          <xdr:col>2</xdr:col>
          <xdr:colOff>581025</xdr:colOff>
          <xdr:row>9</xdr:row>
          <xdr:rowOff>0</xdr:rowOff>
        </xdr:to>
        <xdr:sp macro="" textlink="">
          <xdr:nvSpPr>
            <xdr:cNvPr id="229428" name="Check Box 52" hidden="1">
              <a:extLst>
                <a:ext uri="{63B3BB69-23CF-44E3-9099-C40C66FF867C}">
                  <a14:compatExt spid="_x0000_s229428"/>
                </a:ext>
                <a:ext uri="{FF2B5EF4-FFF2-40B4-BE49-F238E27FC236}">
                  <a16:creationId xmlns:a16="http://schemas.microsoft.com/office/drawing/2014/main" id="{00000000-0008-0000-0700-00003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9</xdr:row>
          <xdr:rowOff>9525</xdr:rowOff>
        </xdr:from>
        <xdr:to>
          <xdr:col>2</xdr:col>
          <xdr:colOff>581025</xdr:colOff>
          <xdr:row>10</xdr:row>
          <xdr:rowOff>0</xdr:rowOff>
        </xdr:to>
        <xdr:sp macro="" textlink="">
          <xdr:nvSpPr>
            <xdr:cNvPr id="229429" name="Check Box 53" hidden="1">
              <a:extLst>
                <a:ext uri="{63B3BB69-23CF-44E3-9099-C40C66FF867C}">
                  <a14:compatExt spid="_x0000_s229429"/>
                </a:ext>
                <a:ext uri="{FF2B5EF4-FFF2-40B4-BE49-F238E27FC236}">
                  <a16:creationId xmlns:a16="http://schemas.microsoft.com/office/drawing/2014/main" id="{00000000-0008-0000-0700-00003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561975</xdr:colOff>
          <xdr:row>6</xdr:row>
          <xdr:rowOff>180975</xdr:rowOff>
        </xdr:to>
        <xdr:sp macro="" textlink="">
          <xdr:nvSpPr>
            <xdr:cNvPr id="229430" name="Check Box 54" hidden="1">
              <a:extLst>
                <a:ext uri="{63B3BB69-23CF-44E3-9099-C40C66FF867C}">
                  <a14:compatExt spid="_x0000_s229430"/>
                </a:ext>
                <a:ext uri="{FF2B5EF4-FFF2-40B4-BE49-F238E27FC236}">
                  <a16:creationId xmlns:a16="http://schemas.microsoft.com/office/drawing/2014/main" id="{00000000-0008-0000-0700-00003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561975</xdr:colOff>
          <xdr:row>7</xdr:row>
          <xdr:rowOff>180975</xdr:rowOff>
        </xdr:to>
        <xdr:sp macro="" textlink="">
          <xdr:nvSpPr>
            <xdr:cNvPr id="229431" name="Check Box 55" hidden="1">
              <a:extLst>
                <a:ext uri="{63B3BB69-23CF-44E3-9099-C40C66FF867C}">
                  <a14:compatExt spid="_x0000_s229431"/>
                </a:ext>
                <a:ext uri="{FF2B5EF4-FFF2-40B4-BE49-F238E27FC236}">
                  <a16:creationId xmlns:a16="http://schemas.microsoft.com/office/drawing/2014/main" id="{00000000-0008-0000-0700-00003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561975</xdr:colOff>
          <xdr:row>8</xdr:row>
          <xdr:rowOff>180975</xdr:rowOff>
        </xdr:to>
        <xdr:sp macro="" textlink="">
          <xdr:nvSpPr>
            <xdr:cNvPr id="229432" name="Check Box 56" hidden="1">
              <a:extLst>
                <a:ext uri="{63B3BB69-23CF-44E3-9099-C40C66FF867C}">
                  <a14:compatExt spid="_x0000_s229432"/>
                </a:ext>
                <a:ext uri="{FF2B5EF4-FFF2-40B4-BE49-F238E27FC236}">
                  <a16:creationId xmlns:a16="http://schemas.microsoft.com/office/drawing/2014/main" id="{00000000-0008-0000-0700-000038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39112</xdr:colOff>
      <xdr:row>17</xdr:row>
      <xdr:rowOff>99393</xdr:rowOff>
    </xdr:from>
    <xdr:to>
      <xdr:col>11</xdr:col>
      <xdr:colOff>352728</xdr:colOff>
      <xdr:row>28</xdr:row>
      <xdr:rowOff>57518</xdr:rowOff>
    </xdr:to>
    <xdr:pic>
      <xdr:nvPicPr>
        <xdr:cNvPr id="10" name="Imagen 9" descr="Diagrama&#10;&#10;Descripción generada automáticament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0590" y="3602936"/>
          <a:ext cx="1514594" cy="1871408"/>
        </a:xfrm>
        <a:prstGeom prst="rect">
          <a:avLst/>
        </a:prstGeom>
      </xdr:spPr>
    </xdr:pic>
    <xdr:clientData/>
  </xdr:twoCellAnchor>
  <xdr:twoCellAnchor editAs="oneCell">
    <xdr:from>
      <xdr:col>0</xdr:col>
      <xdr:colOff>99392</xdr:colOff>
      <xdr:row>1</xdr:row>
      <xdr:rowOff>41413</xdr:rowOff>
    </xdr:from>
    <xdr:to>
      <xdr:col>2</xdr:col>
      <xdr:colOff>121946</xdr:colOff>
      <xdr:row>2</xdr:row>
      <xdr:rowOff>273326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2" y="289891"/>
          <a:ext cx="1529989" cy="5880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3473" name="Check Box 1" hidden="1">
              <a:extLst>
                <a:ext uri="{63B3BB69-23CF-44E3-9099-C40C66FF867C}">
                  <a14:compatExt spid="_x0000_s233473"/>
                </a:ext>
                <a:ext uri="{FF2B5EF4-FFF2-40B4-BE49-F238E27FC236}">
                  <a16:creationId xmlns:a16="http://schemas.microsoft.com/office/drawing/2014/main" id="{00000000-0008-0000-0800-000001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3474" name="Check Box 2" hidden="1">
              <a:extLst>
                <a:ext uri="{63B3BB69-23CF-44E3-9099-C40C66FF867C}">
                  <a14:compatExt spid="_x0000_s233474"/>
                </a:ext>
                <a:ext uri="{FF2B5EF4-FFF2-40B4-BE49-F238E27FC236}">
                  <a16:creationId xmlns:a16="http://schemas.microsoft.com/office/drawing/2014/main" id="{00000000-0008-0000-0800-000002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3475" name="Check Box 3" hidden="1">
              <a:extLst>
                <a:ext uri="{63B3BB69-23CF-44E3-9099-C40C66FF867C}">
                  <a14:compatExt spid="_x0000_s233475"/>
                </a:ext>
                <a:ext uri="{FF2B5EF4-FFF2-40B4-BE49-F238E27FC236}">
                  <a16:creationId xmlns:a16="http://schemas.microsoft.com/office/drawing/2014/main" id="{00000000-0008-0000-0800-000003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3476" name="Check Box 4" hidden="1">
              <a:extLst>
                <a:ext uri="{63B3BB69-23CF-44E3-9099-C40C66FF867C}">
                  <a14:compatExt spid="_x0000_s233476"/>
                </a:ext>
                <a:ext uri="{FF2B5EF4-FFF2-40B4-BE49-F238E27FC236}">
                  <a16:creationId xmlns:a16="http://schemas.microsoft.com/office/drawing/2014/main" id="{00000000-0008-0000-0800-000004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3477" name="Check Box 5" hidden="1">
              <a:extLst>
                <a:ext uri="{63B3BB69-23CF-44E3-9099-C40C66FF867C}">
                  <a14:compatExt spid="_x0000_s233477"/>
                </a:ext>
                <a:ext uri="{FF2B5EF4-FFF2-40B4-BE49-F238E27FC236}">
                  <a16:creationId xmlns:a16="http://schemas.microsoft.com/office/drawing/2014/main" id="{00000000-0008-0000-0800-000005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3478" name="Check Box 6" hidden="1">
              <a:extLst>
                <a:ext uri="{63B3BB69-23CF-44E3-9099-C40C66FF867C}">
                  <a14:compatExt spid="_x0000_s233478"/>
                </a:ext>
                <a:ext uri="{FF2B5EF4-FFF2-40B4-BE49-F238E27FC236}">
                  <a16:creationId xmlns:a16="http://schemas.microsoft.com/office/drawing/2014/main" id="{00000000-0008-0000-0800-000006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3479" name="Check Box 7" hidden="1">
              <a:extLst>
                <a:ext uri="{63B3BB69-23CF-44E3-9099-C40C66FF867C}">
                  <a14:compatExt spid="_x0000_s233479"/>
                </a:ext>
                <a:ext uri="{FF2B5EF4-FFF2-40B4-BE49-F238E27FC236}">
                  <a16:creationId xmlns:a16="http://schemas.microsoft.com/office/drawing/2014/main" id="{00000000-0008-0000-0800-000007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77529</xdr:colOff>
      <xdr:row>1</xdr:row>
      <xdr:rowOff>44302</xdr:rowOff>
    </xdr:from>
    <xdr:to>
      <xdr:col>2</xdr:col>
      <xdr:colOff>101239</xdr:colOff>
      <xdr:row>2</xdr:row>
      <xdr:rowOff>277949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29" y="287965"/>
          <a:ext cx="1529989" cy="5880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0900-000001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49858" name="Check Box 2" hidden="1">
              <a:extLst>
                <a:ext uri="{63B3BB69-23CF-44E3-9099-C40C66FF867C}">
                  <a14:compatExt spid="_x0000_s249858"/>
                </a:ext>
                <a:ext uri="{FF2B5EF4-FFF2-40B4-BE49-F238E27FC236}">
                  <a16:creationId xmlns:a16="http://schemas.microsoft.com/office/drawing/2014/main" id="{00000000-0008-0000-0900-000002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49859" name="Check Box 3" hidden="1">
              <a:extLst>
                <a:ext uri="{63B3BB69-23CF-44E3-9099-C40C66FF867C}">
                  <a14:compatExt spid="_x0000_s249859"/>
                </a:ext>
                <a:ext uri="{FF2B5EF4-FFF2-40B4-BE49-F238E27FC236}">
                  <a16:creationId xmlns:a16="http://schemas.microsoft.com/office/drawing/2014/main" id="{00000000-0008-0000-0900-000003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49860" name="Check Box 4" hidden="1">
              <a:extLst>
                <a:ext uri="{63B3BB69-23CF-44E3-9099-C40C66FF867C}">
                  <a14:compatExt spid="_x0000_s249860"/>
                </a:ext>
                <a:ext uri="{FF2B5EF4-FFF2-40B4-BE49-F238E27FC236}">
                  <a16:creationId xmlns:a16="http://schemas.microsoft.com/office/drawing/2014/main" id="{00000000-0008-0000-0900-000004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49861" name="Check Box 5" hidden="1">
              <a:extLst>
                <a:ext uri="{63B3BB69-23CF-44E3-9099-C40C66FF867C}">
                  <a14:compatExt spid="_x0000_s249861"/>
                </a:ext>
                <a:ext uri="{FF2B5EF4-FFF2-40B4-BE49-F238E27FC236}">
                  <a16:creationId xmlns:a16="http://schemas.microsoft.com/office/drawing/2014/main" id="{00000000-0008-0000-0900-000005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49862" name="Check Box 6" hidden="1">
              <a:extLst>
                <a:ext uri="{63B3BB69-23CF-44E3-9099-C40C66FF867C}">
                  <a14:compatExt spid="_x0000_s249862"/>
                </a:ext>
                <a:ext uri="{FF2B5EF4-FFF2-40B4-BE49-F238E27FC236}">
                  <a16:creationId xmlns:a16="http://schemas.microsoft.com/office/drawing/2014/main" id="{00000000-0008-0000-0900-000006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49863" name="Check Box 7" hidden="1">
              <a:extLst>
                <a:ext uri="{63B3BB69-23CF-44E3-9099-C40C66FF867C}">
                  <a14:compatExt spid="_x0000_s249863"/>
                </a:ext>
                <a:ext uri="{FF2B5EF4-FFF2-40B4-BE49-F238E27FC236}">
                  <a16:creationId xmlns:a16="http://schemas.microsoft.com/office/drawing/2014/main" id="{00000000-0008-0000-0900-000007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9525</xdr:rowOff>
    </xdr:from>
    <xdr:to>
      <xdr:col>2</xdr:col>
      <xdr:colOff>148864</xdr:colOff>
      <xdr:row>2</xdr:row>
      <xdr:rowOff>245165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57175"/>
          <a:ext cx="1529989" cy="5880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6545" name="Check Box 1" hidden="1">
              <a:extLst>
                <a:ext uri="{63B3BB69-23CF-44E3-9099-C40C66FF867C}">
                  <a14:compatExt spid="_x0000_s236545"/>
                </a:ext>
                <a:ext uri="{FF2B5EF4-FFF2-40B4-BE49-F238E27FC236}">
                  <a16:creationId xmlns:a16="http://schemas.microsoft.com/office/drawing/2014/main" id="{00000000-0008-0000-0A00-000001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6546" name="Check Box 2" hidden="1">
              <a:extLst>
                <a:ext uri="{63B3BB69-23CF-44E3-9099-C40C66FF867C}">
                  <a14:compatExt spid="_x0000_s236546"/>
                </a:ext>
                <a:ext uri="{FF2B5EF4-FFF2-40B4-BE49-F238E27FC236}">
                  <a16:creationId xmlns:a16="http://schemas.microsoft.com/office/drawing/2014/main" id="{00000000-0008-0000-0A00-000002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6547" name="Check Box 3" hidden="1">
              <a:extLst>
                <a:ext uri="{63B3BB69-23CF-44E3-9099-C40C66FF867C}">
                  <a14:compatExt spid="_x0000_s236547"/>
                </a:ext>
                <a:ext uri="{FF2B5EF4-FFF2-40B4-BE49-F238E27FC236}">
                  <a16:creationId xmlns:a16="http://schemas.microsoft.com/office/drawing/2014/main" id="{00000000-0008-0000-0A00-000003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6548" name="Check Box 4" hidden="1">
              <a:extLst>
                <a:ext uri="{63B3BB69-23CF-44E3-9099-C40C66FF867C}">
                  <a14:compatExt spid="_x0000_s236548"/>
                </a:ext>
                <a:ext uri="{FF2B5EF4-FFF2-40B4-BE49-F238E27FC236}">
                  <a16:creationId xmlns:a16="http://schemas.microsoft.com/office/drawing/2014/main" id="{00000000-0008-0000-0A00-000004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6549" name="Check Box 5" hidden="1">
              <a:extLst>
                <a:ext uri="{63B3BB69-23CF-44E3-9099-C40C66FF867C}">
                  <a14:compatExt spid="_x0000_s236549"/>
                </a:ext>
                <a:ext uri="{FF2B5EF4-FFF2-40B4-BE49-F238E27FC236}">
                  <a16:creationId xmlns:a16="http://schemas.microsoft.com/office/drawing/2014/main" id="{00000000-0008-0000-0A00-000005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6550" name="Check Box 6" hidden="1">
              <a:extLst>
                <a:ext uri="{63B3BB69-23CF-44E3-9099-C40C66FF867C}">
                  <a14:compatExt spid="_x0000_s236550"/>
                </a:ext>
                <a:ext uri="{FF2B5EF4-FFF2-40B4-BE49-F238E27FC236}">
                  <a16:creationId xmlns:a16="http://schemas.microsoft.com/office/drawing/2014/main" id="{00000000-0008-0000-0A00-000006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6551" name="Check Box 7" hidden="1">
              <a:extLst>
                <a:ext uri="{63B3BB69-23CF-44E3-9099-C40C66FF867C}">
                  <a14:compatExt spid="_x0000_s236551"/>
                </a:ext>
                <a:ext uri="{FF2B5EF4-FFF2-40B4-BE49-F238E27FC236}">
                  <a16:creationId xmlns:a16="http://schemas.microsoft.com/office/drawing/2014/main" id="{00000000-0008-0000-0A00-000007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104775</xdr:colOff>
      <xdr:row>1</xdr:row>
      <xdr:rowOff>0</xdr:rowOff>
    </xdr:from>
    <xdr:to>
      <xdr:col>2</xdr:col>
      <xdr:colOff>139339</xdr:colOff>
      <xdr:row>2</xdr:row>
      <xdr:rowOff>235640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47650"/>
          <a:ext cx="1529989" cy="5880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2143125</xdr:colOff>
      <xdr:row>24</xdr:row>
      <xdr:rowOff>22859</xdr:rowOff>
    </xdr:to>
    <xdr:sp macro="" textlink="">
      <xdr:nvSpPr>
        <xdr:cNvPr id="209229" name="Text Box 1">
          <a:extLst>
            <a:ext uri="{FF2B5EF4-FFF2-40B4-BE49-F238E27FC236}">
              <a16:creationId xmlns:a16="http://schemas.microsoft.com/office/drawing/2014/main" id="{00000000-0008-0000-0E00-00004D31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EA7C790B-C8CE-48E7-A960-D351C524536D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EA7C790B-C8CE-48E7-A960-D351C524536D}" id="{525BF156-5564-49AD-84BF-8F00BD68B04E}">
    <text>Traer de SAP</text>
  </threadedComment>
  <threadedComment ref="AE7" dT="2023-11-29T14:41:33.90" personId="{EA7C790B-C8CE-48E7-A960-D351C524536D}" id="{441DB781-4687-474E-AB28-16A18353D861}">
    <text>Traer de SAP</text>
  </threadedComment>
  <threadedComment ref="AR7" dT="2023-11-29T14:40:25.55" personId="{EA7C790B-C8CE-48E7-A960-D351C524536D}" id="{DA4FFC63-4874-49E3-824A-F180980FA8A7}">
    <text>Traer de SAP</text>
  </threadedComment>
  <threadedComment ref="E8" dT="2023-11-29T14:43:38.72" personId="{EA7C790B-C8CE-48E7-A960-D351C524536D}" id="{883CB1AA-BE4F-4EEF-916B-67C588C7F61F}">
    <text>Traer de SAP</text>
  </threadedComment>
  <threadedComment ref="AE8" dT="2023-11-29T14:41:45.61" personId="{EA7C790B-C8CE-48E7-A960-D351C524536D}" id="{3B1525A3-B423-4416-B450-FAC82DAFD6A7}">
    <text>Traer de SAP</text>
  </threadedComment>
  <threadedComment ref="AR8" dT="2023-11-29T14:40:33.28" personId="{EA7C790B-C8CE-48E7-A960-D351C524536D}" id="{6FBDC7AE-92E2-48E2-82C8-23ABFAB983F7}">
    <text>Traer de sap</text>
  </threadedComment>
  <threadedComment ref="E9" dT="2023-11-29T14:43:38.72" personId="{EA7C790B-C8CE-48E7-A960-D351C524536D}" id="{5AF988A6-57AC-411B-8013-8D43C796FD01}">
    <text>Traer de SAP</text>
  </threadedComment>
  <threadedComment ref="AR9" dT="2023-11-29T14:40:48.45" personId="{EA7C790B-C8CE-48E7-A960-D351C524536D}" id="{22E98CE0-AEF8-4756-BAC1-2535CF3C2CCC}">
    <text xml:space="preserve">Traer de GORDON
</text>
  </threadedComment>
  <threadedComment ref="N83" dT="2023-11-29T14:44:44.35" personId="{EA7C790B-C8CE-48E7-A960-D351C524536D}" id="{B407E35D-DF81-4883-A34E-C7E9A4E2743F}">
    <text xml:space="preserve">NOMBRE INSPECTOR QUE GENERA CERTIFICADO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8" dT="2023-11-30T22:58:52.66" personId="{EA7C790B-C8CE-48E7-A960-D351C524536D}" id="{5ABB52E6-1E93-47E4-BE54-3732A0CFF979}">
    <text>NUEVO DATO, PONER PARAMETRO DE GORDON 726</text>
  </threadedComment>
  <threadedComment ref="E20" dT="2023-11-30T22:59:14.76" personId="{EA7C790B-C8CE-48E7-A960-D351C524536D}" id="{12ABD5DF-B807-4799-AA58-08CBD618F473}">
    <text>Parámetro de Gordon</text>
  </threadedComment>
  <threadedComment ref="L20" dT="2023-11-30T22:59:24.70" personId="{EA7C790B-C8CE-48E7-A960-D351C524536D}" id="{D89F4C7A-8200-43F5-BE2A-95974626E7AA}">
    <text>Parametro gordon 369</text>
  </threadedComment>
  <threadedComment ref="F38" dT="2023-11-29T14:52:36.12" personId="{EA7C790B-C8CE-48E7-A960-D351C524536D}" id="{C3AA824A-643D-4C6F-A278-7EF4E5CB7E23}">
    <text>Traer nombre inspector de gordon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6" dT="2023-11-29T14:53:30.95" personId="{EA7C790B-C8CE-48E7-A960-D351C524536D}" id="{09877ADC-E117-4A3E-991F-1D5EE4F8931D}">
    <text>Traer nombre inspector gordon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0" dT="2023-11-29T14:53:30.95" personId="{EA7C790B-C8CE-48E7-A960-D351C524536D}" id="{C8F3FC1A-6172-4762-B4CD-E8128192535B}">
    <text>Traer nombre inspector gordon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32" dT="2023-12-01T16:52:21.45" personId="{EA7C790B-C8CE-48E7-A960-D351C524536D}" id="{D65E6004-8491-4115-B992-1ECF70C2F50A}">
    <text>Parámetro 701</text>
  </threadedComment>
  <threadedComment ref="M32" dT="2023-12-01T16:52:42.05" personId="{EA7C790B-C8CE-48E7-A960-D351C524536D}" id="{2AE0B57A-9399-479B-9720-D3BF6447AE82}">
    <text>Parámetro 725</text>
  </threadedComment>
  <threadedComment ref="F42" dT="2023-11-29T14:53:30.95" personId="{EA7C790B-C8CE-48E7-A960-D351C524536D}" id="{EE08F66F-4E13-49BA-ADE5-ED1B0A9C2059}">
    <text>Traer nombre inspector gordon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48" dT="2023-11-29T14:53:30.95" personId="{EA7C790B-C8CE-48E7-A960-D351C524536D}" id="{A5D03B66-D295-40E1-8AA4-EFF1D7679B6B}">
    <text>Traer nombre inspector gordon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48" dT="2023-11-29T14:53:30.95" personId="{EA7C790B-C8CE-48E7-A960-D351C524536D}" id="{5D6C5F1E-7D1F-48DE-82E8-0685AD7432CA}">
    <text>Traer nombre inspector gordon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47" dT="2023-11-29T14:57:36.96" personId="{EA7C790B-C8CE-48E7-A960-D351C524536D}" id="{1B50C7BC-C0C2-4E23-9B08-3250DD0733B7}">
    <text>TRAER NOMBRE INSPECTOR DE SAP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48" dT="2023-11-29T14:58:17.08" personId="{EA7C790B-C8CE-48E7-A960-D351C524536D}" id="{44DD6273-3E8B-4424-B77A-BCB653B09E26}">
    <text xml:space="preserve">TRAER NOMBRE INSPECTOR DE SAP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F43" dT="2023-11-29T15:00:54.38" personId="{EA7C790B-C8CE-48E7-A960-D351C524536D}" id="{A3DA0935-446E-40AC-B25E-493BEF58595D}">
    <text>TRAER INSPECTOR GORDON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32" dT="2023-11-29T15:01:31.76" personId="{EA7C790B-C8CE-48E7-A960-D351C524536D}" id="{6E779F64-2E22-4697-98C0-5DA757879074}">
    <text>TRAER INSPECTOR DE SAP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omments" Target="../comments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microsoft.com/office/2017/10/relationships/threadedComment" Target="../threadedComments/threadedComment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12" Type="http://schemas.microsoft.com/office/2017/10/relationships/threadedComment" Target="../threadedComments/threadedComment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12" Type="http://schemas.microsoft.com/office/2017/10/relationships/threadedComment" Target="../threadedComments/threadedComment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11" Type="http://schemas.openxmlformats.org/officeDocument/2006/relationships/comments" Target="../comments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18" Type="http://schemas.openxmlformats.org/officeDocument/2006/relationships/comments" Target="../comments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19" Type="http://schemas.microsoft.com/office/2017/10/relationships/threadedComment" Target="../threadedComments/threadedComment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46.xml"/><Relationship Id="rId12" Type="http://schemas.microsoft.com/office/2017/10/relationships/threadedComment" Target="../threadedComments/threadedComment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11" Type="http://schemas.openxmlformats.org/officeDocument/2006/relationships/comments" Target="../comments6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3.xml"/><Relationship Id="rId12" Type="http://schemas.microsoft.com/office/2017/10/relationships/threadedComment" Target="../threadedComments/threadedComment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11" Type="http://schemas.openxmlformats.org/officeDocument/2006/relationships/comments" Target="../comments7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0.xml"/><Relationship Id="rId12" Type="http://schemas.microsoft.com/office/2017/10/relationships/threadedComment" Target="../threadedComments/threadedComment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11" Type="http://schemas.openxmlformats.org/officeDocument/2006/relationships/comments" Target="../comments8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7.xml"/><Relationship Id="rId12" Type="http://schemas.microsoft.com/office/2017/10/relationships/threadedComment" Target="../threadedComments/threadedComment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11" Type="http://schemas.openxmlformats.org/officeDocument/2006/relationships/comments" Target="../comments9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74.xml"/><Relationship Id="rId12" Type="http://schemas.microsoft.com/office/2017/10/relationships/threadedComment" Target="../threadedComments/threadedComment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3.xml"/><Relationship Id="rId11" Type="http://schemas.openxmlformats.org/officeDocument/2006/relationships/comments" Target="../comments10.xml"/><Relationship Id="rId5" Type="http://schemas.openxmlformats.org/officeDocument/2006/relationships/ctrlProp" Target="../ctrlProps/ctrlProp72.xml"/><Relationship Id="rId10" Type="http://schemas.openxmlformats.org/officeDocument/2006/relationships/ctrlProp" Target="../ctrlProps/ctrlProp77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81.xml"/><Relationship Id="rId12" Type="http://schemas.microsoft.com/office/2017/10/relationships/threadedComment" Target="../threadedComments/threadedComment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80.xml"/><Relationship Id="rId11" Type="http://schemas.openxmlformats.org/officeDocument/2006/relationships/comments" Target="../comments11.xml"/><Relationship Id="rId5" Type="http://schemas.openxmlformats.org/officeDocument/2006/relationships/ctrlProp" Target="../ctrlProps/ctrlProp79.xml"/><Relationship Id="rId10" Type="http://schemas.openxmlformats.org/officeDocument/2006/relationships/ctrlProp" Target="../ctrlProps/ctrlProp84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CC87"/>
  <sheetViews>
    <sheetView showGridLines="0" view="pageBreakPreview" zoomScale="93" zoomScaleNormal="100" zoomScaleSheetLayoutView="93" workbookViewId="0">
      <selection activeCell="BB13" sqref="BB13"/>
    </sheetView>
  </sheetViews>
  <sheetFormatPr baseColWidth="10" defaultColWidth="2.7109375" defaultRowHeight="12.75" customHeight="1" x14ac:dyDescent="0.45"/>
  <cols>
    <col min="1" max="1" width="4.7109375" style="21" customWidth="1"/>
    <col min="2" max="2" width="3.140625" style="17" customWidth="1"/>
    <col min="3" max="3" width="2.7109375" style="17" customWidth="1"/>
    <col min="4" max="4" width="3.5703125" style="17" customWidth="1"/>
    <col min="5" max="5" width="2.7109375" style="17" customWidth="1"/>
    <col min="6" max="6" width="2.7109375" style="22" customWidth="1"/>
    <col min="7" max="7" width="4" style="17" customWidth="1"/>
    <col min="8" max="8" width="2" style="17" customWidth="1"/>
    <col min="9" max="9" width="2.85546875" style="17" customWidth="1"/>
    <col min="10" max="10" width="5.7109375" style="17" customWidth="1"/>
    <col min="11" max="15" width="2" style="17" customWidth="1"/>
    <col min="16" max="16" width="3.28515625" style="17" customWidth="1"/>
    <col min="17" max="20" width="2" style="17" customWidth="1"/>
    <col min="21" max="21" width="3.5703125" style="17" customWidth="1"/>
    <col min="22" max="22" width="2.42578125" style="17" customWidth="1"/>
    <col min="23" max="23" width="2.28515625" style="17" customWidth="1"/>
    <col min="24" max="24" width="2.42578125" style="17" customWidth="1"/>
    <col min="25" max="25" width="2.85546875" style="17" customWidth="1"/>
    <col min="26" max="26" width="3.140625" style="17" customWidth="1"/>
    <col min="27" max="28" width="2.28515625" style="17" customWidth="1"/>
    <col min="29" max="29" width="3.28515625" style="17" customWidth="1"/>
    <col min="30" max="30" width="2.85546875" style="17" customWidth="1"/>
    <col min="31" max="31" width="4" style="17" customWidth="1"/>
    <col min="32" max="32" width="3.28515625" style="17" customWidth="1"/>
    <col min="33" max="33" width="3.42578125" style="17" customWidth="1"/>
    <col min="34" max="34" width="2.5703125" style="17" customWidth="1"/>
    <col min="35" max="35" width="2.7109375" style="17" customWidth="1"/>
    <col min="36" max="37" width="2.5703125" style="17" customWidth="1"/>
    <col min="38" max="38" width="3.85546875" style="17" customWidth="1"/>
    <col min="39" max="39" width="2" style="17" customWidth="1"/>
    <col min="40" max="40" width="2.28515625" style="17" customWidth="1"/>
    <col min="41" max="41" width="5.7109375" style="17" customWidth="1"/>
    <col min="42" max="42" width="5.28515625" style="17" customWidth="1"/>
    <col min="43" max="43" width="11.5703125" style="17" customWidth="1"/>
    <col min="44" max="44" width="1.85546875" style="17" hidden="1" customWidth="1"/>
    <col min="45" max="45" width="6.42578125" style="17" customWidth="1"/>
    <col min="46" max="46" width="4.7109375" style="17" customWidth="1"/>
    <col min="47" max="47" width="7.7109375" style="17" customWidth="1"/>
    <col min="48" max="48" width="10.85546875" style="17" customWidth="1"/>
    <col min="49" max="49" width="4.7109375" style="17" customWidth="1"/>
    <col min="50" max="56" width="2.7109375" style="17"/>
    <col min="57" max="57" width="2.85546875" style="17" customWidth="1"/>
    <col min="58" max="16384" width="2.7109375" style="17"/>
  </cols>
  <sheetData>
    <row r="1" spans="1:49" ht="20.100000000000001" customHeight="1" x14ac:dyDescent="0.4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5"/>
      <c r="AV1" s="24"/>
      <c r="AW1" s="217"/>
    </row>
    <row r="2" spans="1:49" ht="28.5" x14ac:dyDescent="0.65">
      <c r="A2" s="26"/>
      <c r="B2" s="27"/>
      <c r="C2" s="28"/>
      <c r="D2" s="28"/>
      <c r="E2" s="28"/>
      <c r="F2" s="28"/>
      <c r="G2" s="28"/>
      <c r="H2" s="28"/>
      <c r="I2" s="27"/>
      <c r="J2" s="27"/>
      <c r="K2" s="27"/>
      <c r="L2" s="27"/>
      <c r="M2" s="29"/>
      <c r="N2" s="27"/>
      <c r="O2" s="27"/>
      <c r="P2" s="27"/>
      <c r="Q2" s="27"/>
      <c r="R2" s="27"/>
      <c r="S2" s="27"/>
      <c r="T2" s="28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8" t="s">
        <v>0</v>
      </c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12"/>
      <c r="AU2" s="212"/>
      <c r="AV2" s="30"/>
      <c r="AW2" s="217"/>
    </row>
    <row r="3" spans="1:49" ht="21.75" x14ac:dyDescent="0.5">
      <c r="A3" s="26"/>
      <c r="B3" s="27"/>
      <c r="C3" s="27"/>
      <c r="D3" s="27"/>
      <c r="E3" s="27"/>
      <c r="F3" s="27"/>
      <c r="G3" s="27"/>
      <c r="H3" s="27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31"/>
      <c r="AF3" s="31" t="s">
        <v>1</v>
      </c>
      <c r="AG3" s="27"/>
      <c r="AH3" s="31"/>
      <c r="AI3" s="31"/>
      <c r="AJ3" s="31"/>
      <c r="AK3" s="27"/>
      <c r="AL3" s="27"/>
      <c r="AM3" s="27"/>
      <c r="AN3" s="27"/>
      <c r="AO3" s="27"/>
      <c r="AP3" s="27"/>
      <c r="AQ3" s="27"/>
      <c r="AR3" s="27"/>
      <c r="AS3" s="27"/>
      <c r="AT3" s="212"/>
      <c r="AU3" s="212"/>
      <c r="AV3" s="32"/>
      <c r="AW3" s="217"/>
    </row>
    <row r="4" spans="1:49" ht="21.75" x14ac:dyDescent="0.5">
      <c r="A4" s="26"/>
      <c r="B4" s="27"/>
      <c r="C4" s="27"/>
      <c r="D4" s="27"/>
      <c r="E4" s="27"/>
      <c r="F4" s="27"/>
      <c r="G4" s="31"/>
      <c r="H4" s="27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31"/>
      <c r="AF4" s="31" t="s">
        <v>460</v>
      </c>
      <c r="AG4" s="27"/>
      <c r="AH4" s="31"/>
      <c r="AI4" s="31"/>
      <c r="AJ4" s="31"/>
      <c r="AK4" s="27"/>
      <c r="AL4" s="27"/>
      <c r="AM4" s="27"/>
      <c r="AN4" s="27"/>
      <c r="AO4" s="27"/>
      <c r="AP4" s="27"/>
      <c r="AQ4" s="27"/>
      <c r="AR4" s="27"/>
      <c r="AS4" s="27"/>
      <c r="AT4" s="212"/>
      <c r="AU4" s="212"/>
      <c r="AV4" s="33"/>
      <c r="AW4" s="217"/>
    </row>
    <row r="5" spans="1:49" ht="12.75" customHeight="1" x14ac:dyDescent="0.4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34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35"/>
      <c r="AW5" s="217"/>
    </row>
    <row r="6" spans="1:49" ht="16.5" customHeight="1" x14ac:dyDescent="0.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3"/>
      <c r="AP6" s="23"/>
      <c r="AQ6" s="23"/>
      <c r="AR6" s="27"/>
      <c r="AS6" s="27"/>
      <c r="AT6" s="214"/>
      <c r="AU6" s="214"/>
      <c r="AV6" s="215"/>
      <c r="AW6" s="217"/>
    </row>
    <row r="7" spans="1:49" ht="16.350000000000001" customHeight="1" x14ac:dyDescent="0.45">
      <c r="A7" s="26"/>
      <c r="B7" s="190" t="s">
        <v>2</v>
      </c>
      <c r="C7" s="191"/>
      <c r="D7" s="191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191" t="s">
        <v>455</v>
      </c>
      <c r="V7" s="191"/>
      <c r="W7" s="191"/>
      <c r="X7" s="191"/>
      <c r="Y7" s="191"/>
      <c r="Z7" s="191"/>
      <c r="AA7" s="191"/>
      <c r="AB7" s="191"/>
      <c r="AC7" s="191"/>
      <c r="AD7" s="19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191" t="s">
        <v>3</v>
      </c>
      <c r="AP7" s="191"/>
      <c r="AQ7" s="191"/>
      <c r="AR7" s="233"/>
      <c r="AS7" s="233"/>
      <c r="AT7" s="233"/>
      <c r="AU7" s="233"/>
      <c r="AV7" s="234"/>
      <c r="AW7" s="217"/>
    </row>
    <row r="8" spans="1:49" ht="16.350000000000001" customHeight="1" x14ac:dyDescent="0.45">
      <c r="A8" s="26"/>
      <c r="B8" s="190" t="s">
        <v>4</v>
      </c>
      <c r="C8" s="191"/>
      <c r="D8" s="191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13" t="s">
        <v>5</v>
      </c>
      <c r="V8" s="213"/>
      <c r="W8" s="213"/>
      <c r="X8" s="213"/>
      <c r="Y8" s="213"/>
      <c r="Z8" s="213"/>
      <c r="AA8" s="213"/>
      <c r="AB8" s="213"/>
      <c r="AC8" s="213"/>
      <c r="AD8" s="213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13" t="s">
        <v>6</v>
      </c>
      <c r="AP8" s="213"/>
      <c r="AQ8" s="213"/>
      <c r="AR8" s="206"/>
      <c r="AS8" s="206"/>
      <c r="AT8" s="206"/>
      <c r="AU8" s="206"/>
      <c r="AV8" s="207"/>
      <c r="AW8" s="217"/>
    </row>
    <row r="9" spans="1:49" ht="16.350000000000001" customHeight="1" x14ac:dyDescent="0.45">
      <c r="A9" s="26"/>
      <c r="B9" s="190" t="s">
        <v>7</v>
      </c>
      <c r="C9" s="191"/>
      <c r="D9" s="191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191" t="s">
        <v>9</v>
      </c>
      <c r="V9" s="191"/>
      <c r="W9" s="191"/>
      <c r="X9" s="191"/>
      <c r="Y9" s="191"/>
      <c r="Z9" s="191"/>
      <c r="AA9" s="191"/>
      <c r="AB9" s="191"/>
      <c r="AC9" s="191"/>
      <c r="AD9" s="191"/>
      <c r="AE9" s="220" t="s">
        <v>10</v>
      </c>
      <c r="AF9" s="220"/>
      <c r="AG9" s="220"/>
      <c r="AH9" s="220"/>
      <c r="AI9" s="220"/>
      <c r="AJ9" s="220"/>
      <c r="AK9" s="220"/>
      <c r="AL9" s="220"/>
      <c r="AM9" s="220"/>
      <c r="AN9" s="220"/>
      <c r="AO9" s="191" t="s">
        <v>454</v>
      </c>
      <c r="AP9" s="191"/>
      <c r="AQ9" s="191"/>
      <c r="AR9" s="206"/>
      <c r="AS9" s="206"/>
      <c r="AT9" s="206"/>
      <c r="AU9" s="206"/>
      <c r="AV9" s="207"/>
      <c r="AW9" s="217"/>
    </row>
    <row r="10" spans="1:49" ht="16.5" customHeight="1" x14ac:dyDescent="0.45">
      <c r="A10" s="26"/>
      <c r="B10" s="27"/>
      <c r="C10" s="27"/>
      <c r="D10" s="36"/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36"/>
      <c r="AF10" s="27"/>
      <c r="AG10" s="27"/>
      <c r="AH10" s="38"/>
      <c r="AI10" s="36"/>
      <c r="AJ10" s="36"/>
      <c r="AK10" s="27"/>
      <c r="AL10" s="38"/>
      <c r="AM10" s="36"/>
      <c r="AN10" s="27"/>
      <c r="AO10" s="211"/>
      <c r="AP10" s="211"/>
      <c r="AQ10" s="211"/>
      <c r="AR10" s="211"/>
      <c r="AS10" s="211"/>
      <c r="AT10" s="38"/>
      <c r="AU10" s="34"/>
      <c r="AV10" s="39"/>
      <c r="AW10" s="217"/>
    </row>
    <row r="11" spans="1:49" ht="15" customHeight="1" x14ac:dyDescent="0.45">
      <c r="A11" s="23"/>
      <c r="B11" s="192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4"/>
      <c r="AW11" s="217"/>
    </row>
    <row r="12" spans="1:49" ht="15" customHeight="1" x14ac:dyDescent="0.45">
      <c r="A12" s="23"/>
      <c r="B12" s="195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7"/>
      <c r="AW12" s="217"/>
    </row>
    <row r="13" spans="1:49" ht="15" customHeight="1" x14ac:dyDescent="0.45">
      <c r="A13" s="23"/>
      <c r="B13" s="195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7"/>
      <c r="AW13" s="217"/>
    </row>
    <row r="14" spans="1:49" ht="15" customHeight="1" x14ac:dyDescent="0.45">
      <c r="A14" s="23"/>
      <c r="B14" s="195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7"/>
      <c r="AW14" s="217"/>
    </row>
    <row r="15" spans="1:49" ht="15" customHeight="1" x14ac:dyDescent="0.45">
      <c r="A15" s="23"/>
      <c r="B15" s="195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7"/>
      <c r="AW15" s="217"/>
    </row>
    <row r="16" spans="1:49" ht="15" customHeight="1" x14ac:dyDescent="0.45">
      <c r="A16" s="23"/>
      <c r="B16" s="195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7"/>
      <c r="AW16" s="217"/>
    </row>
    <row r="17" spans="1:49" ht="15" customHeight="1" x14ac:dyDescent="0.45">
      <c r="A17" s="23"/>
      <c r="B17" s="195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7"/>
      <c r="AW17" s="217"/>
    </row>
    <row r="18" spans="1:49" ht="15" customHeight="1" x14ac:dyDescent="0.45">
      <c r="A18" s="23"/>
      <c r="B18" s="195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7"/>
      <c r="AW18" s="217"/>
    </row>
    <row r="19" spans="1:49" ht="15" customHeight="1" x14ac:dyDescent="0.45">
      <c r="A19" s="23"/>
      <c r="B19" s="195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7"/>
      <c r="AW19" s="217"/>
    </row>
    <row r="20" spans="1:49" ht="15" customHeight="1" x14ac:dyDescent="0.45">
      <c r="A20" s="23"/>
      <c r="B20" s="195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7"/>
      <c r="AW20" s="217"/>
    </row>
    <row r="21" spans="1:49" ht="15" customHeight="1" x14ac:dyDescent="0.45">
      <c r="A21" s="23"/>
      <c r="B21" s="195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196"/>
      <c r="AU21" s="196"/>
      <c r="AV21" s="197"/>
      <c r="AW21" s="217"/>
    </row>
    <row r="22" spans="1:49" ht="15" customHeight="1" x14ac:dyDescent="0.45">
      <c r="A22" s="23"/>
      <c r="B22" s="195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7"/>
      <c r="AW22" s="217"/>
    </row>
    <row r="23" spans="1:49" ht="15" customHeight="1" x14ac:dyDescent="0.45">
      <c r="A23" s="23"/>
      <c r="B23" s="195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7"/>
      <c r="AW23" s="217"/>
    </row>
    <row r="24" spans="1:49" ht="15" customHeight="1" x14ac:dyDescent="0.45">
      <c r="A24" s="23"/>
      <c r="B24" s="195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7"/>
      <c r="AW24" s="217"/>
    </row>
    <row r="25" spans="1:49" ht="15" customHeight="1" x14ac:dyDescent="0.45">
      <c r="A25" s="23"/>
      <c r="B25" s="195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7"/>
      <c r="AW25" s="217"/>
    </row>
    <row r="26" spans="1:49" ht="15" customHeight="1" x14ac:dyDescent="0.45">
      <c r="A26" s="23"/>
      <c r="B26" s="195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7"/>
      <c r="AW26" s="217"/>
    </row>
    <row r="27" spans="1:49" ht="15" customHeight="1" x14ac:dyDescent="0.45">
      <c r="A27" s="23"/>
      <c r="B27" s="195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7"/>
      <c r="AW27" s="217"/>
    </row>
    <row r="28" spans="1:49" ht="15" customHeight="1" x14ac:dyDescent="0.45">
      <c r="A28" s="23"/>
      <c r="B28" s="195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7"/>
      <c r="AW28" s="217"/>
    </row>
    <row r="29" spans="1:49" ht="15" customHeight="1" x14ac:dyDescent="0.45">
      <c r="A29" s="23"/>
      <c r="B29" s="195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7"/>
      <c r="AW29" s="217"/>
    </row>
    <row r="30" spans="1:49" ht="15" customHeight="1" x14ac:dyDescent="0.45">
      <c r="A30" s="23"/>
      <c r="B30" s="195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7"/>
      <c r="AW30" s="217"/>
    </row>
    <row r="31" spans="1:49" ht="15" customHeight="1" x14ac:dyDescent="0.45">
      <c r="A31" s="23"/>
      <c r="B31" s="195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7"/>
      <c r="AW31" s="217"/>
    </row>
    <row r="32" spans="1:49" ht="15" customHeight="1" x14ac:dyDescent="0.45">
      <c r="A32" s="23"/>
      <c r="B32" s="195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7"/>
      <c r="AW32" s="217"/>
    </row>
    <row r="33" spans="1:49" ht="15" customHeight="1" x14ac:dyDescent="0.45">
      <c r="A33" s="23"/>
      <c r="B33" s="195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7"/>
      <c r="AW33" s="217"/>
    </row>
    <row r="34" spans="1:49" ht="15" customHeight="1" x14ac:dyDescent="0.45">
      <c r="A34" s="23"/>
      <c r="B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7"/>
      <c r="AW34" s="217"/>
    </row>
    <row r="35" spans="1:49" ht="15" customHeight="1" x14ac:dyDescent="0.45">
      <c r="A35" s="23"/>
      <c r="B35" s="195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7"/>
      <c r="AW35" s="217"/>
    </row>
    <row r="36" spans="1:49" ht="15" customHeight="1" x14ac:dyDescent="0.45">
      <c r="A36" s="23"/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  <c r="AS36" s="196"/>
      <c r="AT36" s="196"/>
      <c r="AU36" s="196"/>
      <c r="AV36" s="197"/>
      <c r="AW36" s="217"/>
    </row>
    <row r="37" spans="1:49" ht="15" customHeight="1" x14ac:dyDescent="0.45">
      <c r="A37" s="23"/>
      <c r="B37" s="195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7"/>
      <c r="AW37" s="217"/>
    </row>
    <row r="38" spans="1:49" ht="15" customHeight="1" x14ac:dyDescent="0.45">
      <c r="A38" s="23"/>
      <c r="B38" s="195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7"/>
      <c r="AW38" s="217"/>
    </row>
    <row r="39" spans="1:49" ht="15" customHeight="1" x14ac:dyDescent="0.45">
      <c r="A39" s="23"/>
      <c r="B39" s="195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7"/>
      <c r="AW39" s="217"/>
    </row>
    <row r="40" spans="1:49" ht="15" customHeight="1" x14ac:dyDescent="0.45">
      <c r="A40" s="23"/>
      <c r="B40" s="195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  <c r="AL40" s="196"/>
      <c r="AM40" s="196"/>
      <c r="AN40" s="196"/>
      <c r="AO40" s="196"/>
      <c r="AP40" s="196"/>
      <c r="AQ40" s="196"/>
      <c r="AR40" s="196"/>
      <c r="AS40" s="196"/>
      <c r="AT40" s="196"/>
      <c r="AU40" s="196"/>
      <c r="AV40" s="197"/>
      <c r="AW40" s="217"/>
    </row>
    <row r="41" spans="1:49" ht="15" customHeight="1" x14ac:dyDescent="0.45">
      <c r="A41" s="23"/>
      <c r="B41" s="195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7"/>
      <c r="AW41" s="217"/>
    </row>
    <row r="42" spans="1:49" ht="15" customHeight="1" x14ac:dyDescent="0.45">
      <c r="A42" s="23"/>
      <c r="B42" s="195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7"/>
      <c r="AW42" s="217"/>
    </row>
    <row r="43" spans="1:49" ht="15" customHeight="1" x14ac:dyDescent="0.45">
      <c r="A43" s="23"/>
      <c r="B43" s="195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7"/>
      <c r="AW43" s="217"/>
    </row>
    <row r="44" spans="1:49" ht="15" customHeight="1" x14ac:dyDescent="0.45">
      <c r="A44" s="23"/>
      <c r="B44" s="198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200"/>
      <c r="AW44" s="217"/>
    </row>
    <row r="45" spans="1:49" ht="18.75" x14ac:dyDescent="0.45">
      <c r="A45" s="23"/>
      <c r="B45" s="34"/>
      <c r="C45" s="40"/>
      <c r="D45" s="40"/>
      <c r="E45" s="40"/>
      <c r="F45" s="40"/>
      <c r="G45" s="41"/>
      <c r="H45" s="40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40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17"/>
    </row>
    <row r="46" spans="1:49" ht="18.75" x14ac:dyDescent="0.45">
      <c r="A46" s="23"/>
      <c r="B46" s="218" t="s">
        <v>11</v>
      </c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7"/>
    </row>
    <row r="47" spans="1:49" ht="18" customHeight="1" x14ac:dyDescent="0.45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17"/>
    </row>
    <row r="48" spans="1:49" ht="48.75" customHeight="1" x14ac:dyDescent="0.45">
      <c r="A48" s="23"/>
      <c r="B48" s="201" t="s">
        <v>12</v>
      </c>
      <c r="C48" s="202"/>
      <c r="D48" s="203"/>
      <c r="E48" s="201" t="s">
        <v>13</v>
      </c>
      <c r="F48" s="202"/>
      <c r="G48" s="203"/>
      <c r="H48" s="208" t="s">
        <v>14</v>
      </c>
      <c r="I48" s="209"/>
      <c r="J48" s="210"/>
      <c r="K48" s="201" t="s">
        <v>15</v>
      </c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3"/>
      <c r="AK48" s="208" t="s">
        <v>16</v>
      </c>
      <c r="AL48" s="209"/>
      <c r="AM48" s="209"/>
      <c r="AN48" s="209"/>
      <c r="AO48" s="210"/>
      <c r="AP48" s="208" t="s">
        <v>17</v>
      </c>
      <c r="AQ48" s="210"/>
      <c r="AR48" s="235" t="s">
        <v>18</v>
      </c>
      <c r="AS48" s="235"/>
      <c r="AT48" s="235"/>
      <c r="AU48" s="235"/>
      <c r="AV48" s="235"/>
      <c r="AW48" s="217"/>
    </row>
    <row r="49" spans="1:81" ht="18.75" x14ac:dyDescent="0.45">
      <c r="A49" s="23"/>
      <c r="B49" s="230">
        <v>1</v>
      </c>
      <c r="C49" s="231"/>
      <c r="D49" s="232"/>
      <c r="E49" s="187"/>
      <c r="F49" s="188"/>
      <c r="G49" s="189"/>
      <c r="H49" s="187"/>
      <c r="I49" s="188"/>
      <c r="J49" s="189"/>
      <c r="K49" s="205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7"/>
      <c r="AK49" s="227"/>
      <c r="AL49" s="228"/>
      <c r="AM49" s="228"/>
      <c r="AN49" s="228"/>
      <c r="AO49" s="229"/>
      <c r="AP49" s="184"/>
      <c r="AQ49" s="186"/>
      <c r="AR49" s="177"/>
      <c r="AS49" s="177"/>
      <c r="AT49" s="177"/>
      <c r="AU49" s="177"/>
      <c r="AV49" s="177"/>
      <c r="AW49" s="217"/>
    </row>
    <row r="50" spans="1:81" ht="18.75" x14ac:dyDescent="0.45">
      <c r="A50" s="23"/>
      <c r="B50" s="223">
        <v>2</v>
      </c>
      <c r="C50" s="224"/>
      <c r="D50" s="225"/>
      <c r="E50" s="187"/>
      <c r="F50" s="188"/>
      <c r="G50" s="189"/>
      <c r="H50" s="187"/>
      <c r="I50" s="188"/>
      <c r="J50" s="189"/>
      <c r="K50" s="205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  <c r="AE50" s="206"/>
      <c r="AF50" s="206"/>
      <c r="AG50" s="206"/>
      <c r="AH50" s="206"/>
      <c r="AI50" s="206"/>
      <c r="AJ50" s="207"/>
      <c r="AK50" s="227"/>
      <c r="AL50" s="228"/>
      <c r="AM50" s="228"/>
      <c r="AN50" s="228"/>
      <c r="AO50" s="229"/>
      <c r="AP50" s="184"/>
      <c r="AQ50" s="186"/>
      <c r="AR50" s="177"/>
      <c r="AS50" s="177"/>
      <c r="AT50" s="177"/>
      <c r="AU50" s="177"/>
      <c r="AV50" s="177"/>
      <c r="AW50" s="217"/>
    </row>
    <row r="51" spans="1:81" ht="18.75" x14ac:dyDescent="0.45">
      <c r="A51" s="23"/>
      <c r="B51" s="223">
        <v>3</v>
      </c>
      <c r="C51" s="224"/>
      <c r="D51" s="225"/>
      <c r="E51" s="187"/>
      <c r="F51" s="188"/>
      <c r="G51" s="189"/>
      <c r="H51" s="187"/>
      <c r="I51" s="188"/>
      <c r="J51" s="189"/>
      <c r="K51" s="205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7"/>
      <c r="AK51" s="227"/>
      <c r="AL51" s="228"/>
      <c r="AM51" s="228"/>
      <c r="AN51" s="228"/>
      <c r="AO51" s="229"/>
      <c r="AP51" s="184"/>
      <c r="AQ51" s="186"/>
      <c r="AR51" s="177"/>
      <c r="AS51" s="177"/>
      <c r="AT51" s="177"/>
      <c r="AU51" s="177"/>
      <c r="AV51" s="177"/>
      <c r="AW51" s="217"/>
    </row>
    <row r="52" spans="1:81" ht="18.75" x14ac:dyDescent="0.45">
      <c r="A52" s="23"/>
      <c r="B52" s="223">
        <v>4</v>
      </c>
      <c r="C52" s="224"/>
      <c r="D52" s="225"/>
      <c r="E52" s="187"/>
      <c r="F52" s="188"/>
      <c r="G52" s="226"/>
      <c r="H52" s="187"/>
      <c r="I52" s="188"/>
      <c r="J52" s="189"/>
      <c r="K52" s="205" t="str">
        <f>+VLOOKUP(H52,'Lista Defeitos'!$A:$C,3)</f>
        <v>-</v>
      </c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7"/>
      <c r="AK52" s="227"/>
      <c r="AL52" s="228"/>
      <c r="AM52" s="228"/>
      <c r="AN52" s="228"/>
      <c r="AO52" s="229"/>
      <c r="AP52" s="184"/>
      <c r="AQ52" s="186"/>
      <c r="AR52" s="177"/>
      <c r="AS52" s="177"/>
      <c r="AT52" s="177"/>
      <c r="AU52" s="177"/>
      <c r="AV52" s="177"/>
      <c r="AW52" s="217"/>
    </row>
    <row r="53" spans="1:81" ht="18.75" x14ac:dyDescent="0.45">
      <c r="A53" s="23"/>
      <c r="B53" s="223">
        <v>5</v>
      </c>
      <c r="C53" s="224"/>
      <c r="D53" s="225"/>
      <c r="E53" s="187"/>
      <c r="F53" s="188"/>
      <c r="G53" s="226"/>
      <c r="H53" s="187"/>
      <c r="I53" s="188"/>
      <c r="J53" s="189"/>
      <c r="K53" s="205" t="str">
        <f>+VLOOKUP(H53,'Lista Defeitos'!$A:$C,3)</f>
        <v>-</v>
      </c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7"/>
      <c r="AK53" s="227"/>
      <c r="AL53" s="228"/>
      <c r="AM53" s="228"/>
      <c r="AN53" s="228"/>
      <c r="AO53" s="229"/>
      <c r="AP53" s="184"/>
      <c r="AQ53" s="186"/>
      <c r="AR53" s="177"/>
      <c r="AS53" s="177"/>
      <c r="AT53" s="177"/>
      <c r="AU53" s="177"/>
      <c r="AV53" s="177"/>
      <c r="AW53" s="217"/>
    </row>
    <row r="54" spans="1:81" ht="18.75" x14ac:dyDescent="0.45">
      <c r="A54" s="23"/>
      <c r="B54" s="223">
        <v>6</v>
      </c>
      <c r="C54" s="224"/>
      <c r="D54" s="225"/>
      <c r="E54" s="187"/>
      <c r="F54" s="188"/>
      <c r="G54" s="226"/>
      <c r="H54" s="187"/>
      <c r="I54" s="188"/>
      <c r="J54" s="189"/>
      <c r="K54" s="205" t="str">
        <f>+VLOOKUP(H54,'Lista Defeitos'!$A:$C,3)</f>
        <v>-</v>
      </c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7"/>
      <c r="AK54" s="227"/>
      <c r="AL54" s="228"/>
      <c r="AM54" s="228"/>
      <c r="AN54" s="228"/>
      <c r="AO54" s="229"/>
      <c r="AP54" s="184"/>
      <c r="AQ54" s="186"/>
      <c r="AR54" s="177"/>
      <c r="AS54" s="177"/>
      <c r="AT54" s="177"/>
      <c r="AU54" s="177"/>
      <c r="AV54" s="177"/>
      <c r="AW54" s="217"/>
    </row>
    <row r="55" spans="1:81" ht="18.75" x14ac:dyDescent="0.45">
      <c r="A55" s="23"/>
      <c r="B55" s="223">
        <v>7</v>
      </c>
      <c r="C55" s="224"/>
      <c r="D55" s="225"/>
      <c r="E55" s="187"/>
      <c r="F55" s="188"/>
      <c r="G55" s="226"/>
      <c r="H55" s="187"/>
      <c r="I55" s="188"/>
      <c r="J55" s="189"/>
      <c r="K55" s="237" t="str">
        <f>+VLOOKUP(H55,'Lista Defeitos'!$A:$C,3)</f>
        <v>-</v>
      </c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38"/>
      <c r="AK55" s="227"/>
      <c r="AL55" s="228"/>
      <c r="AM55" s="228"/>
      <c r="AN55" s="228"/>
      <c r="AO55" s="229"/>
      <c r="AP55" s="184"/>
      <c r="AQ55" s="186"/>
      <c r="AR55" s="177"/>
      <c r="AS55" s="177"/>
      <c r="AT55" s="177"/>
      <c r="AU55" s="177"/>
      <c r="AV55" s="177"/>
      <c r="AW55" s="217"/>
    </row>
    <row r="56" spans="1:81" ht="21" x14ac:dyDescent="0.5">
      <c r="A56" s="23"/>
      <c r="B56" s="223">
        <v>8</v>
      </c>
      <c r="C56" s="224"/>
      <c r="D56" s="225"/>
      <c r="E56" s="187"/>
      <c r="F56" s="188"/>
      <c r="G56" s="226"/>
      <c r="H56" s="187"/>
      <c r="I56" s="188"/>
      <c r="J56" s="189"/>
      <c r="K56" s="237" t="str">
        <f>+VLOOKUP(H56,'Lista Defeitos'!$A:$C,3)</f>
        <v>-</v>
      </c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38"/>
      <c r="AK56" s="227"/>
      <c r="AL56" s="228"/>
      <c r="AM56" s="228"/>
      <c r="AN56" s="228"/>
      <c r="AO56" s="229"/>
      <c r="AP56" s="184"/>
      <c r="AQ56" s="186"/>
      <c r="AR56" s="177"/>
      <c r="AS56" s="177"/>
      <c r="AT56" s="177"/>
      <c r="AU56" s="177"/>
      <c r="AV56" s="177"/>
      <c r="AW56" s="217"/>
      <c r="CC56" s="18"/>
    </row>
    <row r="57" spans="1:81" ht="18.75" x14ac:dyDescent="0.45">
      <c r="A57" s="23"/>
      <c r="B57" s="223">
        <v>9</v>
      </c>
      <c r="C57" s="224"/>
      <c r="D57" s="225"/>
      <c r="E57" s="187"/>
      <c r="F57" s="188"/>
      <c r="G57" s="226"/>
      <c r="H57" s="187"/>
      <c r="I57" s="188"/>
      <c r="J57" s="189"/>
      <c r="K57" s="237" t="str">
        <f>+VLOOKUP(H57,'Lista Defeitos'!$A:$C,3)</f>
        <v>-</v>
      </c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38"/>
      <c r="AK57" s="227"/>
      <c r="AL57" s="228"/>
      <c r="AM57" s="228"/>
      <c r="AN57" s="228"/>
      <c r="AO57" s="229"/>
      <c r="AP57" s="184"/>
      <c r="AQ57" s="186"/>
      <c r="AR57" s="177"/>
      <c r="AS57" s="177"/>
      <c r="AT57" s="177"/>
      <c r="AU57" s="177"/>
      <c r="AV57" s="177"/>
      <c r="AW57" s="217"/>
    </row>
    <row r="58" spans="1:81" ht="18.75" x14ac:dyDescent="0.45">
      <c r="A58" s="23"/>
      <c r="B58" s="223">
        <v>10</v>
      </c>
      <c r="C58" s="224"/>
      <c r="D58" s="225"/>
      <c r="E58" s="187"/>
      <c r="F58" s="188"/>
      <c r="G58" s="226"/>
      <c r="H58" s="187"/>
      <c r="I58" s="188"/>
      <c r="J58" s="189"/>
      <c r="K58" s="237" t="str">
        <f>+VLOOKUP(H58,'Lista Defeitos'!$A:$C,3)</f>
        <v>-</v>
      </c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38"/>
      <c r="AK58" s="227"/>
      <c r="AL58" s="228"/>
      <c r="AM58" s="228"/>
      <c r="AN58" s="228"/>
      <c r="AO58" s="229"/>
      <c r="AP58" s="184"/>
      <c r="AQ58" s="186"/>
      <c r="AR58" s="177"/>
      <c r="AS58" s="177"/>
      <c r="AT58" s="177"/>
      <c r="AU58" s="177"/>
      <c r="AV58" s="177"/>
      <c r="AW58" s="217"/>
    </row>
    <row r="59" spans="1:81" ht="18.75" x14ac:dyDescent="0.45">
      <c r="A59" s="23"/>
      <c r="B59" s="223">
        <v>11</v>
      </c>
      <c r="C59" s="224"/>
      <c r="D59" s="225"/>
      <c r="E59" s="187"/>
      <c r="F59" s="188"/>
      <c r="G59" s="226"/>
      <c r="H59" s="187"/>
      <c r="I59" s="188"/>
      <c r="J59" s="189"/>
      <c r="K59" s="237" t="str">
        <f>+VLOOKUP(H59,'Lista Defeitos'!$A:$C,3)</f>
        <v>-</v>
      </c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38"/>
      <c r="AK59" s="227"/>
      <c r="AL59" s="228"/>
      <c r="AM59" s="228"/>
      <c r="AN59" s="228"/>
      <c r="AO59" s="229"/>
      <c r="AP59" s="184"/>
      <c r="AQ59" s="186"/>
      <c r="AR59" s="177"/>
      <c r="AS59" s="177"/>
      <c r="AT59" s="177"/>
      <c r="AU59" s="177"/>
      <c r="AV59" s="177"/>
      <c r="AW59" s="217"/>
    </row>
    <row r="60" spans="1:81" ht="18.75" x14ac:dyDescent="0.45">
      <c r="A60" s="23"/>
      <c r="B60" s="223">
        <v>12</v>
      </c>
      <c r="C60" s="224"/>
      <c r="D60" s="225"/>
      <c r="E60" s="187"/>
      <c r="F60" s="188"/>
      <c r="G60" s="226"/>
      <c r="H60" s="187"/>
      <c r="I60" s="188"/>
      <c r="J60" s="189"/>
      <c r="K60" s="237" t="str">
        <f>+VLOOKUP(H60,'Lista Defeitos'!$A:$C,3)</f>
        <v>-</v>
      </c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38"/>
      <c r="AK60" s="184"/>
      <c r="AL60" s="185"/>
      <c r="AM60" s="185"/>
      <c r="AN60" s="185"/>
      <c r="AO60" s="186"/>
      <c r="AP60" s="184"/>
      <c r="AQ60" s="186"/>
      <c r="AR60" s="177"/>
      <c r="AS60" s="177"/>
      <c r="AT60" s="177"/>
      <c r="AU60" s="177"/>
      <c r="AV60" s="177"/>
      <c r="AW60" s="217"/>
    </row>
    <row r="61" spans="1:81" ht="12.75" customHeight="1" x14ac:dyDescent="0.45">
      <c r="A61" s="23"/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17"/>
    </row>
    <row r="62" spans="1:81" ht="15" customHeight="1" x14ac:dyDescent="0.45">
      <c r="A62" s="23"/>
      <c r="B62" s="43"/>
      <c r="C62" s="27"/>
      <c r="D62" s="27"/>
      <c r="E62" s="27"/>
      <c r="F62" s="27"/>
      <c r="G62" s="27"/>
      <c r="H62" s="27"/>
      <c r="I62" s="27"/>
      <c r="J62" s="27"/>
      <c r="K62" s="239" t="s">
        <v>20</v>
      </c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40" t="s">
        <v>21</v>
      </c>
      <c r="W62" s="240"/>
      <c r="X62" s="240"/>
      <c r="Y62" s="240"/>
      <c r="Z62" s="240"/>
      <c r="AA62" s="240"/>
      <c r="AB62" s="240"/>
      <c r="AC62" s="240"/>
      <c r="AD62" s="240"/>
      <c r="AE62" s="27"/>
      <c r="AF62" s="27"/>
      <c r="AG62" s="27"/>
      <c r="AH62" s="27"/>
      <c r="AI62" s="27"/>
      <c r="AJ62" s="27"/>
      <c r="AK62" s="27"/>
      <c r="AL62" s="181" t="s">
        <v>20</v>
      </c>
      <c r="AM62" s="182"/>
      <c r="AN62" s="182"/>
      <c r="AO62" s="182"/>
      <c r="AP62" s="182"/>
      <c r="AQ62" s="183"/>
      <c r="AR62" s="44"/>
      <c r="AS62" s="181" t="s">
        <v>21</v>
      </c>
      <c r="AT62" s="182"/>
      <c r="AU62" s="182"/>
      <c r="AV62" s="183"/>
      <c r="AW62" s="217"/>
    </row>
    <row r="63" spans="1:81" ht="15" customHeight="1" x14ac:dyDescent="0.45">
      <c r="A63" s="23"/>
      <c r="B63" s="173" t="s">
        <v>22</v>
      </c>
      <c r="C63" s="174"/>
      <c r="D63" s="174"/>
      <c r="E63" s="174"/>
      <c r="F63" s="174"/>
      <c r="G63" s="174"/>
      <c r="H63" s="174"/>
      <c r="I63" s="174"/>
      <c r="J63" s="175"/>
      <c r="K63" s="187"/>
      <c r="L63" s="188"/>
      <c r="M63" s="188"/>
      <c r="N63" s="188"/>
      <c r="O63" s="188"/>
      <c r="P63" s="188"/>
      <c r="Q63" s="188"/>
      <c r="R63" s="188"/>
      <c r="S63" s="188"/>
      <c r="T63" s="188"/>
      <c r="U63" s="189"/>
      <c r="V63" s="187"/>
      <c r="W63" s="188"/>
      <c r="X63" s="188"/>
      <c r="Y63" s="188"/>
      <c r="Z63" s="188"/>
      <c r="AA63" s="188"/>
      <c r="AB63" s="188"/>
      <c r="AC63" s="188"/>
      <c r="AD63" s="189"/>
      <c r="AE63" s="170" t="s">
        <v>23</v>
      </c>
      <c r="AF63" s="171"/>
      <c r="AG63" s="171"/>
      <c r="AH63" s="171"/>
      <c r="AI63" s="171"/>
      <c r="AJ63" s="171"/>
      <c r="AK63" s="172"/>
      <c r="AL63" s="184"/>
      <c r="AM63" s="185"/>
      <c r="AN63" s="185"/>
      <c r="AO63" s="185"/>
      <c r="AP63" s="185"/>
      <c r="AQ63" s="186"/>
      <c r="AR63" s="45"/>
      <c r="AS63" s="176"/>
      <c r="AT63" s="176"/>
      <c r="AU63" s="176"/>
      <c r="AV63" s="176"/>
      <c r="AW63" s="217"/>
    </row>
    <row r="64" spans="1:81" ht="15" customHeight="1" x14ac:dyDescent="0.45">
      <c r="A64" s="23"/>
      <c r="B64" s="173" t="s">
        <v>24</v>
      </c>
      <c r="C64" s="174"/>
      <c r="D64" s="174"/>
      <c r="E64" s="174"/>
      <c r="F64" s="174"/>
      <c r="G64" s="174"/>
      <c r="H64" s="174"/>
      <c r="I64" s="174"/>
      <c r="J64" s="175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3" t="s">
        <v>25</v>
      </c>
      <c r="AF64" s="174"/>
      <c r="AG64" s="174"/>
      <c r="AH64" s="174"/>
      <c r="AI64" s="174"/>
      <c r="AJ64" s="174"/>
      <c r="AK64" s="175"/>
      <c r="AL64" s="184"/>
      <c r="AM64" s="185"/>
      <c r="AN64" s="185"/>
      <c r="AO64" s="185"/>
      <c r="AP64" s="185"/>
      <c r="AQ64" s="186"/>
      <c r="AR64" s="45"/>
      <c r="AS64" s="176"/>
      <c r="AT64" s="176"/>
      <c r="AU64" s="176"/>
      <c r="AV64" s="176"/>
      <c r="AW64" s="217"/>
    </row>
    <row r="65" spans="1:65" ht="15" customHeight="1" x14ac:dyDescent="0.45">
      <c r="A65" s="23"/>
      <c r="B65" s="173" t="s">
        <v>26</v>
      </c>
      <c r="C65" s="174"/>
      <c r="D65" s="174"/>
      <c r="E65" s="174"/>
      <c r="F65" s="174"/>
      <c r="G65" s="174"/>
      <c r="H65" s="174"/>
      <c r="I65" s="174"/>
      <c r="J65" s="175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3" t="s">
        <v>27</v>
      </c>
      <c r="AF65" s="174"/>
      <c r="AG65" s="174"/>
      <c r="AH65" s="174"/>
      <c r="AI65" s="174"/>
      <c r="AJ65" s="174"/>
      <c r="AK65" s="175"/>
      <c r="AL65" s="187"/>
      <c r="AM65" s="188"/>
      <c r="AN65" s="188"/>
      <c r="AO65" s="188"/>
      <c r="AP65" s="188"/>
      <c r="AQ65" s="189"/>
      <c r="AR65" s="47"/>
      <c r="AS65" s="177"/>
      <c r="AT65" s="177"/>
      <c r="AU65" s="177"/>
      <c r="AV65" s="177"/>
      <c r="AW65" s="217"/>
    </row>
    <row r="66" spans="1:65" ht="15" customHeight="1" x14ac:dyDescent="0.45">
      <c r="A66" s="23"/>
      <c r="B66" s="173" t="s">
        <v>28</v>
      </c>
      <c r="C66" s="174"/>
      <c r="D66" s="174"/>
      <c r="E66" s="174"/>
      <c r="F66" s="174"/>
      <c r="G66" s="174"/>
      <c r="H66" s="174"/>
      <c r="I66" s="174"/>
      <c r="J66" s="175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0" t="s">
        <v>29</v>
      </c>
      <c r="AF66" s="171"/>
      <c r="AG66" s="171"/>
      <c r="AH66" s="171"/>
      <c r="AI66" s="171"/>
      <c r="AJ66" s="171"/>
      <c r="AK66" s="172"/>
      <c r="AL66" s="184"/>
      <c r="AM66" s="185"/>
      <c r="AN66" s="185"/>
      <c r="AO66" s="185"/>
      <c r="AP66" s="185"/>
      <c r="AQ66" s="186"/>
      <c r="AR66" s="42"/>
      <c r="AS66" s="178"/>
      <c r="AT66" s="179"/>
      <c r="AU66" s="179"/>
      <c r="AV66" s="180"/>
      <c r="AW66" s="217"/>
      <c r="BM66" s="19"/>
    </row>
    <row r="67" spans="1:65" s="20" customFormat="1" ht="15" customHeight="1" x14ac:dyDescent="0.2">
      <c r="A67" s="48"/>
      <c r="B67" s="173" t="s">
        <v>30</v>
      </c>
      <c r="C67" s="174"/>
      <c r="D67" s="174"/>
      <c r="E67" s="174"/>
      <c r="F67" s="174"/>
      <c r="G67" s="174"/>
      <c r="H67" s="174"/>
      <c r="I67" s="174"/>
      <c r="J67" s="175"/>
      <c r="K67" s="184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70" t="s">
        <v>31</v>
      </c>
      <c r="AF67" s="171"/>
      <c r="AG67" s="171"/>
      <c r="AH67" s="171"/>
      <c r="AI67" s="171"/>
      <c r="AJ67" s="171"/>
      <c r="AK67" s="172"/>
      <c r="AL67" s="184"/>
      <c r="AM67" s="185"/>
      <c r="AN67" s="185"/>
      <c r="AO67" s="185"/>
      <c r="AP67" s="185"/>
      <c r="AQ67" s="186"/>
      <c r="AR67" s="42"/>
      <c r="AS67" s="178"/>
      <c r="AT67" s="179"/>
      <c r="AU67" s="179"/>
      <c r="AV67" s="180"/>
      <c r="AW67" s="217"/>
    </row>
    <row r="68" spans="1:65" s="20" customFormat="1" ht="15" customHeight="1" x14ac:dyDescent="0.2">
      <c r="A68" s="48"/>
      <c r="B68" s="241" t="s">
        <v>32</v>
      </c>
      <c r="C68" s="241"/>
      <c r="D68" s="241"/>
      <c r="E68" s="241"/>
      <c r="F68" s="241"/>
      <c r="G68" s="241"/>
      <c r="H68" s="241"/>
      <c r="I68" s="241"/>
      <c r="J68" s="241"/>
      <c r="K68" s="184"/>
      <c r="L68" s="185"/>
      <c r="M68" s="185"/>
      <c r="N68" s="185"/>
      <c r="O68" s="185"/>
      <c r="P68" s="185"/>
      <c r="Q68" s="185"/>
      <c r="R68" s="185"/>
      <c r="S68" s="185"/>
      <c r="T68" s="185"/>
      <c r="U68" s="186"/>
      <c r="V68" s="184"/>
      <c r="W68" s="185"/>
      <c r="X68" s="185"/>
      <c r="Y68" s="185"/>
      <c r="Z68" s="185"/>
      <c r="AA68" s="185"/>
      <c r="AB68" s="185"/>
      <c r="AC68" s="185"/>
      <c r="AD68" s="186"/>
      <c r="AE68" s="170"/>
      <c r="AF68" s="171"/>
      <c r="AG68" s="171"/>
      <c r="AH68" s="171"/>
      <c r="AI68" s="171"/>
      <c r="AJ68" s="171"/>
      <c r="AK68" s="172"/>
      <c r="AL68" s="184"/>
      <c r="AM68" s="185"/>
      <c r="AN68" s="185"/>
      <c r="AO68" s="185"/>
      <c r="AP68" s="185"/>
      <c r="AQ68" s="186"/>
      <c r="AR68" s="46"/>
      <c r="AS68" s="178"/>
      <c r="AT68" s="179"/>
      <c r="AU68" s="179"/>
      <c r="AV68" s="180"/>
      <c r="AW68" s="217"/>
    </row>
    <row r="69" spans="1:65" ht="12.75" customHeight="1" x14ac:dyDescent="0.45">
      <c r="A69" s="23"/>
      <c r="B69" s="43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17"/>
    </row>
    <row r="70" spans="1:65" ht="18.75" x14ac:dyDescent="0.45">
      <c r="A70" s="23"/>
      <c r="B70" s="250" t="s">
        <v>33</v>
      </c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2"/>
      <c r="AM70" s="27"/>
      <c r="AN70" s="27"/>
      <c r="AO70" s="242" t="s">
        <v>34</v>
      </c>
      <c r="AP70" s="243"/>
      <c r="AQ70" s="243"/>
      <c r="AR70" s="243"/>
      <c r="AS70" s="243"/>
      <c r="AT70" s="243"/>
      <c r="AU70" s="243"/>
      <c r="AV70" s="244"/>
      <c r="AW70" s="217"/>
    </row>
    <row r="71" spans="1:65" ht="18.75" x14ac:dyDescent="0.45">
      <c r="A71" s="23"/>
      <c r="B71" s="246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8"/>
      <c r="AM71" s="27"/>
      <c r="AN71" s="27"/>
      <c r="AO71" s="49"/>
      <c r="AP71" s="27"/>
      <c r="AQ71" s="27"/>
      <c r="AR71" s="27"/>
      <c r="AS71" s="27"/>
      <c r="AT71" s="27"/>
      <c r="AU71" s="27"/>
      <c r="AV71" s="35"/>
      <c r="AW71" s="217"/>
    </row>
    <row r="72" spans="1:65" ht="18.75" x14ac:dyDescent="0.45">
      <c r="A72" s="23"/>
      <c r="B72" s="246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8"/>
      <c r="AM72" s="27"/>
      <c r="AN72" s="27"/>
      <c r="AO72" s="49" t="s">
        <v>35</v>
      </c>
      <c r="AP72" s="27"/>
      <c r="AQ72" s="27"/>
      <c r="AR72" s="27"/>
      <c r="AS72" s="27"/>
      <c r="AT72" s="27"/>
      <c r="AU72" s="27"/>
      <c r="AV72" s="35"/>
      <c r="AW72" s="217"/>
    </row>
    <row r="73" spans="1:65" ht="18.75" x14ac:dyDescent="0.45">
      <c r="A73" s="23"/>
      <c r="B73" s="246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8"/>
      <c r="AM73" s="27"/>
      <c r="AN73" s="27"/>
      <c r="AO73" s="49" t="s">
        <v>36</v>
      </c>
      <c r="AP73" s="27"/>
      <c r="AQ73" s="27"/>
      <c r="AR73" s="27"/>
      <c r="AS73" s="27"/>
      <c r="AT73" s="27"/>
      <c r="AU73" s="27"/>
      <c r="AV73" s="35"/>
      <c r="AW73" s="217"/>
    </row>
    <row r="74" spans="1:65" ht="18.75" x14ac:dyDescent="0.45">
      <c r="A74" s="23"/>
      <c r="B74" s="246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8"/>
      <c r="AM74" s="27"/>
      <c r="AN74" s="27"/>
      <c r="AO74" s="49" t="s">
        <v>37</v>
      </c>
      <c r="AP74" s="27"/>
      <c r="AQ74" s="27"/>
      <c r="AR74" s="27"/>
      <c r="AS74" s="27"/>
      <c r="AT74" s="27"/>
      <c r="AU74" s="27"/>
      <c r="AV74" s="35"/>
      <c r="AW74" s="217"/>
    </row>
    <row r="75" spans="1:65" ht="18.75" x14ac:dyDescent="0.45">
      <c r="A75" s="23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7"/>
      <c r="AN75" s="27"/>
      <c r="AO75" s="49" t="s">
        <v>38</v>
      </c>
      <c r="AP75" s="27"/>
      <c r="AQ75" s="27"/>
      <c r="AR75" s="27"/>
      <c r="AS75" s="27"/>
      <c r="AT75" s="27"/>
      <c r="AU75" s="27"/>
      <c r="AV75" s="35"/>
      <c r="AW75" s="217"/>
    </row>
    <row r="76" spans="1:65" ht="18.75" x14ac:dyDescent="0.45">
      <c r="A76" s="23"/>
      <c r="B76" s="250" t="s">
        <v>39</v>
      </c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2"/>
      <c r="AM76" s="27"/>
      <c r="AN76" s="27"/>
      <c r="AO76" s="49" t="s">
        <v>40</v>
      </c>
      <c r="AP76" s="27"/>
      <c r="AQ76" s="27"/>
      <c r="AR76" s="27"/>
      <c r="AS76" s="27"/>
      <c r="AT76" s="27"/>
      <c r="AU76" s="27"/>
      <c r="AV76" s="35"/>
      <c r="AW76" s="217"/>
    </row>
    <row r="77" spans="1:65" ht="18.75" x14ac:dyDescent="0.45">
      <c r="A77" s="23"/>
      <c r="B77" s="246" t="s">
        <v>41</v>
      </c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7"/>
      <c r="AA77" s="247"/>
      <c r="AB77" s="247"/>
      <c r="AC77" s="247"/>
      <c r="AD77" s="247"/>
      <c r="AE77" s="247"/>
      <c r="AF77" s="247"/>
      <c r="AG77" s="247"/>
      <c r="AH77" s="247"/>
      <c r="AI77" s="247"/>
      <c r="AJ77" s="247"/>
      <c r="AK77" s="247"/>
      <c r="AL77" s="248"/>
      <c r="AM77" s="27"/>
      <c r="AN77" s="27"/>
      <c r="AO77" s="49" t="s">
        <v>42</v>
      </c>
      <c r="AP77" s="27"/>
      <c r="AQ77" s="27"/>
      <c r="AR77" s="27"/>
      <c r="AS77" s="27"/>
      <c r="AT77" s="27"/>
      <c r="AU77" s="27"/>
      <c r="AV77" s="35"/>
      <c r="AW77" s="217"/>
    </row>
    <row r="78" spans="1:65" ht="18.75" x14ac:dyDescent="0.45">
      <c r="A78" s="23"/>
      <c r="B78" s="187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9"/>
      <c r="AM78" s="27"/>
      <c r="AN78" s="27"/>
      <c r="AO78" s="49" t="s">
        <v>43</v>
      </c>
      <c r="AP78" s="27"/>
      <c r="AQ78" s="27"/>
      <c r="AR78" s="27"/>
      <c r="AS78" s="27"/>
      <c r="AT78" s="27"/>
      <c r="AU78" s="27"/>
      <c r="AV78" s="35"/>
      <c r="AW78" s="217"/>
    </row>
    <row r="79" spans="1:65" ht="18.75" x14ac:dyDescent="0.45">
      <c r="A79" s="23"/>
      <c r="B79" s="187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9"/>
      <c r="AM79" s="27"/>
      <c r="AN79" s="27"/>
      <c r="AO79" s="49" t="s">
        <v>44</v>
      </c>
      <c r="AP79" s="27"/>
      <c r="AQ79" s="27"/>
      <c r="AR79" s="27"/>
      <c r="AS79" s="27"/>
      <c r="AT79" s="27"/>
      <c r="AU79" s="27"/>
      <c r="AV79" s="35"/>
      <c r="AW79" s="217"/>
    </row>
    <row r="80" spans="1:65" ht="12.75" customHeight="1" x14ac:dyDescent="0.45">
      <c r="A80" s="23"/>
      <c r="B80" s="187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9"/>
      <c r="AM80" s="27"/>
      <c r="AN80" s="27"/>
      <c r="AO80" s="51"/>
      <c r="AP80" s="24"/>
      <c r="AQ80" s="24"/>
      <c r="AR80" s="24"/>
      <c r="AS80" s="24"/>
      <c r="AT80" s="24"/>
      <c r="AU80" s="24"/>
      <c r="AV80" s="52"/>
      <c r="AW80" s="217"/>
    </row>
    <row r="81" spans="1:49" ht="12.75" customHeight="1" x14ac:dyDescent="0.45">
      <c r="A81" s="23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17"/>
    </row>
    <row r="82" spans="1:49" ht="12.75" customHeight="1" x14ac:dyDescent="0.45">
      <c r="A82" s="23"/>
      <c r="B82" s="27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217"/>
    </row>
    <row r="83" spans="1:49" ht="18.75" x14ac:dyDescent="0.45">
      <c r="A83" s="23"/>
      <c r="B83" s="27"/>
      <c r="C83" s="245" t="s">
        <v>457</v>
      </c>
      <c r="D83" s="245"/>
      <c r="E83" s="245"/>
      <c r="F83" s="245"/>
      <c r="G83" s="245"/>
      <c r="H83" s="245"/>
      <c r="I83" s="245"/>
      <c r="J83" s="245"/>
      <c r="K83" s="245"/>
      <c r="L83" s="245"/>
      <c r="M83" s="54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53"/>
      <c r="Y83" s="245" t="s">
        <v>456</v>
      </c>
      <c r="Z83" s="245"/>
      <c r="AA83" s="245"/>
      <c r="AB83" s="245"/>
      <c r="AC83" s="245"/>
      <c r="AD83" s="245"/>
      <c r="AE83" s="245"/>
      <c r="AF83" s="245"/>
      <c r="AG83" s="53"/>
      <c r="AH83" s="53"/>
      <c r="AI83" s="53"/>
      <c r="AJ83" s="53"/>
      <c r="AK83" s="53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3"/>
      <c r="AW83" s="217"/>
    </row>
    <row r="84" spans="1:49" ht="18.75" x14ac:dyDescent="0.45">
      <c r="A84" s="23"/>
      <c r="B84" s="27"/>
      <c r="C84" s="254" t="s">
        <v>45</v>
      </c>
      <c r="D84" s="254"/>
      <c r="E84" s="254"/>
      <c r="F84" s="254"/>
      <c r="G84" s="254"/>
      <c r="H84" s="254"/>
      <c r="I84" s="254"/>
      <c r="J84" s="254"/>
      <c r="K84" s="254"/>
      <c r="L84" s="254"/>
      <c r="M84" s="54"/>
      <c r="N84" s="254" t="s">
        <v>46</v>
      </c>
      <c r="O84" s="254"/>
      <c r="P84" s="254"/>
      <c r="Q84" s="254"/>
      <c r="R84" s="254"/>
      <c r="S84" s="254"/>
      <c r="T84" s="254"/>
      <c r="U84" s="254"/>
      <c r="V84" s="254"/>
      <c r="W84" s="254"/>
      <c r="X84" s="56"/>
      <c r="Y84" s="254" t="s">
        <v>47</v>
      </c>
      <c r="Z84" s="254"/>
      <c r="AA84" s="254"/>
      <c r="AB84" s="254"/>
      <c r="AC84" s="254"/>
      <c r="AD84" s="254"/>
      <c r="AE84" s="254"/>
      <c r="AF84" s="254"/>
      <c r="AG84" s="53"/>
      <c r="AH84" s="53"/>
      <c r="AI84" s="53"/>
      <c r="AJ84" s="53"/>
      <c r="AK84" s="53"/>
      <c r="AL84" s="55"/>
      <c r="AM84" s="55"/>
      <c r="AN84" s="55"/>
      <c r="AO84" s="53" t="s">
        <v>48</v>
      </c>
      <c r="AP84" s="53"/>
      <c r="AQ84" s="53"/>
      <c r="AR84" s="53"/>
      <c r="AS84" s="57"/>
      <c r="AT84" s="57"/>
      <c r="AU84" s="57"/>
      <c r="AV84" s="53"/>
      <c r="AW84" s="217"/>
    </row>
    <row r="85" spans="1:49" ht="12.75" customHeight="1" x14ac:dyDescent="0.45">
      <c r="A85" s="23"/>
      <c r="B85" s="27"/>
      <c r="C85" s="55"/>
      <c r="D85" s="55"/>
      <c r="E85" s="55"/>
      <c r="F85" s="58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3"/>
      <c r="AW85" s="217"/>
    </row>
    <row r="86" spans="1:49" ht="16.5" customHeight="1" x14ac:dyDescent="0.45">
      <c r="A86" s="23"/>
      <c r="B86" s="255" t="s">
        <v>49</v>
      </c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19"/>
      <c r="AH86" s="219"/>
      <c r="AI86" s="219"/>
      <c r="AJ86" s="219"/>
      <c r="AK86" s="219"/>
      <c r="AL86" s="219"/>
      <c r="AM86" s="219"/>
      <c r="AN86" s="219"/>
      <c r="AO86" s="219"/>
      <c r="AP86" s="59"/>
      <c r="AQ86" s="219"/>
      <c r="AR86" s="219"/>
      <c r="AS86" s="219"/>
      <c r="AT86" s="219"/>
      <c r="AU86" s="219"/>
      <c r="AV86" s="60" t="s">
        <v>50</v>
      </c>
      <c r="AW86" s="217"/>
    </row>
    <row r="87" spans="1:49" ht="20.100000000000001" customHeight="1" x14ac:dyDescent="0.45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  <c r="AH87" s="216"/>
      <c r="AI87" s="216"/>
      <c r="AJ87" s="216"/>
      <c r="AK87" s="216"/>
      <c r="AL87" s="216"/>
      <c r="AM87" s="216"/>
      <c r="AN87" s="216"/>
      <c r="AO87" s="216"/>
      <c r="AP87" s="216"/>
      <c r="AQ87" s="216"/>
      <c r="AR87" s="216"/>
      <c r="AS87" s="216"/>
      <c r="AT87" s="216"/>
      <c r="AU87" s="216"/>
      <c r="AV87" s="216"/>
      <c r="AW87" s="216"/>
    </row>
  </sheetData>
  <mergeCells count="182">
    <mergeCell ref="Y86:AF86"/>
    <mergeCell ref="C84:L84"/>
    <mergeCell ref="B79:AL79"/>
    <mergeCell ref="N84:W84"/>
    <mergeCell ref="Y83:AF83"/>
    <mergeCell ref="Y84:AF84"/>
    <mergeCell ref="AG86:AO86"/>
    <mergeCell ref="B72:AL72"/>
    <mergeCell ref="B77:AL77"/>
    <mergeCell ref="Q86:X86"/>
    <mergeCell ref="B86:P86"/>
    <mergeCell ref="AO70:AV70"/>
    <mergeCell ref="C83:L83"/>
    <mergeCell ref="B80:AL80"/>
    <mergeCell ref="B71:AL71"/>
    <mergeCell ref="N83:W83"/>
    <mergeCell ref="B78:AL78"/>
    <mergeCell ref="B73:AL73"/>
    <mergeCell ref="B74:AL74"/>
    <mergeCell ref="B75:AL75"/>
    <mergeCell ref="B76:AL76"/>
    <mergeCell ref="B70:AL70"/>
    <mergeCell ref="K62:U62"/>
    <mergeCell ref="B63:J63"/>
    <mergeCell ref="B64:J64"/>
    <mergeCell ref="V64:AD64"/>
    <mergeCell ref="K64:U64"/>
    <mergeCell ref="V63:AD63"/>
    <mergeCell ref="K63:U63"/>
    <mergeCell ref="V62:AD62"/>
    <mergeCell ref="AL68:AQ68"/>
    <mergeCell ref="K68:U68"/>
    <mergeCell ref="K67:AD67"/>
    <mergeCell ref="AE67:AK67"/>
    <mergeCell ref="K65:U65"/>
    <mergeCell ref="AE66:AK66"/>
    <mergeCell ref="B67:J67"/>
    <mergeCell ref="B66:J66"/>
    <mergeCell ref="B65:J65"/>
    <mergeCell ref="B68:J68"/>
    <mergeCell ref="K66:U66"/>
    <mergeCell ref="V66:AD66"/>
    <mergeCell ref="V65:AD65"/>
    <mergeCell ref="AL67:AQ67"/>
    <mergeCell ref="AL66:AQ66"/>
    <mergeCell ref="V68:AD68"/>
    <mergeCell ref="B59:D59"/>
    <mergeCell ref="E59:G59"/>
    <mergeCell ref="AK59:AO59"/>
    <mergeCell ref="B60:D60"/>
    <mergeCell ref="E60:G60"/>
    <mergeCell ref="AR59:AV59"/>
    <mergeCell ref="AP59:AQ59"/>
    <mergeCell ref="AP58:AQ58"/>
    <mergeCell ref="H59:J59"/>
    <mergeCell ref="K59:AJ59"/>
    <mergeCell ref="AR58:AV58"/>
    <mergeCell ref="B58:D58"/>
    <mergeCell ref="E58:G58"/>
    <mergeCell ref="H58:J58"/>
    <mergeCell ref="K58:AJ58"/>
    <mergeCell ref="AK58:AO58"/>
    <mergeCell ref="AR60:AV60"/>
    <mergeCell ref="H60:J60"/>
    <mergeCell ref="K60:AJ60"/>
    <mergeCell ref="AK60:AO60"/>
    <mergeCell ref="AP60:AQ60"/>
    <mergeCell ref="H56:J56"/>
    <mergeCell ref="B56:D56"/>
    <mergeCell ref="E56:G56"/>
    <mergeCell ref="AK56:AO56"/>
    <mergeCell ref="AK57:AO57"/>
    <mergeCell ref="AR57:AV57"/>
    <mergeCell ref="B55:D55"/>
    <mergeCell ref="E55:G55"/>
    <mergeCell ref="H55:J55"/>
    <mergeCell ref="K55:AJ55"/>
    <mergeCell ref="AK55:AO55"/>
    <mergeCell ref="B57:D57"/>
    <mergeCell ref="E57:G57"/>
    <mergeCell ref="H57:J57"/>
    <mergeCell ref="K57:AJ57"/>
    <mergeCell ref="AP57:AQ57"/>
    <mergeCell ref="AP55:AQ55"/>
    <mergeCell ref="AP56:AQ56"/>
    <mergeCell ref="AR56:AV56"/>
    <mergeCell ref="AR55:AV55"/>
    <mergeCell ref="K56:AJ56"/>
    <mergeCell ref="AR7:AV7"/>
    <mergeCell ref="AR54:AV54"/>
    <mergeCell ref="AR53:AV53"/>
    <mergeCell ref="AR48:AV48"/>
    <mergeCell ref="AR49:AV49"/>
    <mergeCell ref="AR50:AV50"/>
    <mergeCell ref="K54:AJ54"/>
    <mergeCell ref="AP51:AQ51"/>
    <mergeCell ref="AP52:AQ52"/>
    <mergeCell ref="K51:AJ51"/>
    <mergeCell ref="AK53:AO53"/>
    <mergeCell ref="I45:T45"/>
    <mergeCell ref="U9:AD9"/>
    <mergeCell ref="AP49:AQ49"/>
    <mergeCell ref="AP50:AQ50"/>
    <mergeCell ref="AP54:AQ54"/>
    <mergeCell ref="K50:AJ50"/>
    <mergeCell ref="H52:J52"/>
    <mergeCell ref="H53:J53"/>
    <mergeCell ref="H54:J54"/>
    <mergeCell ref="H49:J49"/>
    <mergeCell ref="K49:AJ49"/>
    <mergeCell ref="AK49:AO49"/>
    <mergeCell ref="AK54:AO54"/>
    <mergeCell ref="K53:AJ53"/>
    <mergeCell ref="H51:J51"/>
    <mergeCell ref="AK50:AO50"/>
    <mergeCell ref="AP53:AQ53"/>
    <mergeCell ref="B51:D51"/>
    <mergeCell ref="AK52:AO52"/>
    <mergeCell ref="AK51:AO51"/>
    <mergeCell ref="B49:D49"/>
    <mergeCell ref="E49:G49"/>
    <mergeCell ref="B54:D54"/>
    <mergeCell ref="E51:G51"/>
    <mergeCell ref="B50:D50"/>
    <mergeCell ref="E50:G50"/>
    <mergeCell ref="B52:D52"/>
    <mergeCell ref="E52:G52"/>
    <mergeCell ref="B53:D53"/>
    <mergeCell ref="E53:G53"/>
    <mergeCell ref="E54:G54"/>
    <mergeCell ref="AT2:AU2"/>
    <mergeCell ref="U7:AD7"/>
    <mergeCell ref="AT3:AU3"/>
    <mergeCell ref="U8:AD8"/>
    <mergeCell ref="AT4:AU4"/>
    <mergeCell ref="AO8:AQ8"/>
    <mergeCell ref="AT6:AV6"/>
    <mergeCell ref="A87:AW87"/>
    <mergeCell ref="AW1:AW86"/>
    <mergeCell ref="B46:AV46"/>
    <mergeCell ref="AQ86:AU86"/>
    <mergeCell ref="B7:D7"/>
    <mergeCell ref="B9:D9"/>
    <mergeCell ref="E8:T8"/>
    <mergeCell ref="AE7:AN7"/>
    <mergeCell ref="E9:T9"/>
    <mergeCell ref="AO7:AQ7"/>
    <mergeCell ref="AR8:AV8"/>
    <mergeCell ref="AE8:AN8"/>
    <mergeCell ref="AE9:AN9"/>
    <mergeCell ref="E7:T7"/>
    <mergeCell ref="K48:AJ48"/>
    <mergeCell ref="AR9:AV9"/>
    <mergeCell ref="AK48:AO48"/>
    <mergeCell ref="B8:D8"/>
    <mergeCell ref="AO9:AQ9"/>
    <mergeCell ref="B11:AV44"/>
    <mergeCell ref="AR51:AV51"/>
    <mergeCell ref="AR52:AV52"/>
    <mergeCell ref="B48:D48"/>
    <mergeCell ref="E48:G48"/>
    <mergeCell ref="U45:AE45"/>
    <mergeCell ref="K52:AJ52"/>
    <mergeCell ref="H48:J48"/>
    <mergeCell ref="H50:J50"/>
    <mergeCell ref="AO10:AS10"/>
    <mergeCell ref="AP48:AQ48"/>
    <mergeCell ref="AE63:AK63"/>
    <mergeCell ref="AE64:AK64"/>
    <mergeCell ref="AS63:AV63"/>
    <mergeCell ref="AS64:AV64"/>
    <mergeCell ref="AS65:AV65"/>
    <mergeCell ref="AE65:AK65"/>
    <mergeCell ref="AS68:AV68"/>
    <mergeCell ref="AS67:AV67"/>
    <mergeCell ref="AS62:AV62"/>
    <mergeCell ref="AL62:AQ62"/>
    <mergeCell ref="AL63:AQ63"/>
    <mergeCell ref="AL64:AQ64"/>
    <mergeCell ref="AL65:AQ65"/>
    <mergeCell ref="AS66:AV66"/>
    <mergeCell ref="AE68:AK68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4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74"/>
  <sheetViews>
    <sheetView showGridLines="0" view="pageBreakPreview" topLeftCell="A31" zoomScale="115" zoomScaleNormal="112" zoomScaleSheetLayoutView="115" workbookViewId="0">
      <selection activeCell="R27" sqref="R27"/>
    </sheetView>
  </sheetViews>
  <sheetFormatPr baseColWidth="10" defaultColWidth="11.42578125" defaultRowHeight="12.75" x14ac:dyDescent="0.2"/>
  <cols>
    <col min="1" max="1" width="3.28515625" customWidth="1"/>
    <col min="2" max="2" width="19.7109375" customWidth="1"/>
    <col min="3" max="3" width="9.140625" customWidth="1"/>
    <col min="4" max="4" width="6.140625" customWidth="1"/>
    <col min="5" max="5" width="8.28515625" customWidth="1"/>
    <col min="6" max="6" width="4.28515625" customWidth="1"/>
    <col min="7" max="7" width="6.140625" customWidth="1"/>
    <col min="8" max="8" width="4.5703125" customWidth="1"/>
    <col min="9" max="9" width="4.42578125" customWidth="1"/>
    <col min="10" max="10" width="3.85546875" customWidth="1"/>
    <col min="11" max="11" width="4.28515625" customWidth="1"/>
    <col min="12" max="12" width="12.5703125" customWidth="1"/>
    <col min="13" max="13" width="11.140625" customWidth="1"/>
    <col min="14" max="14" width="6.42578125" customWidth="1"/>
    <col min="15" max="15" width="6.7109375" customWidth="1"/>
    <col min="16" max="16" width="3.28515625" customWidth="1"/>
  </cols>
  <sheetData>
    <row r="1" spans="1:23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23" ht="27.75" customHeight="1" x14ac:dyDescent="0.45">
      <c r="A2" s="38"/>
      <c r="B2" s="277"/>
      <c r="C2" s="283" t="s">
        <v>51</v>
      </c>
      <c r="D2" s="284"/>
      <c r="E2" s="284"/>
      <c r="F2" s="284"/>
      <c r="G2" s="284"/>
      <c r="H2" s="284"/>
      <c r="I2" s="284"/>
      <c r="J2" s="284"/>
      <c r="K2" s="284"/>
      <c r="L2" s="285"/>
      <c r="M2" s="262" t="s">
        <v>52</v>
      </c>
      <c r="N2" s="263"/>
      <c r="O2" s="264"/>
      <c r="P2" s="38"/>
    </row>
    <row r="3" spans="1:23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88"/>
      <c r="M3" s="265"/>
      <c r="N3" s="266"/>
      <c r="O3" s="267"/>
      <c r="P3" s="38"/>
    </row>
    <row r="4" spans="1:23" ht="18.75" x14ac:dyDescent="0.45">
      <c r="A4" s="38"/>
      <c r="B4" s="61" t="s">
        <v>53</v>
      </c>
      <c r="C4" s="279">
        <f>DATOS!AE7</f>
        <v>0</v>
      </c>
      <c r="D4" s="279"/>
      <c r="E4" s="279"/>
      <c r="F4" s="282"/>
      <c r="G4" s="282"/>
      <c r="H4" s="282"/>
      <c r="I4" s="282"/>
      <c r="J4" s="282"/>
      <c r="K4" s="282"/>
      <c r="L4" s="62" t="s">
        <v>48</v>
      </c>
      <c r="M4" s="63"/>
      <c r="N4" s="63"/>
      <c r="O4" s="64"/>
      <c r="P4" s="38"/>
    </row>
    <row r="5" spans="1:23" ht="18.75" x14ac:dyDescent="0.45">
      <c r="A5" s="38"/>
      <c r="B5" s="65" t="s">
        <v>7</v>
      </c>
      <c r="C5" s="66">
        <f>+DATOS!E9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9"/>
      <c r="P5" s="36"/>
      <c r="Q5" s="4"/>
      <c r="R5" s="4"/>
      <c r="S5" s="4"/>
    </row>
    <row r="6" spans="1:23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280"/>
      <c r="K6" s="71"/>
      <c r="L6" s="72"/>
      <c r="M6" s="71"/>
      <c r="N6" s="71"/>
      <c r="O6" s="73"/>
      <c r="P6" s="38"/>
      <c r="R6" s="6"/>
      <c r="S6" s="8"/>
      <c r="T6" s="8"/>
      <c r="U6" s="8"/>
      <c r="V6" s="8"/>
      <c r="W6" s="8"/>
    </row>
    <row r="7" spans="1:23" ht="15" customHeight="1" x14ac:dyDescent="0.45">
      <c r="A7" s="38"/>
      <c r="B7" s="281" t="s">
        <v>56</v>
      </c>
      <c r="C7" s="282"/>
      <c r="D7" s="74"/>
      <c r="E7" s="75" t="s">
        <v>57</v>
      </c>
      <c r="F7" s="76"/>
      <c r="G7" s="76"/>
      <c r="H7" s="77"/>
      <c r="I7" s="78"/>
      <c r="J7" s="79"/>
      <c r="K7" s="79"/>
      <c r="L7" s="79"/>
      <c r="M7" s="75" t="s">
        <v>58</v>
      </c>
      <c r="N7" s="77"/>
      <c r="O7" s="77"/>
      <c r="P7" s="38"/>
      <c r="R7" s="6"/>
      <c r="S7" s="8"/>
      <c r="T7" s="8"/>
      <c r="U7" s="8"/>
      <c r="V7" s="8"/>
      <c r="W7" s="8"/>
    </row>
    <row r="8" spans="1:23" ht="15" customHeight="1" x14ac:dyDescent="0.45">
      <c r="A8" s="38"/>
      <c r="B8" s="80"/>
      <c r="C8" s="81"/>
      <c r="D8" s="81"/>
      <c r="E8" s="82" t="s">
        <v>59</v>
      </c>
      <c r="F8" s="83"/>
      <c r="G8" s="83"/>
      <c r="H8" s="84"/>
      <c r="I8" s="67"/>
      <c r="J8" s="67"/>
      <c r="K8" s="67"/>
      <c r="L8" s="67"/>
      <c r="M8" s="82" t="s">
        <v>60</v>
      </c>
      <c r="N8" s="84"/>
      <c r="O8" s="82"/>
      <c r="P8" s="38"/>
      <c r="R8" s="6"/>
      <c r="S8" s="8"/>
      <c r="T8" s="8"/>
      <c r="U8" s="8"/>
      <c r="V8" s="8"/>
      <c r="W8" s="8"/>
    </row>
    <row r="9" spans="1:23" ht="15" customHeight="1" x14ac:dyDescent="0.45">
      <c r="A9" s="38"/>
      <c r="B9" s="84"/>
      <c r="C9" s="67"/>
      <c r="D9" s="67"/>
      <c r="E9" s="82" t="s">
        <v>61</v>
      </c>
      <c r="F9" s="85"/>
      <c r="G9" s="84"/>
      <c r="H9" s="67"/>
      <c r="I9" s="67"/>
      <c r="J9" s="67"/>
      <c r="K9" s="67"/>
      <c r="L9" s="67"/>
      <c r="M9" s="67" t="s">
        <v>62</v>
      </c>
      <c r="N9" s="67"/>
      <c r="O9" s="82"/>
      <c r="P9" s="38"/>
      <c r="R9" s="6"/>
      <c r="S9" s="8"/>
      <c r="T9" s="8"/>
      <c r="U9" s="8"/>
      <c r="V9" s="8"/>
      <c r="W9" s="8"/>
    </row>
    <row r="10" spans="1:23" ht="15" customHeight="1" x14ac:dyDescent="0.45">
      <c r="A10" s="38"/>
      <c r="B10" s="86"/>
      <c r="C10" s="87"/>
      <c r="D10" s="87"/>
      <c r="E10" s="88" t="s">
        <v>63</v>
      </c>
      <c r="F10" s="89"/>
      <c r="G10" s="86"/>
      <c r="H10" s="87"/>
      <c r="I10" s="87"/>
      <c r="J10" s="87"/>
      <c r="K10" s="87"/>
      <c r="L10" s="87"/>
      <c r="M10" s="87"/>
      <c r="N10" s="87"/>
      <c r="O10" s="88"/>
      <c r="P10" s="38"/>
      <c r="R10" s="6"/>
      <c r="S10" s="8"/>
      <c r="T10" s="8"/>
      <c r="U10" s="8"/>
      <c r="V10" s="8"/>
      <c r="W10" s="8"/>
    </row>
    <row r="11" spans="1:23" ht="15" customHeight="1" x14ac:dyDescent="0.45">
      <c r="A11" s="38"/>
      <c r="B11" s="259" t="s">
        <v>64</v>
      </c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1"/>
      <c r="P11" s="38"/>
    </row>
    <row r="12" spans="1:23" ht="30" customHeight="1" x14ac:dyDescent="0.45">
      <c r="A12" s="38"/>
      <c r="B12" s="268"/>
      <c r="C12" s="269"/>
      <c r="D12" s="270"/>
      <c r="E12" s="292" t="s">
        <v>65</v>
      </c>
      <c r="F12" s="293"/>
      <c r="G12" s="294"/>
      <c r="H12" s="268" t="s">
        <v>66</v>
      </c>
      <c r="I12" s="269"/>
      <c r="J12" s="269"/>
      <c r="K12" s="270"/>
      <c r="L12" s="289" t="s">
        <v>67</v>
      </c>
      <c r="M12" s="268" t="s">
        <v>68</v>
      </c>
      <c r="N12" s="269"/>
      <c r="O12" s="270"/>
      <c r="P12" s="38"/>
    </row>
    <row r="13" spans="1:23" ht="9" customHeight="1" x14ac:dyDescent="0.45">
      <c r="A13" s="38"/>
      <c r="B13" s="271"/>
      <c r="C13" s="272"/>
      <c r="D13" s="273"/>
      <c r="E13" s="295"/>
      <c r="F13" s="296"/>
      <c r="G13" s="297"/>
      <c r="H13" s="271"/>
      <c r="I13" s="272"/>
      <c r="J13" s="272"/>
      <c r="K13" s="273"/>
      <c r="L13" s="290"/>
      <c r="M13" s="93"/>
      <c r="N13" s="92" t="s">
        <v>69</v>
      </c>
      <c r="O13" s="91" t="s">
        <v>70</v>
      </c>
      <c r="P13" s="38"/>
    </row>
    <row r="14" spans="1:23" ht="14.25" customHeight="1" x14ac:dyDescent="0.45">
      <c r="A14" s="38"/>
      <c r="B14" s="274"/>
      <c r="C14" s="275"/>
      <c r="D14" s="276"/>
      <c r="E14" s="298"/>
      <c r="F14" s="299"/>
      <c r="G14" s="300"/>
      <c r="H14" s="274"/>
      <c r="I14" s="275"/>
      <c r="J14" s="275"/>
      <c r="K14" s="276"/>
      <c r="L14" s="291"/>
      <c r="M14" s="95" t="s">
        <v>71</v>
      </c>
      <c r="N14" s="96">
        <v>0.68</v>
      </c>
      <c r="O14" s="97">
        <v>0.92</v>
      </c>
      <c r="P14" s="38"/>
    </row>
    <row r="15" spans="1:23" ht="13.5" customHeight="1" x14ac:dyDescent="0.45">
      <c r="A15" s="38"/>
      <c r="B15" s="308" t="s">
        <v>72</v>
      </c>
      <c r="C15" s="309"/>
      <c r="D15" s="310"/>
      <c r="E15" s="304" t="s">
        <v>73</v>
      </c>
      <c r="F15" s="305"/>
      <c r="G15" s="98">
        <v>12.1</v>
      </c>
      <c r="H15" s="301" t="e">
        <f>G15/M15</f>
        <v>#DIV/0!</v>
      </c>
      <c r="I15" s="302"/>
      <c r="J15" s="302"/>
      <c r="K15" s="303"/>
      <c r="L15" s="98" t="e">
        <f>G15^2/M15</f>
        <v>#DIV/0!</v>
      </c>
      <c r="M15" s="256"/>
      <c r="N15" s="257"/>
      <c r="O15" s="258"/>
      <c r="P15" s="38"/>
    </row>
    <row r="16" spans="1:23" ht="12.75" customHeight="1" x14ac:dyDescent="0.45">
      <c r="A16" s="38"/>
      <c r="B16" s="308" t="s">
        <v>74</v>
      </c>
      <c r="C16" s="309"/>
      <c r="D16" s="310"/>
      <c r="E16" s="306"/>
      <c r="F16" s="307"/>
      <c r="G16" s="98">
        <v>12.1</v>
      </c>
      <c r="H16" s="301" t="e">
        <f>G16/M16</f>
        <v>#DIV/0!</v>
      </c>
      <c r="I16" s="302"/>
      <c r="J16" s="302"/>
      <c r="K16" s="303"/>
      <c r="L16" s="99" t="e">
        <f>G16^2/M16</f>
        <v>#DIV/0!</v>
      </c>
      <c r="M16" s="256"/>
      <c r="N16" s="257"/>
      <c r="O16" s="258"/>
      <c r="P16" s="38"/>
    </row>
    <row r="17" spans="1:25" ht="13.5" hidden="1" customHeight="1" x14ac:dyDescent="0.45">
      <c r="A17" s="38"/>
      <c r="B17" s="308" t="s">
        <v>72</v>
      </c>
      <c r="C17" s="309"/>
      <c r="D17" s="310"/>
      <c r="E17" s="304" t="s">
        <v>465</v>
      </c>
      <c r="F17" s="305"/>
      <c r="G17" s="99">
        <v>12.1</v>
      </c>
      <c r="H17" s="301" t="e">
        <f>G17/M17</f>
        <v>#DIV/0!</v>
      </c>
      <c r="I17" s="302"/>
      <c r="J17" s="302"/>
      <c r="K17" s="303"/>
      <c r="L17" s="99" t="e">
        <f>G17^2/M17</f>
        <v>#DIV/0!</v>
      </c>
      <c r="M17" s="256"/>
      <c r="N17" s="257"/>
      <c r="O17" s="258"/>
      <c r="P17" s="38"/>
      <c r="S17" s="9"/>
    </row>
    <row r="18" spans="1:25" ht="12.75" customHeight="1" x14ac:dyDescent="0.45">
      <c r="A18" s="38"/>
      <c r="B18" s="308" t="s">
        <v>458</v>
      </c>
      <c r="C18" s="309"/>
      <c r="D18" s="310"/>
      <c r="E18" s="306"/>
      <c r="F18" s="307"/>
      <c r="G18" s="98">
        <v>9.6</v>
      </c>
      <c r="H18" s="301" t="e">
        <f>G18/M18</f>
        <v>#DIV/0!</v>
      </c>
      <c r="I18" s="302"/>
      <c r="J18" s="302"/>
      <c r="K18" s="303"/>
      <c r="L18" s="99" t="e">
        <f>G18^2/M18</f>
        <v>#DIV/0!</v>
      </c>
      <c r="M18" s="256"/>
      <c r="N18" s="257"/>
      <c r="O18" s="258"/>
      <c r="P18" s="38"/>
    </row>
    <row r="19" spans="1:25" ht="15" customHeight="1" x14ac:dyDescent="0.45">
      <c r="A19" s="38"/>
      <c r="B19" s="259" t="s">
        <v>75</v>
      </c>
      <c r="C19" s="260"/>
      <c r="D19" s="260"/>
      <c r="E19" s="314" t="s">
        <v>76</v>
      </c>
      <c r="F19" s="314"/>
      <c r="G19" s="314"/>
      <c r="H19" s="314"/>
      <c r="I19" s="314"/>
      <c r="J19" s="314"/>
      <c r="K19" s="314"/>
      <c r="L19" s="314" t="s">
        <v>77</v>
      </c>
      <c r="M19" s="314"/>
      <c r="N19" s="314"/>
      <c r="O19" s="315"/>
      <c r="P19" s="38"/>
      <c r="S19" s="311"/>
      <c r="T19" s="311"/>
      <c r="U19" s="311"/>
      <c r="V19" s="311"/>
      <c r="W19" s="311"/>
      <c r="X19" s="311"/>
      <c r="Y19" s="311"/>
    </row>
    <row r="20" spans="1:25" ht="13.5" customHeight="1" x14ac:dyDescent="0.45">
      <c r="A20" s="38"/>
      <c r="B20" s="304"/>
      <c r="C20" s="316"/>
      <c r="D20" s="305"/>
      <c r="E20" s="304"/>
      <c r="F20" s="316"/>
      <c r="G20" s="316"/>
      <c r="H20" s="316"/>
      <c r="I20" s="316"/>
      <c r="J20" s="316"/>
      <c r="K20" s="305"/>
      <c r="L20" s="304"/>
      <c r="M20" s="316"/>
      <c r="N20" s="316"/>
      <c r="O20" s="305"/>
      <c r="P20" s="38"/>
      <c r="S20" s="312"/>
      <c r="T20" s="312"/>
      <c r="U20" s="312"/>
      <c r="V20" s="312"/>
      <c r="W20" s="312"/>
      <c r="X20" s="312"/>
      <c r="Y20" s="312"/>
    </row>
    <row r="21" spans="1:25" ht="13.5" customHeight="1" x14ac:dyDescent="0.45">
      <c r="A21" s="38"/>
      <c r="B21" s="317"/>
      <c r="C21" s="318"/>
      <c r="D21" s="319"/>
      <c r="E21" s="317"/>
      <c r="F21" s="318"/>
      <c r="G21" s="318"/>
      <c r="H21" s="318"/>
      <c r="I21" s="318"/>
      <c r="J21" s="318"/>
      <c r="K21" s="319"/>
      <c r="L21" s="317"/>
      <c r="M21" s="318"/>
      <c r="N21" s="318"/>
      <c r="O21" s="319"/>
      <c r="P21" s="38"/>
      <c r="S21" s="312"/>
      <c r="T21" s="312"/>
      <c r="U21" s="312"/>
      <c r="V21" s="312"/>
      <c r="W21" s="312"/>
      <c r="X21" s="312"/>
      <c r="Y21" s="312"/>
    </row>
    <row r="22" spans="1:25" ht="13.5" customHeight="1" x14ac:dyDescent="0.45">
      <c r="A22" s="38"/>
      <c r="B22" s="317"/>
      <c r="C22" s="318"/>
      <c r="D22" s="319"/>
      <c r="E22" s="317"/>
      <c r="F22" s="318"/>
      <c r="G22" s="318"/>
      <c r="H22" s="318"/>
      <c r="I22" s="318"/>
      <c r="J22" s="318"/>
      <c r="K22" s="319"/>
      <c r="L22" s="317"/>
      <c r="M22" s="318"/>
      <c r="N22" s="318"/>
      <c r="O22" s="319"/>
      <c r="P22" s="38"/>
      <c r="S22" s="312"/>
      <c r="T22" s="312"/>
      <c r="U22" s="312"/>
      <c r="V22" s="312"/>
      <c r="W22" s="312"/>
      <c r="X22" s="312"/>
      <c r="Y22" s="312"/>
    </row>
    <row r="23" spans="1:25" ht="13.5" customHeight="1" x14ac:dyDescent="0.45">
      <c r="A23" s="38"/>
      <c r="B23" s="317"/>
      <c r="C23" s="318"/>
      <c r="D23" s="319"/>
      <c r="E23" s="317"/>
      <c r="F23" s="318"/>
      <c r="G23" s="318"/>
      <c r="H23" s="318"/>
      <c r="I23" s="318"/>
      <c r="J23" s="318"/>
      <c r="K23" s="319"/>
      <c r="L23" s="317"/>
      <c r="M23" s="318"/>
      <c r="N23" s="318"/>
      <c r="O23" s="319"/>
      <c r="P23" s="38"/>
      <c r="S23" s="312"/>
      <c r="T23" s="312"/>
      <c r="U23" s="312"/>
      <c r="V23" s="312"/>
      <c r="W23" s="312"/>
      <c r="X23" s="312"/>
      <c r="Y23" s="312"/>
    </row>
    <row r="24" spans="1:25" ht="13.5" customHeight="1" x14ac:dyDescent="0.45">
      <c r="A24" s="38"/>
      <c r="B24" s="317"/>
      <c r="C24" s="318"/>
      <c r="D24" s="319"/>
      <c r="E24" s="317"/>
      <c r="F24" s="318"/>
      <c r="G24" s="318"/>
      <c r="H24" s="318"/>
      <c r="I24" s="318"/>
      <c r="J24" s="318"/>
      <c r="K24" s="319"/>
      <c r="L24" s="317"/>
      <c r="M24" s="318"/>
      <c r="N24" s="318"/>
      <c r="O24" s="319"/>
      <c r="P24" s="38"/>
      <c r="S24" s="312"/>
      <c r="T24" s="312"/>
      <c r="U24" s="312"/>
      <c r="V24" s="312"/>
      <c r="W24" s="312"/>
      <c r="X24" s="312"/>
      <c r="Y24" s="312"/>
    </row>
    <row r="25" spans="1:25" ht="13.5" customHeight="1" x14ac:dyDescent="0.45">
      <c r="A25" s="38"/>
      <c r="B25" s="317"/>
      <c r="C25" s="318"/>
      <c r="D25" s="319"/>
      <c r="E25" s="317"/>
      <c r="F25" s="318"/>
      <c r="G25" s="318"/>
      <c r="H25" s="318"/>
      <c r="I25" s="318"/>
      <c r="J25" s="318"/>
      <c r="K25" s="319"/>
      <c r="L25" s="317"/>
      <c r="M25" s="318"/>
      <c r="N25" s="318"/>
      <c r="O25" s="319"/>
      <c r="P25" s="38"/>
      <c r="S25" s="312"/>
      <c r="T25" s="312"/>
      <c r="U25" s="312"/>
      <c r="V25" s="312"/>
      <c r="W25" s="312"/>
      <c r="X25" s="312"/>
      <c r="Y25" s="312"/>
    </row>
    <row r="26" spans="1:25" ht="13.5" customHeight="1" x14ac:dyDescent="0.45">
      <c r="A26" s="38"/>
      <c r="B26" s="317"/>
      <c r="C26" s="318"/>
      <c r="D26" s="319"/>
      <c r="E26" s="317"/>
      <c r="F26" s="318"/>
      <c r="G26" s="318"/>
      <c r="H26" s="318"/>
      <c r="I26" s="318"/>
      <c r="J26" s="318"/>
      <c r="K26" s="319"/>
      <c r="L26" s="317"/>
      <c r="M26" s="318"/>
      <c r="N26" s="318"/>
      <c r="O26" s="319"/>
      <c r="P26" s="38"/>
      <c r="S26" s="312"/>
      <c r="T26" s="312"/>
      <c r="U26" s="312"/>
      <c r="V26" s="312"/>
      <c r="W26" s="312"/>
      <c r="X26" s="312"/>
      <c r="Y26" s="312"/>
    </row>
    <row r="27" spans="1:25" ht="13.5" customHeight="1" x14ac:dyDescent="0.45">
      <c r="A27" s="38"/>
      <c r="B27" s="317"/>
      <c r="C27" s="318"/>
      <c r="D27" s="319"/>
      <c r="E27" s="317"/>
      <c r="F27" s="318"/>
      <c r="G27" s="318"/>
      <c r="H27" s="318"/>
      <c r="I27" s="318"/>
      <c r="J27" s="318"/>
      <c r="K27" s="319"/>
      <c r="L27" s="317"/>
      <c r="M27" s="318"/>
      <c r="N27" s="318"/>
      <c r="O27" s="319"/>
      <c r="P27" s="38"/>
      <c r="S27" s="312"/>
      <c r="T27" s="312"/>
      <c r="U27" s="312"/>
      <c r="V27" s="312"/>
      <c r="W27" s="312"/>
      <c r="X27" s="312"/>
      <c r="Y27" s="312"/>
    </row>
    <row r="28" spans="1:25" ht="13.5" customHeight="1" x14ac:dyDescent="0.45">
      <c r="A28" s="38"/>
      <c r="B28" s="317"/>
      <c r="C28" s="318"/>
      <c r="D28" s="319"/>
      <c r="E28" s="317"/>
      <c r="F28" s="318"/>
      <c r="G28" s="318"/>
      <c r="H28" s="318"/>
      <c r="I28" s="318"/>
      <c r="J28" s="318"/>
      <c r="K28" s="319"/>
      <c r="L28" s="317"/>
      <c r="M28" s="318"/>
      <c r="N28" s="318"/>
      <c r="O28" s="319"/>
      <c r="P28" s="38"/>
      <c r="S28" s="312"/>
      <c r="T28" s="312"/>
      <c r="U28" s="312"/>
      <c r="V28" s="312"/>
      <c r="W28" s="312"/>
      <c r="X28" s="312"/>
      <c r="Y28" s="312"/>
    </row>
    <row r="29" spans="1:25" ht="13.5" customHeight="1" x14ac:dyDescent="0.45">
      <c r="A29" s="38"/>
      <c r="B29" s="317"/>
      <c r="C29" s="318"/>
      <c r="D29" s="319"/>
      <c r="E29" s="317"/>
      <c r="F29" s="318"/>
      <c r="G29" s="318"/>
      <c r="H29" s="318"/>
      <c r="I29" s="318"/>
      <c r="J29" s="318"/>
      <c r="K29" s="319"/>
      <c r="L29" s="317"/>
      <c r="M29" s="318"/>
      <c r="N29" s="318"/>
      <c r="O29" s="319"/>
      <c r="P29" s="38"/>
      <c r="S29" s="312"/>
      <c r="T29" s="312"/>
      <c r="U29" s="312"/>
      <c r="V29" s="312"/>
      <c r="W29" s="312"/>
      <c r="X29" s="312"/>
      <c r="Y29" s="312"/>
    </row>
    <row r="30" spans="1:25" ht="13.5" customHeight="1" x14ac:dyDescent="0.45">
      <c r="A30" s="38"/>
      <c r="B30" s="317"/>
      <c r="C30" s="318"/>
      <c r="D30" s="319"/>
      <c r="E30" s="317"/>
      <c r="F30" s="318"/>
      <c r="G30" s="318"/>
      <c r="H30" s="318"/>
      <c r="I30" s="318"/>
      <c r="J30" s="318"/>
      <c r="K30" s="319"/>
      <c r="L30" s="317"/>
      <c r="M30" s="318"/>
      <c r="N30" s="318"/>
      <c r="O30" s="319"/>
      <c r="P30" s="38"/>
      <c r="S30" s="312"/>
      <c r="T30" s="312"/>
      <c r="U30" s="312"/>
      <c r="V30" s="312"/>
      <c r="W30" s="312"/>
      <c r="X30" s="312"/>
      <c r="Y30" s="312"/>
    </row>
    <row r="31" spans="1:25" ht="13.5" customHeight="1" x14ac:dyDescent="0.45">
      <c r="A31" s="38"/>
      <c r="B31" s="306"/>
      <c r="C31" s="320"/>
      <c r="D31" s="307"/>
      <c r="E31" s="306"/>
      <c r="F31" s="320"/>
      <c r="G31" s="320"/>
      <c r="H31" s="320"/>
      <c r="I31" s="320"/>
      <c r="J31" s="320"/>
      <c r="K31" s="307"/>
      <c r="L31" s="306"/>
      <c r="M31" s="320"/>
      <c r="N31" s="320"/>
      <c r="O31" s="307"/>
      <c r="P31" s="38"/>
      <c r="S31" s="312"/>
      <c r="T31" s="312"/>
      <c r="U31" s="312"/>
      <c r="V31" s="312"/>
      <c r="W31" s="312"/>
      <c r="X31" s="312"/>
      <c r="Y31" s="312"/>
    </row>
    <row r="32" spans="1:25" ht="15" customHeight="1" x14ac:dyDescent="0.45">
      <c r="A32" s="38"/>
      <c r="B32" s="313" t="s">
        <v>78</v>
      </c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5"/>
      <c r="P32" s="38"/>
      <c r="S32" s="312"/>
      <c r="T32" s="312"/>
      <c r="U32" s="312"/>
      <c r="V32" s="312"/>
      <c r="W32" s="312"/>
      <c r="X32" s="312"/>
      <c r="Y32" s="312"/>
    </row>
    <row r="33" spans="1:42" ht="15" customHeight="1" x14ac:dyDescent="0.45">
      <c r="A33" s="38"/>
      <c r="B33" s="321" t="s">
        <v>79</v>
      </c>
      <c r="C33" s="322"/>
      <c r="D33" s="323"/>
      <c r="E33" s="321" t="s">
        <v>80</v>
      </c>
      <c r="F33" s="322"/>
      <c r="G33" s="322"/>
      <c r="H33" s="322"/>
      <c r="I33" s="322"/>
      <c r="J33" s="322"/>
      <c r="K33" s="323"/>
      <c r="L33" s="321" t="s">
        <v>81</v>
      </c>
      <c r="M33" s="322"/>
      <c r="N33" s="322"/>
      <c r="O33" s="323"/>
      <c r="P33" s="38"/>
      <c r="S33" s="312"/>
      <c r="T33" s="312"/>
      <c r="U33" s="312"/>
      <c r="V33" s="312"/>
      <c r="W33" s="312"/>
      <c r="X33" s="312"/>
      <c r="Y33" s="312"/>
    </row>
    <row r="34" spans="1:42" ht="156" customHeight="1" x14ac:dyDescent="0.45">
      <c r="A34" s="38"/>
      <c r="B34" s="321"/>
      <c r="C34" s="322"/>
      <c r="D34" s="323"/>
      <c r="E34" s="321"/>
      <c r="F34" s="322"/>
      <c r="G34" s="322"/>
      <c r="H34" s="322"/>
      <c r="I34" s="322"/>
      <c r="J34" s="322"/>
      <c r="K34" s="323"/>
      <c r="L34" s="321"/>
      <c r="M34" s="322"/>
      <c r="N34" s="322"/>
      <c r="O34" s="323"/>
      <c r="P34" s="38"/>
      <c r="S34" s="312"/>
      <c r="T34" s="312"/>
      <c r="U34" s="312"/>
      <c r="V34" s="312"/>
      <c r="W34" s="312"/>
      <c r="X34" s="312"/>
      <c r="Y34" s="312"/>
    </row>
    <row r="35" spans="1:42" ht="18.75" x14ac:dyDescent="0.45">
      <c r="A35" s="38"/>
      <c r="B35" s="324" t="s">
        <v>20</v>
      </c>
      <c r="C35" s="325"/>
      <c r="D35" s="326"/>
      <c r="E35" s="324" t="s">
        <v>20</v>
      </c>
      <c r="F35" s="325"/>
      <c r="G35" s="325"/>
      <c r="H35" s="325"/>
      <c r="I35" s="325"/>
      <c r="J35" s="325"/>
      <c r="K35" s="326"/>
      <c r="L35" s="324" t="s">
        <v>20</v>
      </c>
      <c r="M35" s="325"/>
      <c r="N35" s="325"/>
      <c r="O35" s="326"/>
      <c r="P35" s="38"/>
    </row>
    <row r="36" spans="1:42" ht="18.75" x14ac:dyDescent="0.45">
      <c r="A36" s="38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38"/>
    </row>
    <row r="37" spans="1:42" ht="18.75" x14ac:dyDescent="0.45">
      <c r="A37" s="38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38"/>
    </row>
    <row r="38" spans="1:42" ht="18.75" x14ac:dyDescent="0.45">
      <c r="A38" s="38"/>
      <c r="B38" s="320" t="s">
        <v>457</v>
      </c>
      <c r="C38" s="320"/>
      <c r="D38" s="100"/>
      <c r="E38" s="100"/>
      <c r="F38" s="320"/>
      <c r="G38" s="320"/>
      <c r="H38" s="320"/>
      <c r="I38" s="320"/>
      <c r="J38" s="320"/>
      <c r="K38" s="320"/>
      <c r="L38" s="100"/>
      <c r="M38" s="320" t="s">
        <v>456</v>
      </c>
      <c r="N38" s="320"/>
      <c r="O38" s="320"/>
      <c r="P38" s="38"/>
    </row>
    <row r="39" spans="1:42" ht="18.75" x14ac:dyDescent="0.45">
      <c r="A39" s="38"/>
      <c r="B39" s="329" t="s">
        <v>45</v>
      </c>
      <c r="C39" s="329"/>
      <c r="D39" s="101"/>
      <c r="E39" s="101"/>
      <c r="F39" s="329" t="s">
        <v>46</v>
      </c>
      <c r="G39" s="329"/>
      <c r="H39" s="329"/>
      <c r="I39" s="329"/>
      <c r="J39" s="329"/>
      <c r="K39" s="329"/>
      <c r="L39" s="101"/>
      <c r="M39" s="329" t="s">
        <v>82</v>
      </c>
      <c r="N39" s="329"/>
      <c r="O39" s="329"/>
      <c r="P39" s="38"/>
    </row>
    <row r="40" spans="1:42" ht="18.75" x14ac:dyDescent="0.45">
      <c r="A40" s="38"/>
      <c r="B40" s="100"/>
      <c r="C40" s="102"/>
      <c r="D40" s="102"/>
      <c r="E40" s="102"/>
      <c r="F40" s="102"/>
      <c r="G40" s="100"/>
      <c r="H40" s="100"/>
      <c r="I40" s="102"/>
      <c r="J40" s="102"/>
      <c r="K40" s="102"/>
      <c r="L40" s="102"/>
      <c r="M40" s="100"/>
      <c r="N40" s="100"/>
      <c r="O40" s="100"/>
      <c r="P40" s="38"/>
    </row>
    <row r="41" spans="1:42" ht="18.75" x14ac:dyDescent="0.45">
      <c r="A41" s="38"/>
      <c r="B41" s="102"/>
      <c r="C41" s="81"/>
      <c r="D41" s="81"/>
      <c r="E41" s="81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38"/>
    </row>
    <row r="42" spans="1:42" ht="15.75" customHeight="1" x14ac:dyDescent="0.45">
      <c r="A42" s="38"/>
      <c r="B42" s="327" t="s">
        <v>49</v>
      </c>
      <c r="C42" s="327"/>
      <c r="D42" s="67"/>
      <c r="E42" s="67"/>
      <c r="F42" s="272"/>
      <c r="G42" s="272"/>
      <c r="H42" s="272"/>
      <c r="I42" s="272"/>
      <c r="J42" s="272"/>
      <c r="K42" s="330"/>
      <c r="L42" s="330"/>
      <c r="M42" s="67"/>
      <c r="N42" s="328" t="s">
        <v>83</v>
      </c>
      <c r="O42" s="328"/>
      <c r="P42" s="38"/>
    </row>
    <row r="43" spans="1:42" ht="20.100000000000001" customHeight="1" x14ac:dyDescent="0.4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42" ht="25.5" x14ac:dyDescent="0.2"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P44" s="12" t="s">
        <v>84</v>
      </c>
    </row>
    <row r="45" spans="1:42" x14ac:dyDescent="0.2">
      <c r="S45" s="331"/>
      <c r="T45" s="331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P45" t="s">
        <v>85</v>
      </c>
    </row>
    <row r="46" spans="1:42" x14ac:dyDescent="0.2"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3"/>
      <c r="AE46" s="333"/>
      <c r="AF46" s="333"/>
    </row>
    <row r="49" spans="38:43" x14ac:dyDescent="0.2">
      <c r="AQ49" t="s">
        <v>86</v>
      </c>
    </row>
    <row r="50" spans="38:43" x14ac:dyDescent="0.2">
      <c r="AL50" t="s">
        <v>87</v>
      </c>
    </row>
    <row r="68" spans="2:38" x14ac:dyDescent="0.2">
      <c r="AL68" t="s">
        <v>88</v>
      </c>
    </row>
    <row r="74" spans="2:38" x14ac:dyDescent="0.2">
      <c r="B74" t="s">
        <v>89</v>
      </c>
    </row>
  </sheetData>
  <mergeCells count="64">
    <mergeCell ref="U44:AF44"/>
    <mergeCell ref="Z45:AC45"/>
    <mergeCell ref="AD45:AF45"/>
    <mergeCell ref="M39:O39"/>
    <mergeCell ref="S46:T46"/>
    <mergeCell ref="U46:Y46"/>
    <mergeCell ref="U45:Y45"/>
    <mergeCell ref="Z46:AC46"/>
    <mergeCell ref="AD46:AF46"/>
    <mergeCell ref="S44:T45"/>
    <mergeCell ref="B42:C42"/>
    <mergeCell ref="N42:O42"/>
    <mergeCell ref="F38:K38"/>
    <mergeCell ref="M38:O38"/>
    <mergeCell ref="F39:K39"/>
    <mergeCell ref="K42:L42"/>
    <mergeCell ref="F42:J42"/>
    <mergeCell ref="B39:C39"/>
    <mergeCell ref="B38:C38"/>
    <mergeCell ref="B34:D34"/>
    <mergeCell ref="B35:D35"/>
    <mergeCell ref="E33:K33"/>
    <mergeCell ref="E34:K34"/>
    <mergeCell ref="L34:O34"/>
    <mergeCell ref="E35:K35"/>
    <mergeCell ref="L35:O35"/>
    <mergeCell ref="L33:O33"/>
    <mergeCell ref="B33:D33"/>
    <mergeCell ref="S19:Y19"/>
    <mergeCell ref="S20:Y34"/>
    <mergeCell ref="H15:K15"/>
    <mergeCell ref="M16:O16"/>
    <mergeCell ref="E17:F18"/>
    <mergeCell ref="H18:K18"/>
    <mergeCell ref="M18:O18"/>
    <mergeCell ref="B32:O32"/>
    <mergeCell ref="B20:D31"/>
    <mergeCell ref="B19:D19"/>
    <mergeCell ref="E19:K19"/>
    <mergeCell ref="E20:K31"/>
    <mergeCell ref="L19:O19"/>
    <mergeCell ref="L20:O31"/>
    <mergeCell ref="B17:D17"/>
    <mergeCell ref="M17:O17"/>
    <mergeCell ref="H17:K17"/>
    <mergeCell ref="E15:F16"/>
    <mergeCell ref="B18:D18"/>
    <mergeCell ref="B16:D16"/>
    <mergeCell ref="B15:D15"/>
    <mergeCell ref="H16:K16"/>
    <mergeCell ref="M15:O15"/>
    <mergeCell ref="B11:O11"/>
    <mergeCell ref="M2:O3"/>
    <mergeCell ref="H12:K14"/>
    <mergeCell ref="B2:B3"/>
    <mergeCell ref="C4:E4"/>
    <mergeCell ref="C6:J6"/>
    <mergeCell ref="B7:C7"/>
    <mergeCell ref="B12:D14"/>
    <mergeCell ref="C2:L3"/>
    <mergeCell ref="L12:L14"/>
    <mergeCell ref="F4:K4"/>
    <mergeCell ref="E12:G14"/>
    <mergeCell ref="M12:O12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scale="79" fitToWidth="0" fitToHeight="0" orientation="portrait" r:id="rId1"/>
  <rowBreaks count="1" manualBreakCount="1">
    <brk id="43" max="104857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597" r:id="rId4" name="Check Box 65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8" r:id="rId5" name="Check Box 65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9" r:id="rId6" name="Check Box 65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0" r:id="rId7" name="Check Box 65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1" r:id="rId8" name="Check Box 65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2" r:id="rId9" name="Check Box 658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3" r:id="rId10" name="Check Box 659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0" r:id="rId11" name="Check Box 1006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1" r:id="rId12" name="Check Box 1007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2" r:id="rId13" name="Check Box 1008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3" r:id="rId14" name="Check Box 1009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4" r:id="rId15" name="Check Box 1010">
              <controlPr defaultSize="0" autoFill="0" autoLine="0" autoPict="0">
                <anchor moveWithCells="1">
                  <from>
                    <xdr:col>11</xdr:col>
                    <xdr:colOff>704850</xdr:colOff>
                    <xdr:row>6</xdr:row>
                    <xdr:rowOff>9525</xdr:rowOff>
                  </from>
                  <to>
                    <xdr:col>12</xdr:col>
                    <xdr:colOff>9525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5" r:id="rId16" name="Check Box 1011">
              <controlPr defaultSize="0" autoFill="0" autoLine="0" autoPict="0">
                <anchor moveWithCells="1">
                  <from>
                    <xdr:col>11</xdr:col>
                    <xdr:colOff>704850</xdr:colOff>
                    <xdr:row>7</xdr:row>
                    <xdr:rowOff>9525</xdr:rowOff>
                  </from>
                  <to>
                    <xdr:col>12</xdr:col>
                    <xdr:colOff>9525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6" r:id="rId17" name="Check Box 1012">
              <controlPr defaultSize="0" autoFill="0" autoLine="0" autoPict="0">
                <anchor moveWithCells="1">
                  <from>
                    <xdr:col>11</xdr:col>
                    <xdr:colOff>695325</xdr:colOff>
                    <xdr:row>8</xdr:row>
                    <xdr:rowOff>9525</xdr:rowOff>
                  </from>
                  <to>
                    <xdr:col>12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J70"/>
  <sheetViews>
    <sheetView showGridLines="0" view="pageBreakPreview" zoomScale="98" zoomScaleNormal="100" zoomScaleSheetLayoutView="98" workbookViewId="0">
      <selection activeCell="B2" sqref="B2:C5"/>
    </sheetView>
  </sheetViews>
  <sheetFormatPr baseColWidth="10" defaultColWidth="11.42578125" defaultRowHeight="12.75" x14ac:dyDescent="0.2"/>
  <cols>
    <col min="1" max="1" width="4.7109375" customWidth="1"/>
    <col min="2" max="2" width="13.7109375" customWidth="1"/>
    <col min="3" max="3" width="13.7109375" bestFit="1" customWidth="1"/>
    <col min="4" max="4" width="10.42578125" customWidth="1"/>
    <col min="5" max="5" width="18.28515625" customWidth="1"/>
    <col min="6" max="6" width="18.5703125" customWidth="1"/>
    <col min="7" max="7" width="14.28515625" customWidth="1"/>
    <col min="8" max="8" width="11.7109375" customWidth="1"/>
    <col min="9" max="9" width="13.7109375" customWidth="1"/>
    <col min="10" max="10" width="4.7109375" customWidth="1"/>
    <col min="14" max="14" width="13.7109375" customWidth="1"/>
  </cols>
  <sheetData>
    <row r="1" spans="1:10" ht="15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0" ht="12.75" customHeight="1" x14ac:dyDescent="0.45">
      <c r="A2" s="38"/>
      <c r="B2" s="346"/>
      <c r="C2" s="347"/>
      <c r="D2" s="284" t="s">
        <v>461</v>
      </c>
      <c r="E2" s="284"/>
      <c r="F2" s="284"/>
      <c r="G2" s="285"/>
      <c r="H2" s="359" t="s">
        <v>90</v>
      </c>
      <c r="I2" s="360"/>
      <c r="J2" s="38"/>
    </row>
    <row r="3" spans="1:10" ht="12.75" customHeight="1" x14ac:dyDescent="0.45">
      <c r="A3" s="38"/>
      <c r="B3" s="348"/>
      <c r="C3" s="349"/>
      <c r="D3" s="367"/>
      <c r="E3" s="367"/>
      <c r="F3" s="367"/>
      <c r="G3" s="368"/>
      <c r="H3" s="361"/>
      <c r="I3" s="362"/>
      <c r="J3" s="38"/>
    </row>
    <row r="4" spans="1:10" ht="18.75" x14ac:dyDescent="0.45">
      <c r="A4" s="38"/>
      <c r="B4" s="348"/>
      <c r="C4" s="349"/>
      <c r="D4" s="367"/>
      <c r="E4" s="367"/>
      <c r="F4" s="367"/>
      <c r="G4" s="368"/>
      <c r="H4" s="361"/>
      <c r="I4" s="362"/>
      <c r="J4" s="38"/>
    </row>
    <row r="5" spans="1:10" ht="12.75" customHeight="1" x14ac:dyDescent="0.45">
      <c r="A5" s="38"/>
      <c r="B5" s="350"/>
      <c r="C5" s="351"/>
      <c r="D5" s="287"/>
      <c r="E5" s="287"/>
      <c r="F5" s="287"/>
      <c r="G5" s="288"/>
      <c r="H5" s="363"/>
      <c r="I5" s="364"/>
      <c r="J5" s="38"/>
    </row>
    <row r="6" spans="1:10" ht="18.75" x14ac:dyDescent="0.45">
      <c r="A6" s="38"/>
      <c r="B6" s="334" t="s">
        <v>53</v>
      </c>
      <c r="C6" s="335"/>
      <c r="D6" s="74"/>
      <c r="E6" s="107"/>
      <c r="F6" s="107"/>
      <c r="G6" s="62" t="s">
        <v>48</v>
      </c>
      <c r="H6" s="369"/>
      <c r="I6" s="347"/>
      <c r="J6" s="38"/>
    </row>
    <row r="7" spans="1:10" ht="18.75" x14ac:dyDescent="0.45">
      <c r="A7" s="38"/>
      <c r="B7" s="365" t="s">
        <v>91</v>
      </c>
      <c r="C7" s="366"/>
      <c r="D7" s="87">
        <f>DATOS!E8</f>
        <v>0</v>
      </c>
      <c r="E7" s="109"/>
      <c r="F7" s="109"/>
      <c r="G7" s="108" t="s">
        <v>54</v>
      </c>
      <c r="H7" s="370">
        <f>DATOS!E7</f>
        <v>0</v>
      </c>
      <c r="I7" s="371"/>
      <c r="J7" s="38"/>
    </row>
    <row r="8" spans="1:10" ht="18.75" x14ac:dyDescent="0.45">
      <c r="A8" s="38"/>
      <c r="B8" s="110" t="s">
        <v>92</v>
      </c>
      <c r="C8" s="111"/>
      <c r="D8" s="107"/>
      <c r="E8" s="107"/>
      <c r="F8" s="107"/>
      <c r="G8" s="107"/>
      <c r="H8" s="107"/>
      <c r="I8" s="112"/>
      <c r="J8" s="38"/>
    </row>
    <row r="9" spans="1:10" ht="4.5" customHeight="1" x14ac:dyDescent="0.45">
      <c r="A9" s="38"/>
      <c r="B9" s="113"/>
      <c r="C9" s="114"/>
      <c r="D9" s="38"/>
      <c r="E9" s="38"/>
      <c r="F9" s="38"/>
      <c r="G9" s="38"/>
      <c r="H9" s="38"/>
      <c r="I9" s="115"/>
      <c r="J9" s="38"/>
    </row>
    <row r="10" spans="1:10" ht="18.75" x14ac:dyDescent="0.45">
      <c r="A10" s="38"/>
      <c r="B10" s="116"/>
      <c r="C10" s="38"/>
      <c r="D10" s="67" t="s">
        <v>57</v>
      </c>
      <c r="E10" s="38"/>
      <c r="F10" s="38"/>
      <c r="G10" s="67" t="s">
        <v>58</v>
      </c>
      <c r="H10" s="38"/>
      <c r="I10" s="115"/>
      <c r="J10" s="38"/>
    </row>
    <row r="11" spans="1:10" ht="18.75" x14ac:dyDescent="0.45">
      <c r="A11" s="38"/>
      <c r="B11" s="116"/>
      <c r="C11" s="38"/>
      <c r="D11" s="67" t="s">
        <v>59</v>
      </c>
      <c r="E11" s="38"/>
      <c r="F11" s="38"/>
      <c r="G11" s="67" t="s">
        <v>60</v>
      </c>
      <c r="H11" s="38"/>
      <c r="I11" s="115"/>
      <c r="J11" s="38"/>
    </row>
    <row r="12" spans="1:10" ht="18.75" x14ac:dyDescent="0.45">
      <c r="A12" s="38"/>
      <c r="B12" s="116"/>
      <c r="C12" s="38"/>
      <c r="D12" s="67" t="s">
        <v>61</v>
      </c>
      <c r="E12" s="38"/>
      <c r="F12" s="38"/>
      <c r="G12" s="67" t="s">
        <v>62</v>
      </c>
      <c r="H12" s="38"/>
      <c r="I12" s="115"/>
      <c r="J12" s="38"/>
    </row>
    <row r="13" spans="1:10" ht="18.75" x14ac:dyDescent="0.45">
      <c r="A13" s="38"/>
      <c r="B13" s="117"/>
      <c r="C13" s="109"/>
      <c r="D13" s="87" t="s">
        <v>63</v>
      </c>
      <c r="E13" s="109"/>
      <c r="F13" s="109"/>
      <c r="G13" s="109"/>
      <c r="H13" s="109"/>
      <c r="I13" s="118"/>
      <c r="J13" s="38"/>
    </row>
    <row r="14" spans="1:10" ht="18.75" x14ac:dyDescent="0.45">
      <c r="A14" s="38"/>
      <c r="B14" s="334" t="s">
        <v>93</v>
      </c>
      <c r="C14" s="335"/>
      <c r="D14" s="335"/>
      <c r="E14" s="107" t="s">
        <v>94</v>
      </c>
      <c r="F14" s="107"/>
      <c r="G14" s="74" t="s">
        <v>95</v>
      </c>
      <c r="H14" s="79" t="s">
        <v>96</v>
      </c>
      <c r="I14" s="112"/>
      <c r="J14" s="38"/>
    </row>
    <row r="15" spans="1:10" ht="4.5" customHeight="1" x14ac:dyDescent="0.45">
      <c r="A15" s="38"/>
      <c r="B15" s="117"/>
      <c r="C15" s="109"/>
      <c r="D15" s="109"/>
      <c r="E15" s="109"/>
      <c r="F15" s="109"/>
      <c r="G15" s="87"/>
      <c r="H15" s="109"/>
      <c r="I15" s="118"/>
      <c r="J15" s="38"/>
    </row>
    <row r="16" spans="1:10" ht="18.75" x14ac:dyDescent="0.45">
      <c r="A16" s="38"/>
      <c r="B16" s="110" t="s">
        <v>97</v>
      </c>
      <c r="C16" s="111"/>
      <c r="D16" s="107"/>
      <c r="E16" s="107"/>
      <c r="F16" s="107"/>
      <c r="G16" s="107"/>
      <c r="H16" s="107"/>
      <c r="I16" s="112"/>
      <c r="J16" s="38"/>
    </row>
    <row r="17" spans="1:10" ht="18.75" x14ac:dyDescent="0.45">
      <c r="A17" s="38"/>
      <c r="B17" s="336" t="s">
        <v>98</v>
      </c>
      <c r="C17" s="337"/>
      <c r="D17" s="337"/>
      <c r="E17" s="337"/>
      <c r="F17" s="337"/>
      <c r="G17" s="337"/>
      <c r="H17" s="337"/>
      <c r="I17" s="115"/>
      <c r="J17" s="38"/>
    </row>
    <row r="18" spans="1:10" ht="4.5" customHeight="1" x14ac:dyDescent="0.45">
      <c r="A18" s="38"/>
      <c r="B18" s="117"/>
      <c r="C18" s="109"/>
      <c r="D18" s="109"/>
      <c r="E18" s="109"/>
      <c r="F18" s="109"/>
      <c r="G18" s="109"/>
      <c r="H18" s="109"/>
      <c r="I18" s="118"/>
      <c r="J18" s="38"/>
    </row>
    <row r="19" spans="1:10" ht="18.75" x14ac:dyDescent="0.45">
      <c r="A19" s="38"/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18.75" x14ac:dyDescent="0.45">
      <c r="A20" s="38"/>
      <c r="B20" s="114" t="s">
        <v>99</v>
      </c>
      <c r="C20" s="114"/>
      <c r="D20" s="120"/>
      <c r="E20" s="120"/>
      <c r="F20" s="38"/>
      <c r="G20" s="38"/>
      <c r="H20" s="38"/>
      <c r="I20" s="38"/>
      <c r="J20" s="38"/>
    </row>
    <row r="21" spans="1:10" ht="18.75" x14ac:dyDescent="0.45">
      <c r="A21" s="38"/>
      <c r="B21" s="38"/>
      <c r="C21" s="38"/>
      <c r="D21" s="120" t="s">
        <v>462</v>
      </c>
      <c r="E21" s="120" t="s">
        <v>463</v>
      </c>
      <c r="F21" s="38"/>
      <c r="G21" s="38"/>
      <c r="H21" s="38"/>
      <c r="I21" s="38"/>
      <c r="J21" s="38"/>
    </row>
    <row r="22" spans="1:10" ht="18.75" x14ac:dyDescent="0.45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3" spans="1:10" ht="18.75" x14ac:dyDescent="0.45">
      <c r="A23" s="38"/>
      <c r="B23" s="114" t="s">
        <v>100</v>
      </c>
      <c r="C23" s="114"/>
      <c r="D23" s="38"/>
      <c r="E23" s="38"/>
      <c r="F23" s="38"/>
      <c r="G23" s="38"/>
      <c r="H23" s="38"/>
      <c r="I23" s="38"/>
      <c r="J23" s="38"/>
    </row>
    <row r="24" spans="1:10" ht="18.75" x14ac:dyDescent="0.45">
      <c r="A24" s="38"/>
      <c r="B24" s="38"/>
      <c r="C24" s="38"/>
      <c r="D24" s="38"/>
      <c r="E24" s="338" t="s">
        <v>101</v>
      </c>
      <c r="F24" s="338"/>
      <c r="G24" s="338" t="s">
        <v>102</v>
      </c>
      <c r="H24" s="338"/>
      <c r="I24" s="38"/>
      <c r="J24" s="38"/>
    </row>
    <row r="25" spans="1:10" ht="18.75" x14ac:dyDescent="0.45">
      <c r="A25" s="38"/>
      <c r="B25" s="38"/>
      <c r="C25" s="38"/>
      <c r="D25" s="38"/>
      <c r="E25" s="338" t="s">
        <v>103</v>
      </c>
      <c r="F25" s="338"/>
      <c r="G25" s="338" t="s">
        <v>104</v>
      </c>
      <c r="H25" s="338"/>
      <c r="I25" s="38"/>
      <c r="J25" s="38"/>
    </row>
    <row r="26" spans="1:10" ht="18.75" x14ac:dyDescent="0.45">
      <c r="A26" s="38"/>
      <c r="B26" s="38"/>
      <c r="C26" s="38"/>
      <c r="D26" s="122" t="s">
        <v>105</v>
      </c>
      <c r="E26" s="123">
        <v>10.1</v>
      </c>
      <c r="F26" s="123">
        <v>0</v>
      </c>
      <c r="G26" s="123">
        <v>11.1</v>
      </c>
      <c r="H26" s="123">
        <v>0</v>
      </c>
      <c r="I26" s="38"/>
      <c r="J26" s="38"/>
    </row>
    <row r="27" spans="1:10" ht="18.75" x14ac:dyDescent="0.45">
      <c r="A27" s="38"/>
      <c r="B27" s="38"/>
      <c r="C27" s="38"/>
      <c r="D27" s="122" t="s">
        <v>106</v>
      </c>
      <c r="E27" s="123">
        <v>10</v>
      </c>
      <c r="F27" s="123">
        <v>0</v>
      </c>
      <c r="G27" s="123">
        <v>11</v>
      </c>
      <c r="H27" s="123">
        <v>0</v>
      </c>
      <c r="I27" s="38"/>
      <c r="J27" s="38"/>
    </row>
    <row r="28" spans="1:10" ht="18.75" x14ac:dyDescent="0.45">
      <c r="A28" s="38"/>
      <c r="B28" s="38"/>
      <c r="C28" s="38"/>
      <c r="D28" s="121" t="s">
        <v>107</v>
      </c>
      <c r="E28" s="123">
        <f>E26-E27</f>
        <v>9.9999999999999645E-2</v>
      </c>
      <c r="F28" s="123">
        <f>F26-F27</f>
        <v>0</v>
      </c>
      <c r="G28" s="123">
        <f>G26-G27</f>
        <v>9.9999999999999645E-2</v>
      </c>
      <c r="H28" s="123">
        <f>H26-H27</f>
        <v>0</v>
      </c>
      <c r="I28" s="38"/>
      <c r="J28" s="38"/>
    </row>
    <row r="29" spans="1:10" ht="18.75" x14ac:dyDescent="0.45">
      <c r="A29" s="38"/>
      <c r="B29" s="38"/>
      <c r="C29" s="38"/>
      <c r="D29" s="121" t="s">
        <v>108</v>
      </c>
      <c r="E29" s="123">
        <v>3.32</v>
      </c>
      <c r="F29" s="123">
        <v>3.32</v>
      </c>
      <c r="G29" s="123">
        <v>3.32</v>
      </c>
      <c r="H29" s="123">
        <v>3.32</v>
      </c>
      <c r="I29" s="38"/>
      <c r="J29" s="38"/>
    </row>
    <row r="30" spans="1:10" ht="18.75" x14ac:dyDescent="0.45">
      <c r="A30" s="38"/>
      <c r="B30" s="38"/>
      <c r="C30" s="38"/>
      <c r="D30" s="121" t="s">
        <v>109</v>
      </c>
      <c r="E30" s="121">
        <v>5.3</v>
      </c>
      <c r="F30" s="121">
        <v>5.3</v>
      </c>
      <c r="G30" s="121">
        <v>5.3</v>
      </c>
      <c r="H30" s="121">
        <v>5.3</v>
      </c>
      <c r="I30" s="38"/>
      <c r="J30" s="38"/>
    </row>
    <row r="31" spans="1:10" ht="18.75" x14ac:dyDescent="0.45">
      <c r="A31" s="38"/>
      <c r="B31" s="38"/>
      <c r="C31" s="38"/>
      <c r="D31" s="121" t="s">
        <v>110</v>
      </c>
      <c r="E31" s="124">
        <v>12</v>
      </c>
      <c r="F31" s="124">
        <v>12</v>
      </c>
      <c r="G31" s="124">
        <v>12</v>
      </c>
      <c r="H31" s="124">
        <v>12</v>
      </c>
      <c r="I31" s="38"/>
      <c r="J31" s="38"/>
    </row>
    <row r="32" spans="1:10" ht="18.75" x14ac:dyDescent="0.45">
      <c r="A32" s="38"/>
      <c r="B32" s="38"/>
      <c r="C32" s="38"/>
      <c r="D32" s="121" t="s">
        <v>111</v>
      </c>
      <c r="E32" s="125">
        <v>1.5</v>
      </c>
      <c r="F32" s="125">
        <v>1.5</v>
      </c>
      <c r="G32" s="125">
        <v>1.5</v>
      </c>
      <c r="H32" s="125">
        <v>1.5</v>
      </c>
      <c r="I32" s="38"/>
      <c r="J32" s="38"/>
    </row>
    <row r="33" spans="1:10" ht="18.75" x14ac:dyDescent="0.45">
      <c r="A33" s="38"/>
      <c r="B33" s="38"/>
      <c r="C33" s="38"/>
      <c r="D33" s="121" t="s">
        <v>112</v>
      </c>
      <c r="E33" s="123">
        <v>58</v>
      </c>
      <c r="F33" s="123">
        <v>58</v>
      </c>
      <c r="G33" s="123">
        <v>58</v>
      </c>
      <c r="H33" s="123">
        <v>58</v>
      </c>
      <c r="I33" s="38"/>
      <c r="J33" s="38"/>
    </row>
    <row r="34" spans="1:10" ht="18.75" x14ac:dyDescent="0.45">
      <c r="A34" s="38"/>
      <c r="B34" s="38"/>
      <c r="C34" s="38"/>
      <c r="D34" s="121" t="s">
        <v>113</v>
      </c>
      <c r="E34" s="125">
        <f>RADIANS(E33)</f>
        <v>1.0122909661567112</v>
      </c>
      <c r="F34" s="125">
        <f>RADIANS(F33)</f>
        <v>1.0122909661567112</v>
      </c>
      <c r="G34" s="125">
        <f>RADIANS(G33)</f>
        <v>1.0122909661567112</v>
      </c>
      <c r="H34" s="125">
        <f>RADIANS(H33)</f>
        <v>1.0122909661567112</v>
      </c>
      <c r="I34" s="38"/>
      <c r="J34" s="38"/>
    </row>
    <row r="35" spans="1:10" ht="18.75" x14ac:dyDescent="0.45">
      <c r="A35" s="38"/>
      <c r="B35" s="38"/>
      <c r="C35" s="38"/>
      <c r="D35" s="121" t="s">
        <v>114</v>
      </c>
      <c r="E35" s="125">
        <f>(E32^2-(SIN(E34))^2)^0.5/(COS(E34))-1</f>
        <v>1.3348101113476663</v>
      </c>
      <c r="F35" s="125">
        <f>(F32^2-(SIN(F34))^2)^0.5/(COS(F34))-1</f>
        <v>1.3348101113476663</v>
      </c>
      <c r="G35" s="125">
        <f>(G32^2-(SIN(G34))^2)^0.5/(COS(G34))-1</f>
        <v>1.3348101113476663</v>
      </c>
      <c r="H35" s="125">
        <f>(H32^2-(SIN(H34))^2)^0.5/(COS(H34))-1</f>
        <v>1.3348101113476663</v>
      </c>
      <c r="I35" s="38"/>
      <c r="J35" s="38"/>
    </row>
    <row r="36" spans="1:10" ht="18.75" x14ac:dyDescent="0.45">
      <c r="A36" s="38"/>
      <c r="B36" s="38"/>
      <c r="C36" s="38"/>
      <c r="D36" s="121" t="s">
        <v>115</v>
      </c>
      <c r="E36" s="126">
        <f>(E28*(E29+E30)*(E32-1)*COS(E34))/(E31*E29*E30*E35)</f>
        <v>8.1034935495173882E-4</v>
      </c>
      <c r="F36" s="126">
        <f>(F28*(F29+F30)*(F32-1)*COS(F34))/(F31*F29*F30*F35)</f>
        <v>0</v>
      </c>
      <c r="G36" s="126">
        <f>(G28*(G29+G30)*(G32-1)*COS(G34))/(G31*G29*G30*G35)</f>
        <v>8.1034935495173882E-4</v>
      </c>
      <c r="H36" s="126">
        <f>(H28*(H29+H30)*(H32-1)*COS(H34))/(H31*H29*H30*H35)</f>
        <v>0</v>
      </c>
      <c r="I36" s="38"/>
      <c r="J36" s="38"/>
    </row>
    <row r="37" spans="1:10" ht="18.75" x14ac:dyDescent="0.45">
      <c r="A37" s="38"/>
      <c r="B37" s="127"/>
      <c r="C37" s="128" t="s">
        <v>116</v>
      </c>
      <c r="D37" s="122" t="s">
        <v>117</v>
      </c>
      <c r="E37" s="129">
        <f>E36*10000</f>
        <v>8.1034935495173883</v>
      </c>
      <c r="F37" s="129">
        <f>F36*10000</f>
        <v>0</v>
      </c>
      <c r="G37" s="129">
        <f>G36*10000</f>
        <v>8.1034935495173883</v>
      </c>
      <c r="H37" s="129">
        <f>H36*10000</f>
        <v>0</v>
      </c>
      <c r="I37" s="38"/>
      <c r="J37" s="38"/>
    </row>
    <row r="38" spans="1:10" ht="18.75" x14ac:dyDescent="0.45">
      <c r="A38" s="38"/>
      <c r="B38" s="127"/>
      <c r="C38" s="130" t="s">
        <v>118</v>
      </c>
      <c r="D38" s="122" t="s">
        <v>117</v>
      </c>
      <c r="E38" s="122" t="s">
        <v>119</v>
      </c>
      <c r="F38" s="122" t="s">
        <v>119</v>
      </c>
      <c r="G38" s="122" t="s">
        <v>120</v>
      </c>
      <c r="H38" s="122" t="s">
        <v>120</v>
      </c>
      <c r="I38" s="38"/>
      <c r="J38" s="38"/>
    </row>
    <row r="39" spans="1:10" ht="18.75" x14ac:dyDescent="0.45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0" ht="18.75" x14ac:dyDescent="0.45">
      <c r="A40" s="38"/>
      <c r="B40" s="343" t="s">
        <v>121</v>
      </c>
      <c r="C40" s="344"/>
      <c r="D40" s="345"/>
      <c r="E40" s="342" t="s">
        <v>122</v>
      </c>
      <c r="F40" s="342"/>
      <c r="G40" s="343" t="s">
        <v>123</v>
      </c>
      <c r="H40" s="344"/>
      <c r="I40" s="345"/>
      <c r="J40" s="38"/>
    </row>
    <row r="41" spans="1:10" ht="18.75" x14ac:dyDescent="0.45">
      <c r="A41" s="38"/>
      <c r="B41" s="346"/>
      <c r="C41" s="369"/>
      <c r="D41" s="347"/>
      <c r="E41" s="346"/>
      <c r="F41" s="347"/>
      <c r="G41" s="346"/>
      <c r="H41" s="369"/>
      <c r="I41" s="347"/>
      <c r="J41" s="38"/>
    </row>
    <row r="42" spans="1:10" ht="18.75" x14ac:dyDescent="0.45">
      <c r="A42" s="38"/>
      <c r="B42" s="348"/>
      <c r="C42" s="217"/>
      <c r="D42" s="349"/>
      <c r="E42" s="348"/>
      <c r="F42" s="349"/>
      <c r="G42" s="348"/>
      <c r="H42" s="217"/>
      <c r="I42" s="349"/>
      <c r="J42" s="38"/>
    </row>
    <row r="43" spans="1:10" ht="18.75" x14ac:dyDescent="0.45">
      <c r="A43" s="38"/>
      <c r="B43" s="348"/>
      <c r="C43" s="217"/>
      <c r="D43" s="349"/>
      <c r="E43" s="348"/>
      <c r="F43" s="349"/>
      <c r="G43" s="348"/>
      <c r="H43" s="217"/>
      <c r="I43" s="349"/>
      <c r="J43" s="38"/>
    </row>
    <row r="44" spans="1:10" ht="18.75" x14ac:dyDescent="0.45">
      <c r="A44" s="38"/>
      <c r="B44" s="348"/>
      <c r="C44" s="217"/>
      <c r="D44" s="349"/>
      <c r="E44" s="348"/>
      <c r="F44" s="349"/>
      <c r="G44" s="348"/>
      <c r="H44" s="217"/>
      <c r="I44" s="349"/>
      <c r="J44" s="38"/>
    </row>
    <row r="45" spans="1:10" ht="18.75" x14ac:dyDescent="0.45">
      <c r="A45" s="38"/>
      <c r="B45" s="348"/>
      <c r="C45" s="217"/>
      <c r="D45" s="349"/>
      <c r="E45" s="348"/>
      <c r="F45" s="349"/>
      <c r="G45" s="348"/>
      <c r="H45" s="217"/>
      <c r="I45" s="349"/>
      <c r="J45" s="38"/>
    </row>
    <row r="46" spans="1:10" ht="18.75" x14ac:dyDescent="0.45">
      <c r="A46" s="38"/>
      <c r="B46" s="348"/>
      <c r="C46" s="217"/>
      <c r="D46" s="349"/>
      <c r="E46" s="348"/>
      <c r="F46" s="349"/>
      <c r="G46" s="348"/>
      <c r="H46" s="217"/>
      <c r="I46" s="349"/>
      <c r="J46" s="38"/>
    </row>
    <row r="47" spans="1:10" ht="18.75" x14ac:dyDescent="0.45">
      <c r="A47" s="38"/>
      <c r="B47" s="348"/>
      <c r="C47" s="217"/>
      <c r="D47" s="349"/>
      <c r="E47" s="348"/>
      <c r="F47" s="349"/>
      <c r="G47" s="348"/>
      <c r="H47" s="217"/>
      <c r="I47" s="349"/>
      <c r="J47" s="38"/>
    </row>
    <row r="48" spans="1:10" ht="18.75" x14ac:dyDescent="0.45">
      <c r="A48" s="38"/>
      <c r="B48" s="348"/>
      <c r="C48" s="217"/>
      <c r="D48" s="349"/>
      <c r="E48" s="348"/>
      <c r="F48" s="349"/>
      <c r="G48" s="348"/>
      <c r="H48" s="217"/>
      <c r="I48" s="349"/>
      <c r="J48" s="38"/>
    </row>
    <row r="49" spans="1:10" ht="18.75" x14ac:dyDescent="0.45">
      <c r="A49" s="38"/>
      <c r="B49" s="350"/>
      <c r="C49" s="354"/>
      <c r="D49" s="351"/>
      <c r="E49" s="350"/>
      <c r="F49" s="351"/>
      <c r="G49" s="350"/>
      <c r="H49" s="354"/>
      <c r="I49" s="351"/>
      <c r="J49" s="38"/>
    </row>
    <row r="50" spans="1:10" ht="18.75" x14ac:dyDescent="0.45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spans="1:10" ht="18.75" x14ac:dyDescent="0.45">
      <c r="A51" s="38"/>
      <c r="B51" s="339" t="s">
        <v>124</v>
      </c>
      <c r="C51" s="340"/>
      <c r="D51" s="341"/>
      <c r="E51" s="342" t="s">
        <v>125</v>
      </c>
      <c r="F51" s="342"/>
      <c r="G51" s="339" t="s">
        <v>126</v>
      </c>
      <c r="H51" s="340"/>
      <c r="I51" s="341"/>
      <c r="J51" s="38"/>
    </row>
    <row r="52" spans="1:10" ht="18.75" x14ac:dyDescent="0.45">
      <c r="A52" s="38"/>
      <c r="B52" s="372"/>
      <c r="C52" s="372"/>
      <c r="D52" s="372"/>
      <c r="E52" s="346"/>
      <c r="F52" s="347"/>
      <c r="G52" s="372"/>
      <c r="H52" s="372"/>
      <c r="I52" s="372"/>
      <c r="J52" s="38"/>
    </row>
    <row r="53" spans="1:10" ht="18.75" x14ac:dyDescent="0.45">
      <c r="A53" s="38"/>
      <c r="B53" s="372"/>
      <c r="C53" s="372"/>
      <c r="D53" s="372"/>
      <c r="E53" s="348"/>
      <c r="F53" s="349"/>
      <c r="G53" s="372"/>
      <c r="H53" s="372"/>
      <c r="I53" s="372"/>
      <c r="J53" s="38"/>
    </row>
    <row r="54" spans="1:10" ht="18.75" x14ac:dyDescent="0.45">
      <c r="A54" s="38"/>
      <c r="B54" s="372"/>
      <c r="C54" s="372"/>
      <c r="D54" s="372"/>
      <c r="E54" s="348"/>
      <c r="F54" s="349"/>
      <c r="G54" s="372"/>
      <c r="H54" s="372"/>
      <c r="I54" s="372"/>
      <c r="J54" s="38"/>
    </row>
    <row r="55" spans="1:10" ht="18.75" x14ac:dyDescent="0.45">
      <c r="A55" s="38"/>
      <c r="B55" s="372"/>
      <c r="C55" s="372"/>
      <c r="D55" s="372"/>
      <c r="E55" s="348"/>
      <c r="F55" s="349"/>
      <c r="G55" s="372"/>
      <c r="H55" s="372"/>
      <c r="I55" s="372"/>
      <c r="J55" s="38"/>
    </row>
    <row r="56" spans="1:10" ht="18.75" x14ac:dyDescent="0.45">
      <c r="A56" s="38"/>
      <c r="B56" s="372"/>
      <c r="C56" s="372"/>
      <c r="D56" s="372"/>
      <c r="E56" s="348"/>
      <c r="F56" s="349"/>
      <c r="G56" s="372"/>
      <c r="H56" s="372"/>
      <c r="I56" s="372"/>
      <c r="J56" s="38"/>
    </row>
    <row r="57" spans="1:10" ht="18.75" x14ac:dyDescent="0.45">
      <c r="A57" s="38"/>
      <c r="B57" s="372"/>
      <c r="C57" s="372"/>
      <c r="D57" s="372"/>
      <c r="E57" s="348"/>
      <c r="F57" s="349"/>
      <c r="G57" s="372"/>
      <c r="H57" s="372"/>
      <c r="I57" s="372"/>
      <c r="J57" s="38"/>
    </row>
    <row r="58" spans="1:10" ht="18.75" x14ac:dyDescent="0.45">
      <c r="A58" s="38"/>
      <c r="B58" s="372"/>
      <c r="C58" s="372"/>
      <c r="D58" s="372"/>
      <c r="E58" s="348"/>
      <c r="F58" s="349"/>
      <c r="G58" s="372"/>
      <c r="H58" s="372"/>
      <c r="I58" s="372"/>
      <c r="J58" s="38"/>
    </row>
    <row r="59" spans="1:10" ht="18.75" x14ac:dyDescent="0.45">
      <c r="A59" s="38"/>
      <c r="B59" s="372"/>
      <c r="C59" s="372"/>
      <c r="D59" s="372"/>
      <c r="E59" s="348"/>
      <c r="F59" s="349"/>
      <c r="G59" s="372"/>
      <c r="H59" s="372"/>
      <c r="I59" s="372"/>
      <c r="J59" s="38"/>
    </row>
    <row r="60" spans="1:10" ht="18.75" x14ac:dyDescent="0.45">
      <c r="A60" s="38"/>
      <c r="B60" s="372"/>
      <c r="C60" s="372"/>
      <c r="D60" s="372"/>
      <c r="E60" s="348"/>
      <c r="F60" s="349"/>
      <c r="G60" s="372"/>
      <c r="H60" s="372"/>
      <c r="I60" s="372"/>
      <c r="J60" s="38"/>
    </row>
    <row r="61" spans="1:10" ht="18.75" x14ac:dyDescent="0.45">
      <c r="A61" s="38"/>
      <c r="B61" s="352" t="s">
        <v>127</v>
      </c>
      <c r="C61" s="352"/>
      <c r="D61" s="352"/>
      <c r="E61" s="357" t="s">
        <v>127</v>
      </c>
      <c r="F61" s="358"/>
      <c r="G61" s="352" t="s">
        <v>127</v>
      </c>
      <c r="H61" s="352"/>
      <c r="I61" s="352"/>
      <c r="J61" s="38"/>
    </row>
    <row r="62" spans="1:10" ht="18.75" x14ac:dyDescent="0.45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spans="1:10" ht="18.75" x14ac:dyDescent="0.45">
      <c r="A63" s="38"/>
      <c r="B63" s="114" t="s">
        <v>128</v>
      </c>
      <c r="C63" s="38"/>
      <c r="D63" s="38"/>
      <c r="E63" s="38"/>
      <c r="F63" s="38"/>
      <c r="G63" s="38"/>
      <c r="H63" s="38"/>
      <c r="I63" s="38"/>
      <c r="J63" s="38"/>
    </row>
    <row r="64" spans="1:10" ht="18.75" x14ac:dyDescent="0.45">
      <c r="A64" s="38"/>
      <c r="B64" s="353" t="s">
        <v>129</v>
      </c>
      <c r="C64" s="353"/>
      <c r="D64" s="353"/>
      <c r="E64" s="353"/>
      <c r="F64" s="353"/>
      <c r="G64" s="353"/>
      <c r="H64" s="353"/>
      <c r="I64" s="38"/>
      <c r="J64" s="38"/>
    </row>
    <row r="65" spans="1:10" ht="18.75" x14ac:dyDescent="0.45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spans="1:10" ht="18.75" x14ac:dyDescent="0.45">
      <c r="A66" s="38"/>
      <c r="B66" s="354" t="s">
        <v>457</v>
      </c>
      <c r="C66" s="354"/>
      <c r="D66" s="38"/>
      <c r="E66" s="354"/>
      <c r="F66" s="354"/>
      <c r="G66" s="38"/>
      <c r="H66" s="355" t="s">
        <v>456</v>
      </c>
      <c r="I66" s="355"/>
      <c r="J66" s="38"/>
    </row>
    <row r="67" spans="1:10" ht="18.75" x14ac:dyDescent="0.45">
      <c r="A67" s="38"/>
      <c r="B67" s="356" t="s">
        <v>45</v>
      </c>
      <c r="C67" s="356"/>
      <c r="D67" s="38"/>
      <c r="E67" s="356" t="s">
        <v>46</v>
      </c>
      <c r="F67" s="356"/>
      <c r="G67" s="38"/>
      <c r="H67" s="356" t="s">
        <v>82</v>
      </c>
      <c r="I67" s="356"/>
      <c r="J67" s="38"/>
    </row>
    <row r="68" spans="1:10" ht="18.75" x14ac:dyDescent="0.45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spans="1:10" ht="18.75" x14ac:dyDescent="0.45">
      <c r="A69" s="38"/>
      <c r="B69" s="327" t="s">
        <v>49</v>
      </c>
      <c r="C69" s="327"/>
      <c r="D69" s="38"/>
      <c r="E69" s="38"/>
      <c r="F69" s="38"/>
      <c r="G69" s="38"/>
      <c r="H69" s="328" t="s">
        <v>130</v>
      </c>
      <c r="I69" s="328"/>
      <c r="J69" s="38"/>
    </row>
    <row r="70" spans="1:10" ht="15" customHeight="1" x14ac:dyDescent="0.45">
      <c r="A70" s="38"/>
      <c r="B70" s="38"/>
      <c r="C70" s="38"/>
      <c r="D70" s="38"/>
      <c r="E70" s="38"/>
      <c r="F70" s="38"/>
      <c r="G70" s="38"/>
      <c r="H70" s="38"/>
      <c r="I70" s="38"/>
      <c r="J70" s="38"/>
    </row>
  </sheetData>
  <mergeCells count="37">
    <mergeCell ref="H2:I5"/>
    <mergeCell ref="B7:C7"/>
    <mergeCell ref="B67:C67"/>
    <mergeCell ref="E67:F67"/>
    <mergeCell ref="E24:F24"/>
    <mergeCell ref="G24:H24"/>
    <mergeCell ref="G25:H25"/>
    <mergeCell ref="D2:G5"/>
    <mergeCell ref="B2:C5"/>
    <mergeCell ref="B6:C6"/>
    <mergeCell ref="H6:I6"/>
    <mergeCell ref="H7:I7"/>
    <mergeCell ref="B41:D49"/>
    <mergeCell ref="G41:I49"/>
    <mergeCell ref="B52:D60"/>
    <mergeCell ref="G52:I60"/>
    <mergeCell ref="E52:F60"/>
    <mergeCell ref="E40:F40"/>
    <mergeCell ref="E41:F49"/>
    <mergeCell ref="B69:C69"/>
    <mergeCell ref="H69:I69"/>
    <mergeCell ref="B61:D61"/>
    <mergeCell ref="G61:I61"/>
    <mergeCell ref="B64:H64"/>
    <mergeCell ref="B66:C66"/>
    <mergeCell ref="H66:I66"/>
    <mergeCell ref="E66:F66"/>
    <mergeCell ref="H67:I67"/>
    <mergeCell ref="E61:F61"/>
    <mergeCell ref="B14:D14"/>
    <mergeCell ref="B17:H17"/>
    <mergeCell ref="E25:F25"/>
    <mergeCell ref="B51:D51"/>
    <mergeCell ref="G51:I51"/>
    <mergeCell ref="E51:F51"/>
    <mergeCell ref="B40:D40"/>
    <mergeCell ref="G40:I40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4498" r:id="rId4" name="Check Box 2">
              <controlPr defaultSize="0" autoFill="0" autoLine="0" autoPict="0">
                <anchor moveWithCells="1">
                  <from>
                    <xdr:col>2</xdr:col>
                    <xdr:colOff>723900</xdr:colOff>
                    <xdr:row>8</xdr:row>
                    <xdr:rowOff>38100</xdr:rowOff>
                  </from>
                  <to>
                    <xdr:col>3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99" r:id="rId5" name="Check Box 3">
              <controlPr defaultSize="0" autoFill="0" autoLine="0" autoPict="0">
                <anchor moveWithCells="1">
                  <from>
                    <xdr:col>2</xdr:col>
                    <xdr:colOff>723900</xdr:colOff>
                    <xdr:row>9</xdr:row>
                    <xdr:rowOff>161925</xdr:rowOff>
                  </from>
                  <to>
                    <xdr:col>3</xdr:col>
                    <xdr:colOff>0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0" r:id="rId6" name="Check Box 4">
              <controlPr defaultSize="0" autoFill="0" autoLine="0" autoPict="0">
                <anchor moveWithCells="1">
                  <from>
                    <xdr:col>2</xdr:col>
                    <xdr:colOff>723900</xdr:colOff>
                    <xdr:row>10</xdr:row>
                    <xdr:rowOff>142875</xdr:rowOff>
                  </from>
                  <to>
                    <xdr:col>3</xdr:col>
                    <xdr:colOff>0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1" r:id="rId7" name="Check Box 5">
              <controlPr defaultSize="0" autoFill="0" autoLine="0" autoPict="0">
                <anchor moveWithCells="1">
                  <from>
                    <xdr:col>2</xdr:col>
                    <xdr:colOff>723900</xdr:colOff>
                    <xdr:row>12</xdr:row>
                    <xdr:rowOff>0</xdr:rowOff>
                  </from>
                  <to>
                    <xdr:col>3</xdr:col>
                    <xdr:colOff>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2" r:id="rId8" name="Check Box 6">
              <controlPr defaultSize="0" autoFill="0" autoLine="0" autoPict="0">
                <anchor moveWithCells="1">
                  <from>
                    <xdr:col>5</xdr:col>
                    <xdr:colOff>771525</xdr:colOff>
                    <xdr:row>8</xdr:row>
                    <xdr:rowOff>28575</xdr:rowOff>
                  </from>
                  <to>
                    <xdr:col>5</xdr:col>
                    <xdr:colOff>952500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3" r:id="rId9" name="Check Box 7">
              <controlPr defaultSize="0" autoFill="0" autoLine="0" autoPict="0">
                <anchor moveWithCells="1">
                  <from>
                    <xdr:col>5</xdr:col>
                    <xdr:colOff>771525</xdr:colOff>
                    <xdr:row>9</xdr:row>
                    <xdr:rowOff>161925</xdr:rowOff>
                  </from>
                  <to>
                    <xdr:col>5</xdr:col>
                    <xdr:colOff>952500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4" r:id="rId10" name="Check Box 8">
              <controlPr defaultSize="0" autoFill="0" autoLine="0" autoPict="0">
                <anchor moveWithCells="1">
                  <from>
                    <xdr:col>5</xdr:col>
                    <xdr:colOff>771525</xdr:colOff>
                    <xdr:row>10</xdr:row>
                    <xdr:rowOff>171450</xdr:rowOff>
                  </from>
                  <to>
                    <xdr:col>5</xdr:col>
                    <xdr:colOff>952500</xdr:colOff>
                    <xdr:row>11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I45"/>
  <sheetViews>
    <sheetView showGridLines="0" view="pageBreakPreview" zoomScale="70" zoomScaleNormal="100" zoomScaleSheetLayoutView="82" workbookViewId="0">
      <selection activeCell="C14" sqref="C14"/>
    </sheetView>
  </sheetViews>
  <sheetFormatPr baseColWidth="10" defaultColWidth="9.140625" defaultRowHeight="12.75" x14ac:dyDescent="0.2"/>
  <cols>
    <col min="1" max="1" width="4.7109375" customWidth="1"/>
    <col min="2" max="2" width="21.5703125" customWidth="1"/>
    <col min="3" max="3" width="13.85546875" customWidth="1"/>
    <col min="4" max="5" width="13" customWidth="1"/>
    <col min="6" max="6" width="14.42578125" customWidth="1"/>
    <col min="7" max="7" width="13" customWidth="1"/>
    <col min="8" max="8" width="12.85546875" customWidth="1"/>
    <col min="9" max="9" width="4.7109375" customWidth="1"/>
  </cols>
  <sheetData>
    <row r="1" spans="1:9" ht="18" customHeight="1" x14ac:dyDescent="0.45">
      <c r="A1" s="38"/>
      <c r="B1" s="38"/>
      <c r="C1" s="38"/>
      <c r="D1" s="38"/>
      <c r="E1" s="38"/>
      <c r="F1" s="38"/>
      <c r="G1" s="38"/>
      <c r="H1" s="38"/>
      <c r="I1" s="38"/>
    </row>
    <row r="2" spans="1:9" ht="12.75" customHeight="1" x14ac:dyDescent="0.45">
      <c r="A2" s="38"/>
      <c r="B2" s="132"/>
      <c r="C2" s="373" t="s">
        <v>131</v>
      </c>
      <c r="D2" s="374"/>
      <c r="E2" s="374"/>
      <c r="F2" s="375"/>
      <c r="G2" s="263" t="s">
        <v>52</v>
      </c>
      <c r="H2" s="264"/>
      <c r="I2" s="38"/>
    </row>
    <row r="3" spans="1:9" ht="12.75" customHeight="1" x14ac:dyDescent="0.45">
      <c r="A3" s="38"/>
      <c r="B3" s="116"/>
      <c r="C3" s="376"/>
      <c r="D3" s="377"/>
      <c r="E3" s="377"/>
      <c r="F3" s="378"/>
      <c r="G3" s="382"/>
      <c r="H3" s="383"/>
      <c r="I3" s="38"/>
    </row>
    <row r="4" spans="1:9" ht="12.75" customHeight="1" x14ac:dyDescent="0.45">
      <c r="A4" s="38"/>
      <c r="B4" s="116"/>
      <c r="C4" s="376"/>
      <c r="D4" s="377"/>
      <c r="E4" s="377"/>
      <c r="F4" s="378"/>
      <c r="G4" s="382"/>
      <c r="H4" s="383"/>
      <c r="I4" s="38"/>
    </row>
    <row r="5" spans="1:9" ht="12.75" customHeight="1" x14ac:dyDescent="0.45">
      <c r="A5" s="38"/>
      <c r="B5" s="117"/>
      <c r="C5" s="379"/>
      <c r="D5" s="380"/>
      <c r="E5" s="380"/>
      <c r="F5" s="381"/>
      <c r="G5" s="266"/>
      <c r="H5" s="267"/>
      <c r="I5" s="38"/>
    </row>
    <row r="6" spans="1:9" ht="18.75" x14ac:dyDescent="0.45">
      <c r="A6" s="38"/>
      <c r="B6" s="133" t="s">
        <v>53</v>
      </c>
      <c r="C6" s="103"/>
      <c r="D6" s="38"/>
      <c r="E6" s="38"/>
      <c r="F6" s="134" t="s">
        <v>48</v>
      </c>
      <c r="G6" s="135"/>
      <c r="H6" s="115"/>
      <c r="I6" s="38"/>
    </row>
    <row r="7" spans="1:9" ht="18.75" x14ac:dyDescent="0.45">
      <c r="A7" s="38"/>
      <c r="B7" s="136" t="s">
        <v>91</v>
      </c>
      <c r="C7" s="137">
        <f>+DATOS!$E$8</f>
        <v>0</v>
      </c>
      <c r="D7" s="38"/>
      <c r="E7" s="38"/>
      <c r="F7" s="134" t="s">
        <v>54</v>
      </c>
      <c r="G7" s="280" t="s">
        <v>132</v>
      </c>
      <c r="H7" s="384"/>
      <c r="I7" s="38"/>
    </row>
    <row r="8" spans="1:9" ht="21" x14ac:dyDescent="0.5">
      <c r="A8" s="38"/>
      <c r="B8" s="110" t="s">
        <v>56</v>
      </c>
      <c r="C8" s="107"/>
      <c r="D8" s="138" t="s">
        <v>57</v>
      </c>
      <c r="E8" s="107"/>
      <c r="F8" s="107"/>
      <c r="G8" s="138" t="s">
        <v>58</v>
      </c>
      <c r="H8" s="112"/>
      <c r="I8" s="38"/>
    </row>
    <row r="9" spans="1:9" ht="21" x14ac:dyDescent="0.5">
      <c r="A9" s="38"/>
      <c r="B9" s="116"/>
      <c r="C9" s="38"/>
      <c r="D9" s="139" t="s">
        <v>59</v>
      </c>
      <c r="E9" s="38"/>
      <c r="F9" s="38"/>
      <c r="G9" s="139" t="s">
        <v>60</v>
      </c>
      <c r="H9" s="115"/>
      <c r="I9" s="38"/>
    </row>
    <row r="10" spans="1:9" ht="21" x14ac:dyDescent="0.5">
      <c r="A10" s="38"/>
      <c r="B10" s="116"/>
      <c r="C10" s="38"/>
      <c r="D10" s="139" t="s">
        <v>61</v>
      </c>
      <c r="E10" s="38"/>
      <c r="F10" s="38"/>
      <c r="G10" s="139" t="s">
        <v>62</v>
      </c>
      <c r="H10" s="115"/>
      <c r="I10" s="38"/>
    </row>
    <row r="11" spans="1:9" ht="21" x14ac:dyDescent="0.5">
      <c r="A11" s="38"/>
      <c r="B11" s="117"/>
      <c r="C11" s="109"/>
      <c r="D11" s="140" t="s">
        <v>63</v>
      </c>
      <c r="E11" s="109"/>
      <c r="F11" s="109"/>
      <c r="G11" s="109"/>
      <c r="H11" s="118"/>
      <c r="I11" s="38"/>
    </row>
    <row r="12" spans="1:9" ht="21.75" x14ac:dyDescent="0.45">
      <c r="A12" s="38"/>
      <c r="B12" s="141" t="s">
        <v>93</v>
      </c>
      <c r="C12" s="142" t="s">
        <v>133</v>
      </c>
      <c r="D12" s="143"/>
      <c r="E12" s="143"/>
      <c r="F12" s="144" t="s">
        <v>95</v>
      </c>
      <c r="G12" s="145" t="s">
        <v>134</v>
      </c>
      <c r="H12" s="146"/>
      <c r="I12" s="38"/>
    </row>
    <row r="13" spans="1:9" ht="18.75" x14ac:dyDescent="0.45">
      <c r="A13" s="38"/>
      <c r="B13" s="38"/>
      <c r="C13" s="38"/>
      <c r="D13" s="38"/>
      <c r="E13" s="38"/>
      <c r="F13" s="38"/>
      <c r="G13" s="38"/>
      <c r="H13" s="38"/>
      <c r="I13" s="38"/>
    </row>
    <row r="14" spans="1:9" ht="18.75" x14ac:dyDescent="0.45">
      <c r="A14" s="38"/>
      <c r="B14" s="114" t="s">
        <v>97</v>
      </c>
      <c r="C14" s="38"/>
      <c r="D14" s="38"/>
      <c r="E14" s="38"/>
      <c r="F14" s="38"/>
      <c r="G14" s="38"/>
      <c r="H14" s="38"/>
      <c r="I14" s="38"/>
    </row>
    <row r="15" spans="1:9" ht="18.75" x14ac:dyDescent="0.45">
      <c r="A15" s="38"/>
      <c r="B15" s="38"/>
      <c r="C15" s="38"/>
      <c r="D15" s="38"/>
      <c r="E15" s="38"/>
      <c r="F15" s="38"/>
      <c r="G15" s="38"/>
      <c r="H15" s="38"/>
      <c r="I15" s="38"/>
    </row>
    <row r="16" spans="1:9" ht="18.75" x14ac:dyDescent="0.45">
      <c r="A16" s="38"/>
      <c r="B16" s="38"/>
      <c r="C16" s="38"/>
      <c r="D16" s="38"/>
      <c r="E16" s="38"/>
      <c r="F16" s="38"/>
      <c r="G16" s="38"/>
      <c r="H16" s="38"/>
      <c r="I16" s="38"/>
    </row>
    <row r="17" spans="1:9" ht="18.75" x14ac:dyDescent="0.45">
      <c r="A17" s="38"/>
      <c r="B17" s="38"/>
      <c r="C17" s="38"/>
      <c r="D17" s="38"/>
      <c r="E17" s="38"/>
      <c r="F17" s="38"/>
      <c r="G17" s="38"/>
      <c r="H17" s="38"/>
      <c r="I17" s="38"/>
    </row>
    <row r="18" spans="1:9" ht="18.75" x14ac:dyDescent="0.45">
      <c r="A18" s="38"/>
      <c r="B18" s="114" t="s">
        <v>135</v>
      </c>
      <c r="C18" s="38"/>
      <c r="D18" s="38"/>
      <c r="E18" s="38"/>
      <c r="F18" s="38"/>
      <c r="G18" s="38"/>
      <c r="H18" s="38"/>
      <c r="I18" s="38"/>
    </row>
    <row r="19" spans="1:9" ht="18.75" x14ac:dyDescent="0.45">
      <c r="A19" s="38"/>
      <c r="B19" s="114" t="s">
        <v>99</v>
      </c>
      <c r="C19" s="38"/>
      <c r="D19" s="38"/>
      <c r="E19" s="38"/>
      <c r="F19" s="38"/>
      <c r="G19" s="38"/>
      <c r="H19" s="38"/>
      <c r="I19" s="38"/>
    </row>
    <row r="20" spans="1:9" ht="18.75" x14ac:dyDescent="0.45">
      <c r="A20" s="38"/>
      <c r="B20" s="134" t="s">
        <v>136</v>
      </c>
      <c r="C20" s="147">
        <v>0.6</v>
      </c>
      <c r="D20" s="38"/>
      <c r="E20" s="38"/>
      <c r="F20" s="38"/>
      <c r="G20" s="38"/>
      <c r="H20" s="38"/>
      <c r="I20" s="38"/>
    </row>
    <row r="21" spans="1:9" ht="18.75" x14ac:dyDescent="0.45">
      <c r="A21" s="38"/>
      <c r="B21" s="134" t="s">
        <v>137</v>
      </c>
      <c r="C21" s="119" t="s">
        <v>138</v>
      </c>
      <c r="D21" s="38"/>
      <c r="E21" s="38"/>
      <c r="F21" s="38"/>
      <c r="G21" s="38"/>
      <c r="H21" s="38"/>
      <c r="I21" s="38"/>
    </row>
    <row r="22" spans="1:9" ht="18.75" x14ac:dyDescent="0.45">
      <c r="A22" s="38"/>
      <c r="B22" s="134"/>
      <c r="C22" s="119"/>
      <c r="D22" s="38"/>
      <c r="E22" s="38"/>
      <c r="F22" s="38"/>
      <c r="G22" s="38"/>
      <c r="H22" s="38"/>
      <c r="I22" s="38"/>
    </row>
    <row r="23" spans="1:9" ht="18.75" x14ac:dyDescent="0.45">
      <c r="A23" s="38"/>
      <c r="B23" s="38"/>
      <c r="C23" s="120"/>
      <c r="D23" s="356" t="s">
        <v>139</v>
      </c>
      <c r="E23" s="356"/>
      <c r="F23" s="356"/>
      <c r="G23" s="114"/>
      <c r="H23" s="38"/>
      <c r="I23" s="38"/>
    </row>
    <row r="24" spans="1:9" ht="18.75" x14ac:dyDescent="0.45">
      <c r="A24" s="38"/>
      <c r="B24" s="38"/>
      <c r="C24" s="38"/>
      <c r="D24" s="38"/>
      <c r="E24" s="38"/>
      <c r="F24" s="38"/>
      <c r="G24" s="38"/>
      <c r="H24" s="38"/>
      <c r="I24" s="38"/>
    </row>
    <row r="25" spans="1:9" ht="18.75" x14ac:dyDescent="0.45">
      <c r="A25" s="38"/>
      <c r="B25" s="38"/>
      <c r="C25" s="38"/>
      <c r="D25" s="339" t="s">
        <v>140</v>
      </c>
      <c r="E25" s="340"/>
      <c r="F25" s="341"/>
      <c r="G25" s="131"/>
      <c r="H25" s="38"/>
      <c r="I25" s="38"/>
    </row>
    <row r="26" spans="1:9" ht="18.75" x14ac:dyDescent="0.45">
      <c r="A26" s="38"/>
      <c r="B26" s="38"/>
      <c r="C26" s="38"/>
      <c r="D26" s="386"/>
      <c r="E26" s="385"/>
      <c r="F26" s="387"/>
      <c r="G26" s="38"/>
      <c r="H26" s="38"/>
      <c r="I26" s="38"/>
    </row>
    <row r="27" spans="1:9" ht="18.75" x14ac:dyDescent="0.45">
      <c r="A27" s="38"/>
      <c r="B27" s="38"/>
      <c r="C27" s="38"/>
      <c r="D27" s="388"/>
      <c r="E27" s="356"/>
      <c r="F27" s="389"/>
      <c r="G27" s="38"/>
      <c r="H27" s="38"/>
      <c r="I27" s="38"/>
    </row>
    <row r="28" spans="1:9" ht="18.75" x14ac:dyDescent="0.45">
      <c r="A28" s="38"/>
      <c r="B28" s="38"/>
      <c r="C28" s="38"/>
      <c r="D28" s="388"/>
      <c r="E28" s="356"/>
      <c r="F28" s="389"/>
      <c r="G28" s="38"/>
      <c r="H28" s="38"/>
      <c r="I28" s="38"/>
    </row>
    <row r="29" spans="1:9" ht="18.75" x14ac:dyDescent="0.45">
      <c r="A29" s="38"/>
      <c r="B29" s="38"/>
      <c r="C29" s="38"/>
      <c r="D29" s="388"/>
      <c r="E29" s="356"/>
      <c r="F29" s="389"/>
      <c r="G29" s="38"/>
      <c r="H29" s="38"/>
      <c r="I29" s="38"/>
    </row>
    <row r="30" spans="1:9" ht="18.75" x14ac:dyDescent="0.45">
      <c r="A30" s="38"/>
      <c r="B30" s="38"/>
      <c r="C30" s="38"/>
      <c r="D30" s="388"/>
      <c r="E30" s="356"/>
      <c r="F30" s="389"/>
      <c r="G30" s="38"/>
      <c r="H30" s="38"/>
      <c r="I30" s="38"/>
    </row>
    <row r="31" spans="1:9" ht="21" x14ac:dyDescent="0.5">
      <c r="A31" s="38"/>
      <c r="B31" s="38"/>
      <c r="C31" s="148"/>
      <c r="D31" s="388"/>
      <c r="E31" s="356"/>
      <c r="F31" s="389"/>
      <c r="G31" s="149"/>
      <c r="H31" s="38"/>
      <c r="I31" s="38"/>
    </row>
    <row r="32" spans="1:9" ht="18.75" x14ac:dyDescent="0.45">
      <c r="A32" s="38"/>
      <c r="B32" s="38"/>
      <c r="C32" s="38"/>
      <c r="D32" s="388"/>
      <c r="E32" s="356"/>
      <c r="F32" s="389"/>
      <c r="G32" s="38"/>
      <c r="H32" s="38"/>
      <c r="I32" s="38"/>
    </row>
    <row r="33" spans="1:9" ht="18.75" x14ac:dyDescent="0.45">
      <c r="A33" s="38"/>
      <c r="B33" s="38"/>
      <c r="C33" s="38"/>
      <c r="D33" s="390"/>
      <c r="E33" s="391"/>
      <c r="F33" s="392"/>
      <c r="G33" s="38"/>
      <c r="H33" s="38"/>
      <c r="I33" s="38"/>
    </row>
    <row r="34" spans="1:9" ht="18.75" x14ac:dyDescent="0.45">
      <c r="A34" s="38"/>
      <c r="B34" s="38"/>
      <c r="C34" s="38"/>
      <c r="D34" s="38"/>
      <c r="E34" s="38"/>
      <c r="F34" s="38"/>
      <c r="G34" s="38"/>
      <c r="H34" s="38"/>
      <c r="I34" s="38"/>
    </row>
    <row r="35" spans="1:9" ht="18.75" x14ac:dyDescent="0.45">
      <c r="A35" s="38"/>
      <c r="B35" s="114" t="s">
        <v>464</v>
      </c>
      <c r="C35" s="38"/>
      <c r="D35" s="38"/>
      <c r="E35" s="38"/>
      <c r="F35" s="38"/>
      <c r="G35" s="38"/>
      <c r="H35" s="38"/>
      <c r="I35" s="38"/>
    </row>
    <row r="36" spans="1:9" ht="18.75" x14ac:dyDescent="0.45">
      <c r="A36" s="38"/>
      <c r="B36" s="38"/>
      <c r="C36" s="38"/>
      <c r="D36" s="38"/>
      <c r="E36" s="38"/>
      <c r="F36" s="38"/>
      <c r="G36" s="38"/>
      <c r="H36" s="38"/>
      <c r="I36" s="38"/>
    </row>
    <row r="37" spans="1:9" ht="18.75" x14ac:dyDescent="0.45">
      <c r="A37" s="38"/>
      <c r="B37" s="38"/>
      <c r="C37" s="38"/>
      <c r="D37" s="38"/>
      <c r="E37" s="38"/>
      <c r="F37" s="38"/>
      <c r="G37" s="38"/>
      <c r="H37" s="38"/>
      <c r="I37" s="38"/>
    </row>
    <row r="38" spans="1:9" ht="18.75" x14ac:dyDescent="0.45">
      <c r="A38" s="38"/>
      <c r="B38" s="38"/>
      <c r="C38" s="38"/>
      <c r="D38" s="38"/>
      <c r="E38" s="38"/>
      <c r="F38" s="38"/>
      <c r="G38" s="38"/>
      <c r="H38" s="38"/>
      <c r="I38" s="38"/>
    </row>
    <row r="39" spans="1:9" ht="18.75" x14ac:dyDescent="0.45">
      <c r="A39" s="38"/>
      <c r="B39" s="38"/>
      <c r="C39" s="38"/>
      <c r="D39" s="38"/>
      <c r="E39" s="38"/>
      <c r="F39" s="38"/>
      <c r="G39" s="38"/>
      <c r="H39" s="38"/>
      <c r="I39" s="38"/>
    </row>
    <row r="40" spans="1:9" ht="18.75" x14ac:dyDescent="0.45">
      <c r="A40" s="38"/>
      <c r="B40" s="150" t="s">
        <v>457</v>
      </c>
      <c r="C40" s="38"/>
      <c r="D40" s="354"/>
      <c r="E40" s="354"/>
      <c r="F40" s="151"/>
      <c r="G40" s="355" t="s">
        <v>456</v>
      </c>
      <c r="H40" s="355"/>
      <c r="I40" s="38"/>
    </row>
    <row r="41" spans="1:9" ht="18.75" x14ac:dyDescent="0.45">
      <c r="A41" s="38"/>
      <c r="B41" s="90" t="s">
        <v>45</v>
      </c>
      <c r="C41" s="114"/>
      <c r="D41" s="356" t="s">
        <v>46</v>
      </c>
      <c r="E41" s="356"/>
      <c r="F41" s="114"/>
      <c r="G41" s="385" t="s">
        <v>47</v>
      </c>
      <c r="H41" s="385"/>
      <c r="I41" s="38"/>
    </row>
    <row r="42" spans="1:9" ht="18.75" x14ac:dyDescent="0.45">
      <c r="A42" s="38"/>
      <c r="B42" s="38"/>
      <c r="C42" s="131"/>
      <c r="D42" s="131"/>
      <c r="E42" s="38"/>
      <c r="F42" s="131"/>
      <c r="G42" s="131"/>
      <c r="H42" s="38"/>
      <c r="I42" s="38"/>
    </row>
    <row r="43" spans="1:9" ht="18.75" x14ac:dyDescent="0.45">
      <c r="A43" s="38"/>
      <c r="B43" s="38"/>
      <c r="C43" s="131"/>
      <c r="D43" s="131"/>
      <c r="E43" s="38"/>
      <c r="F43" s="131"/>
      <c r="G43" s="131"/>
      <c r="H43" s="38"/>
      <c r="I43" s="38"/>
    </row>
    <row r="44" spans="1:9" ht="18.75" x14ac:dyDescent="0.45">
      <c r="A44" s="38"/>
      <c r="B44" s="327" t="s">
        <v>49</v>
      </c>
      <c r="C44" s="327"/>
      <c r="D44" s="131"/>
      <c r="E44" s="38"/>
      <c r="F44" s="131"/>
      <c r="G44" s="328" t="s">
        <v>141</v>
      </c>
      <c r="H44" s="328"/>
      <c r="I44" s="38"/>
    </row>
    <row r="45" spans="1:9" ht="18" customHeight="1" x14ac:dyDescent="0.45">
      <c r="A45" s="38"/>
      <c r="B45" s="38"/>
      <c r="C45" s="38"/>
      <c r="D45" s="38"/>
      <c r="E45" s="38"/>
      <c r="F45" s="38"/>
      <c r="G45" s="38"/>
      <c r="H45" s="38"/>
      <c r="I45" s="38"/>
    </row>
  </sheetData>
  <mergeCells count="12">
    <mergeCell ref="D41:E41"/>
    <mergeCell ref="G41:H41"/>
    <mergeCell ref="D26:F33"/>
    <mergeCell ref="D25:F25"/>
    <mergeCell ref="B44:C44"/>
    <mergeCell ref="G44:H44"/>
    <mergeCell ref="D23:F23"/>
    <mergeCell ref="C2:F5"/>
    <mergeCell ref="G2:H5"/>
    <mergeCell ref="G7:H7"/>
    <mergeCell ref="G40:H40"/>
    <mergeCell ref="D40:E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1" orientation="portrait" r:id="rId1"/>
  <rowBreaks count="1" manualBreakCount="1">
    <brk id="51" max="1048575" man="1"/>
  </rowBreaks>
  <ignoredErrors>
    <ignoredError sqref="C7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84" r:id="rId4" name="Check Box 28">
              <controlPr defaultSize="0" autoFill="0" autoLine="0" autoPict="0">
                <anchor moveWithCells="1">
                  <from>
                    <xdr:col>2</xdr:col>
                    <xdr:colOff>847725</xdr:colOff>
                    <xdr:row>7</xdr:row>
                    <xdr:rowOff>9525</xdr:rowOff>
                  </from>
                  <to>
                    <xdr:col>3</xdr:col>
                    <xdr:colOff>66675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5" r:id="rId5" name="Check Box 29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0</xdr:rowOff>
                  </from>
                  <to>
                    <xdr:col>3</xdr:col>
                    <xdr:colOff>66675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6" r:id="rId6" name="Check Box 30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171450</xdr:rowOff>
                  </from>
                  <to>
                    <xdr:col>3</xdr:col>
                    <xdr:colOff>66675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7" r:id="rId7" name="Check Box 31">
              <controlPr defaultSize="0" autoFill="0" autoLine="0" autoPict="0">
                <anchor moveWithCells="1">
                  <from>
                    <xdr:col>2</xdr:col>
                    <xdr:colOff>847725</xdr:colOff>
                    <xdr:row>9</xdr:row>
                    <xdr:rowOff>171450</xdr:rowOff>
                  </from>
                  <to>
                    <xdr:col>3</xdr:col>
                    <xdr:colOff>66675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8" r:id="rId8" name="Check Box 32">
              <controlPr defaultSize="0" autoFill="0" autoLine="0" autoPict="0">
                <anchor moveWithCells="1">
                  <from>
                    <xdr:col>5</xdr:col>
                    <xdr:colOff>790575</xdr:colOff>
                    <xdr:row>7</xdr:row>
                    <xdr:rowOff>9525</xdr:rowOff>
                  </from>
                  <to>
                    <xdr:col>6</xdr:col>
                    <xdr:colOff>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9" r:id="rId9" name="Check Box 33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0</xdr:rowOff>
                  </from>
                  <to>
                    <xdr:col>6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0" r:id="rId10" name="Check Box 34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171450</xdr:rowOff>
                  </from>
                  <to>
                    <xdr:col>6</xdr:col>
                    <xdr:colOff>0</xdr:colOff>
                    <xdr:row>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AP50"/>
  <sheetViews>
    <sheetView showGridLines="0" tabSelected="1" view="pageBreakPreview" zoomScale="80" zoomScaleNormal="100" zoomScaleSheetLayoutView="80" workbookViewId="0">
      <selection activeCell="S15" sqref="S15:Y27"/>
    </sheetView>
  </sheetViews>
  <sheetFormatPr baseColWidth="10" defaultColWidth="11.42578125" defaultRowHeight="12.75" x14ac:dyDescent="0.2"/>
  <cols>
    <col min="1" max="1" width="3.28515625" customWidth="1"/>
    <col min="2" max="2" width="20.57031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.42578125" customWidth="1"/>
    <col min="14" max="14" width="7.85546875" customWidth="1"/>
    <col min="15" max="15" width="7.5703125" customWidth="1"/>
    <col min="16" max="16" width="3.28515625" customWidth="1"/>
  </cols>
  <sheetData>
    <row r="1" spans="1:25" ht="20.100000000000001" customHeight="1" x14ac:dyDescent="0.45">
      <c r="A1" s="106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106"/>
    </row>
    <row r="2" spans="1:25" ht="27.75" customHeight="1" x14ac:dyDescent="0.3">
      <c r="A2" s="106"/>
      <c r="B2" s="277"/>
      <c r="C2" s="283" t="s">
        <v>142</v>
      </c>
      <c r="D2" s="284"/>
      <c r="E2" s="284"/>
      <c r="F2" s="284"/>
      <c r="G2" s="284"/>
      <c r="H2" s="284"/>
      <c r="I2" s="284"/>
      <c r="J2" s="284"/>
      <c r="K2" s="284"/>
      <c r="L2" s="284"/>
      <c r="M2" s="262" t="s">
        <v>52</v>
      </c>
      <c r="N2" s="263"/>
      <c r="O2" s="264"/>
      <c r="P2" s="106"/>
    </row>
    <row r="3" spans="1:25" ht="27.75" customHeight="1" x14ac:dyDescent="0.3">
      <c r="A3" s="106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87"/>
      <c r="M3" s="265"/>
      <c r="N3" s="266"/>
      <c r="O3" s="267"/>
      <c r="P3" s="106"/>
    </row>
    <row r="4" spans="1:25" ht="18.75" x14ac:dyDescent="0.3">
      <c r="A4" s="106"/>
      <c r="B4" s="61" t="s">
        <v>53</v>
      </c>
      <c r="C4" s="279">
        <f>DATOS!AE7</f>
        <v>0</v>
      </c>
      <c r="D4" s="279"/>
      <c r="E4" s="279"/>
      <c r="F4" s="282"/>
      <c r="G4" s="282"/>
      <c r="H4" s="282"/>
      <c r="I4" s="282"/>
      <c r="J4" s="282"/>
      <c r="K4" s="282"/>
      <c r="L4" s="62" t="s">
        <v>48</v>
      </c>
      <c r="M4" s="63" t="s">
        <v>143</v>
      </c>
      <c r="N4" s="63"/>
      <c r="O4" s="64"/>
      <c r="P4" s="106"/>
    </row>
    <row r="5" spans="1:25" ht="18.75" x14ac:dyDescent="0.3">
      <c r="A5" s="106"/>
      <c r="B5" s="65" t="s">
        <v>7</v>
      </c>
      <c r="C5" s="66">
        <f>+DATOS!E9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9"/>
      <c r="P5" s="152"/>
      <c r="Q5" s="4"/>
      <c r="R5" s="4"/>
      <c r="S5" s="4"/>
    </row>
    <row r="6" spans="1:25" ht="18.75" x14ac:dyDescent="0.3">
      <c r="A6" s="106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280"/>
      <c r="K6" s="71"/>
      <c r="L6" s="72"/>
      <c r="M6" s="71"/>
      <c r="N6" s="71"/>
      <c r="O6" s="73"/>
      <c r="P6" s="106"/>
      <c r="R6" s="6"/>
      <c r="S6" s="8"/>
      <c r="T6" s="8"/>
      <c r="U6" s="8"/>
      <c r="V6" s="8"/>
      <c r="W6" s="8"/>
    </row>
    <row r="7" spans="1:25" ht="15" customHeight="1" x14ac:dyDescent="0.3">
      <c r="A7" s="106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/>
      <c r="M7" s="79" t="s">
        <v>58</v>
      </c>
      <c r="N7" s="79"/>
      <c r="O7" s="75"/>
      <c r="P7" s="106"/>
      <c r="R7" s="6"/>
      <c r="S7" s="8"/>
      <c r="T7" s="8"/>
      <c r="U7" s="8"/>
      <c r="V7" s="8"/>
      <c r="W7" s="8"/>
    </row>
    <row r="8" spans="1:25" ht="15" customHeight="1" x14ac:dyDescent="0.3">
      <c r="A8" s="106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/>
      <c r="M8" s="67" t="s">
        <v>60</v>
      </c>
      <c r="N8" s="67"/>
      <c r="O8" s="82"/>
      <c r="P8" s="106"/>
      <c r="R8" s="6"/>
      <c r="S8" s="8"/>
      <c r="T8" s="8"/>
      <c r="U8" s="8"/>
      <c r="V8" s="8"/>
      <c r="W8" s="8"/>
    </row>
    <row r="9" spans="1:25" ht="15" customHeight="1" x14ac:dyDescent="0.3">
      <c r="A9" s="106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/>
      <c r="M9" s="67" t="s">
        <v>62</v>
      </c>
      <c r="N9" s="67"/>
      <c r="O9" s="82"/>
      <c r="P9" s="106"/>
      <c r="R9" s="6"/>
      <c r="S9" s="8"/>
      <c r="T9" s="8"/>
      <c r="U9" s="8"/>
      <c r="V9" s="8"/>
      <c r="W9" s="8"/>
    </row>
    <row r="10" spans="1:25" ht="15" customHeight="1" x14ac:dyDescent="0.3">
      <c r="A10" s="106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7"/>
      <c r="N10" s="87"/>
      <c r="O10" s="88"/>
      <c r="P10" s="106"/>
      <c r="R10" s="6"/>
      <c r="S10" s="8"/>
      <c r="T10" s="8"/>
      <c r="U10" s="8"/>
      <c r="V10" s="8"/>
      <c r="W10" s="8"/>
    </row>
    <row r="11" spans="1:25" ht="15" customHeight="1" x14ac:dyDescent="0.3">
      <c r="A11" s="10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106"/>
      <c r="R11" s="6"/>
      <c r="S11" s="8"/>
      <c r="T11" s="8"/>
      <c r="U11" s="8"/>
      <c r="V11" s="8"/>
      <c r="W11" s="8"/>
    </row>
    <row r="12" spans="1:25" ht="15" customHeight="1" x14ac:dyDescent="0.3">
      <c r="A12" s="10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106"/>
      <c r="R12" s="6"/>
      <c r="S12" s="8"/>
      <c r="T12" s="8"/>
      <c r="U12" s="8"/>
      <c r="V12" s="8"/>
      <c r="W12" s="8"/>
    </row>
    <row r="13" spans="1:25" ht="15" customHeight="1" x14ac:dyDescent="0.3">
      <c r="A13" s="106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106"/>
    </row>
    <row r="14" spans="1:25" ht="15" customHeight="1" x14ac:dyDescent="0.3">
      <c r="A14" s="106"/>
      <c r="B14" s="259" t="s">
        <v>144</v>
      </c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1"/>
      <c r="P14" s="106"/>
      <c r="S14" s="311"/>
      <c r="T14" s="311"/>
      <c r="U14" s="311"/>
      <c r="V14" s="311"/>
      <c r="W14" s="311"/>
      <c r="X14" s="311"/>
      <c r="Y14" s="311"/>
    </row>
    <row r="15" spans="1:25" ht="13.5" customHeight="1" x14ac:dyDescent="0.3">
      <c r="A15" s="106"/>
      <c r="B15" s="393"/>
      <c r="C15" s="393"/>
      <c r="D15" s="393"/>
      <c r="E15" s="393"/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106"/>
      <c r="S15" s="312"/>
      <c r="T15" s="312"/>
      <c r="U15" s="312"/>
      <c r="V15" s="312"/>
      <c r="W15" s="312"/>
      <c r="X15" s="312"/>
      <c r="Y15" s="312"/>
    </row>
    <row r="16" spans="1:25" ht="13.5" customHeight="1" x14ac:dyDescent="0.3">
      <c r="A16" s="106"/>
      <c r="B16" s="393"/>
      <c r="C16" s="393"/>
      <c r="D16" s="393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106"/>
      <c r="S16" s="312"/>
      <c r="T16" s="312"/>
      <c r="U16" s="312"/>
      <c r="V16" s="312"/>
      <c r="W16" s="312"/>
      <c r="X16" s="312"/>
      <c r="Y16" s="312"/>
    </row>
    <row r="17" spans="1:25" ht="13.5" customHeight="1" x14ac:dyDescent="0.3">
      <c r="A17" s="106"/>
      <c r="B17" s="393"/>
      <c r="C17" s="393"/>
      <c r="D17" s="393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106"/>
      <c r="S17" s="312"/>
      <c r="T17" s="312"/>
      <c r="U17" s="312"/>
      <c r="V17" s="312"/>
      <c r="W17" s="312"/>
      <c r="X17" s="312"/>
      <c r="Y17" s="312"/>
    </row>
    <row r="18" spans="1:25" ht="13.5" customHeight="1" x14ac:dyDescent="0.3">
      <c r="A18" s="106"/>
      <c r="B18" s="393"/>
      <c r="C18" s="393"/>
      <c r="D18" s="393"/>
      <c r="E18" s="393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106"/>
      <c r="S18" s="312"/>
      <c r="T18" s="312"/>
      <c r="U18" s="312"/>
      <c r="V18" s="312"/>
      <c r="W18" s="312"/>
      <c r="X18" s="312"/>
      <c r="Y18" s="312"/>
    </row>
    <row r="19" spans="1:25" ht="13.5" customHeight="1" x14ac:dyDescent="0.3">
      <c r="A19" s="106"/>
      <c r="B19" s="393"/>
      <c r="C19" s="393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106"/>
      <c r="S19" s="312"/>
      <c r="T19" s="312"/>
      <c r="U19" s="312"/>
      <c r="V19" s="312"/>
      <c r="W19" s="312"/>
      <c r="X19" s="312"/>
      <c r="Y19" s="312"/>
    </row>
    <row r="20" spans="1:25" ht="13.5" customHeight="1" x14ac:dyDescent="0.3">
      <c r="A20" s="106"/>
      <c r="B20" s="393"/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106"/>
      <c r="S20" s="312"/>
      <c r="T20" s="312"/>
      <c r="U20" s="312"/>
      <c r="V20" s="312"/>
      <c r="W20" s="312"/>
      <c r="X20" s="312"/>
      <c r="Y20" s="312"/>
    </row>
    <row r="21" spans="1:25" ht="13.5" customHeight="1" x14ac:dyDescent="0.3">
      <c r="A21" s="106"/>
      <c r="B21" s="393"/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106"/>
      <c r="S21" s="312"/>
      <c r="T21" s="312"/>
      <c r="U21" s="312"/>
      <c r="V21" s="312"/>
      <c r="W21" s="312"/>
      <c r="X21" s="312"/>
      <c r="Y21" s="312"/>
    </row>
    <row r="22" spans="1:25" ht="13.5" customHeight="1" x14ac:dyDescent="0.3">
      <c r="A22" s="106"/>
      <c r="B22" s="393"/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106"/>
      <c r="S22" s="312"/>
      <c r="T22" s="312"/>
      <c r="U22" s="312"/>
      <c r="V22" s="312"/>
      <c r="W22" s="312"/>
      <c r="X22" s="312"/>
      <c r="Y22" s="312"/>
    </row>
    <row r="23" spans="1:25" s="6" customFormat="1" ht="15" customHeight="1" x14ac:dyDescent="0.3">
      <c r="A23" s="106"/>
      <c r="B23" s="393" t="s">
        <v>20</v>
      </c>
      <c r="C23" s="393"/>
      <c r="D23" s="393" t="s">
        <v>20</v>
      </c>
      <c r="E23" s="393"/>
      <c r="F23" s="393"/>
      <c r="G23" s="393"/>
      <c r="H23" s="393"/>
      <c r="I23" s="393" t="s">
        <v>20</v>
      </c>
      <c r="J23" s="393"/>
      <c r="K23" s="393"/>
      <c r="L23" s="393"/>
      <c r="M23" s="393" t="s">
        <v>20</v>
      </c>
      <c r="N23" s="393"/>
      <c r="O23" s="393"/>
      <c r="P23" s="106"/>
      <c r="S23" s="312"/>
      <c r="T23" s="312"/>
      <c r="U23" s="312"/>
      <c r="V23" s="312"/>
      <c r="W23" s="312"/>
      <c r="X23" s="312"/>
      <c r="Y23" s="312"/>
    </row>
    <row r="24" spans="1:25" s="6" customFormat="1" ht="15" customHeight="1" x14ac:dyDescent="0.3">
      <c r="A24" s="106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6"/>
      <c r="S24" s="312"/>
      <c r="T24" s="312"/>
      <c r="U24" s="312"/>
      <c r="V24" s="312"/>
      <c r="W24" s="312"/>
      <c r="X24" s="312"/>
      <c r="Y24" s="312"/>
    </row>
    <row r="25" spans="1:25" s="6" customFormat="1" ht="15" customHeight="1" x14ac:dyDescent="0.3">
      <c r="A25" s="106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6"/>
      <c r="S25" s="312"/>
      <c r="T25" s="312"/>
      <c r="U25" s="312"/>
      <c r="V25" s="312"/>
      <c r="W25" s="312"/>
      <c r="X25" s="312"/>
      <c r="Y25" s="312"/>
    </row>
    <row r="26" spans="1:25" ht="15" customHeight="1" x14ac:dyDescent="0.3">
      <c r="A26" s="106"/>
      <c r="B26" s="102"/>
      <c r="C26" s="343" t="s">
        <v>145</v>
      </c>
      <c r="D26" s="344"/>
      <c r="E26" s="344"/>
      <c r="F26" s="344"/>
      <c r="G26" s="344"/>
      <c r="H26" s="344"/>
      <c r="I26" s="344"/>
      <c r="J26" s="344"/>
      <c r="K26" s="344"/>
      <c r="L26" s="344"/>
      <c r="M26" s="345"/>
      <c r="N26" s="80"/>
      <c r="O26" s="81"/>
      <c r="P26" s="106"/>
      <c r="S26" s="312"/>
      <c r="T26" s="312"/>
      <c r="U26" s="312"/>
      <c r="V26" s="312"/>
      <c r="W26" s="312"/>
      <c r="X26" s="312"/>
      <c r="Y26" s="312"/>
    </row>
    <row r="27" spans="1:25" ht="111.75" customHeight="1" x14ac:dyDescent="0.45">
      <c r="A27" s="106"/>
      <c r="B27" s="38"/>
      <c r="C27" s="321"/>
      <c r="D27" s="322"/>
      <c r="E27" s="322"/>
      <c r="F27" s="323"/>
      <c r="G27" s="321"/>
      <c r="H27" s="322"/>
      <c r="I27" s="322"/>
      <c r="J27" s="322"/>
      <c r="K27" s="323"/>
      <c r="L27" s="321"/>
      <c r="M27" s="322"/>
      <c r="N27" s="153"/>
      <c r="O27" s="102"/>
      <c r="P27" s="106"/>
      <c r="S27" s="312"/>
      <c r="T27" s="312"/>
      <c r="U27" s="312"/>
      <c r="V27" s="312"/>
      <c r="W27" s="312"/>
      <c r="X27" s="312"/>
      <c r="Y27" s="312"/>
    </row>
    <row r="28" spans="1:25" ht="15" customHeight="1" x14ac:dyDescent="0.3">
      <c r="A28" s="106"/>
      <c r="B28" s="101"/>
      <c r="C28" s="324" t="s">
        <v>20</v>
      </c>
      <c r="D28" s="325"/>
      <c r="E28" s="325"/>
      <c r="F28" s="326"/>
      <c r="G28" s="324" t="s">
        <v>20</v>
      </c>
      <c r="H28" s="325"/>
      <c r="I28" s="325"/>
      <c r="J28" s="325"/>
      <c r="K28" s="326"/>
      <c r="L28" s="324" t="s">
        <v>20</v>
      </c>
      <c r="M28" s="325"/>
      <c r="N28" s="154"/>
      <c r="O28" s="101"/>
      <c r="P28" s="106"/>
    </row>
    <row r="29" spans="1:25" ht="15" customHeight="1" x14ac:dyDescent="0.3">
      <c r="A29" s="106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6"/>
    </row>
    <row r="30" spans="1:25" ht="15" customHeight="1" x14ac:dyDescent="0.3">
      <c r="A30" s="106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6"/>
    </row>
    <row r="31" spans="1:25" ht="15" customHeight="1" x14ac:dyDescent="0.3">
      <c r="A31" s="106"/>
      <c r="B31" s="394" t="s">
        <v>28</v>
      </c>
      <c r="C31" s="394"/>
      <c r="D31" s="396" t="s">
        <v>448</v>
      </c>
      <c r="E31" s="396"/>
      <c r="F31" s="396"/>
      <c r="G31" s="396"/>
      <c r="H31" s="396"/>
      <c r="I31" s="396" t="s">
        <v>449</v>
      </c>
      <c r="J31" s="396"/>
      <c r="K31" s="396"/>
      <c r="L31" s="396"/>
      <c r="M31" s="396" t="s">
        <v>450</v>
      </c>
      <c r="N31" s="396"/>
      <c r="O31" s="396"/>
      <c r="P31" s="106"/>
      <c r="S31" s="311"/>
      <c r="T31" s="311"/>
      <c r="U31" s="311"/>
      <c r="V31" s="311"/>
      <c r="W31" s="311"/>
      <c r="X31" s="311"/>
      <c r="Y31" s="311"/>
    </row>
    <row r="32" spans="1:25" ht="13.5" customHeight="1" x14ac:dyDescent="0.3">
      <c r="A32" s="106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106"/>
    </row>
    <row r="33" spans="1:42" ht="13.5" customHeight="1" x14ac:dyDescent="0.3">
      <c r="A33" s="106"/>
      <c r="B33" s="393"/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106"/>
    </row>
    <row r="34" spans="1:42" ht="13.5" customHeight="1" x14ac:dyDescent="0.3">
      <c r="A34" s="106"/>
      <c r="B34" s="393"/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106"/>
    </row>
    <row r="35" spans="1:42" ht="13.5" customHeight="1" x14ac:dyDescent="0.3">
      <c r="A35" s="106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106"/>
    </row>
    <row r="36" spans="1:42" ht="13.5" customHeight="1" x14ac:dyDescent="0.3">
      <c r="A36" s="106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106"/>
    </row>
    <row r="37" spans="1:42" ht="13.5" customHeight="1" x14ac:dyDescent="0.3">
      <c r="A37" s="106"/>
      <c r="B37" s="393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106"/>
    </row>
    <row r="38" spans="1:42" ht="13.5" customHeight="1" x14ac:dyDescent="0.3">
      <c r="A38" s="106"/>
      <c r="B38" s="393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106"/>
    </row>
    <row r="39" spans="1:42" ht="13.5" customHeight="1" x14ac:dyDescent="0.3">
      <c r="A39" s="106"/>
      <c r="B39" s="393"/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106"/>
    </row>
    <row r="40" spans="1:42" s="6" customFormat="1" ht="15" customHeight="1" x14ac:dyDescent="0.3">
      <c r="A40" s="106"/>
      <c r="B40" s="393" t="s">
        <v>20</v>
      </c>
      <c r="C40" s="393"/>
      <c r="D40" s="393" t="s">
        <v>20</v>
      </c>
      <c r="E40" s="393"/>
      <c r="F40" s="393"/>
      <c r="G40" s="393"/>
      <c r="H40" s="393"/>
      <c r="I40" s="393" t="s">
        <v>20</v>
      </c>
      <c r="J40" s="393"/>
      <c r="K40" s="393"/>
      <c r="L40" s="393"/>
      <c r="M40" s="393" t="s">
        <v>20</v>
      </c>
      <c r="N40" s="393"/>
      <c r="O40" s="393"/>
      <c r="P40" s="106"/>
      <c r="S40"/>
      <c r="T40"/>
      <c r="U40"/>
      <c r="V40"/>
      <c r="W40"/>
      <c r="X40"/>
      <c r="Y40"/>
    </row>
    <row r="41" spans="1:42" ht="15" customHeight="1" x14ac:dyDescent="0.3">
      <c r="A41" s="106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6"/>
    </row>
    <row r="42" spans="1:42" ht="15" customHeight="1" x14ac:dyDescent="0.45">
      <c r="A42" s="106"/>
      <c r="B42" s="320" t="s">
        <v>457</v>
      </c>
      <c r="C42" s="320"/>
      <c r="D42" s="101"/>
      <c r="E42" s="101"/>
      <c r="F42" s="354"/>
      <c r="G42" s="354"/>
      <c r="H42" s="354"/>
      <c r="I42" s="354"/>
      <c r="J42" s="354"/>
      <c r="K42" s="354"/>
      <c r="L42" s="101"/>
      <c r="M42" s="320" t="s">
        <v>456</v>
      </c>
      <c r="N42" s="320"/>
      <c r="O42" s="320"/>
      <c r="P42" s="106"/>
    </row>
    <row r="43" spans="1:42" ht="15" customHeight="1" x14ac:dyDescent="0.3">
      <c r="A43" s="106"/>
      <c r="B43" s="395" t="s">
        <v>45</v>
      </c>
      <c r="C43" s="395"/>
      <c r="D43" s="101"/>
      <c r="E43" s="102"/>
      <c r="F43" s="395" t="s">
        <v>46</v>
      </c>
      <c r="G43" s="395"/>
      <c r="H43" s="395"/>
      <c r="I43" s="395"/>
      <c r="J43" s="395"/>
      <c r="K43" s="395"/>
      <c r="L43" s="102"/>
      <c r="M43" s="395" t="s">
        <v>47</v>
      </c>
      <c r="N43" s="395"/>
      <c r="O43" s="395"/>
      <c r="P43" s="106"/>
    </row>
    <row r="44" spans="1:42" ht="15" customHeight="1" x14ac:dyDescent="0.3">
      <c r="A44" s="106"/>
      <c r="B44" s="100"/>
      <c r="C44" s="155"/>
      <c r="D44" s="155"/>
      <c r="E44" s="155"/>
      <c r="F44" s="155"/>
      <c r="G44" s="100"/>
      <c r="H44" s="100"/>
      <c r="I44" s="155"/>
      <c r="J44" s="155"/>
      <c r="K44" s="155"/>
      <c r="L44" s="155"/>
      <c r="M44" s="100"/>
      <c r="N44" s="100"/>
      <c r="O44" s="100"/>
      <c r="P44" s="106"/>
    </row>
    <row r="45" spans="1:42" ht="18.75" x14ac:dyDescent="0.3">
      <c r="A45" s="106"/>
      <c r="B45" s="102"/>
      <c r="C45" s="81"/>
      <c r="D45" s="81"/>
      <c r="E45" s="81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106"/>
    </row>
    <row r="46" spans="1:42" ht="15.75" customHeight="1" x14ac:dyDescent="0.3">
      <c r="A46" s="106"/>
      <c r="B46" s="327" t="s">
        <v>49</v>
      </c>
      <c r="C46" s="327"/>
      <c r="D46" s="67"/>
      <c r="E46" s="67"/>
      <c r="F46" s="272"/>
      <c r="G46" s="272"/>
      <c r="H46" s="272"/>
      <c r="I46" s="272"/>
      <c r="J46" s="272"/>
      <c r="K46" s="330"/>
      <c r="L46" s="330"/>
      <c r="M46" s="67"/>
      <c r="N46" s="328" t="s">
        <v>146</v>
      </c>
      <c r="O46" s="328"/>
      <c r="P46" s="106"/>
    </row>
    <row r="47" spans="1:42" ht="20.100000000000001" customHeight="1" x14ac:dyDescent="0.45">
      <c r="A47" s="106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106"/>
    </row>
    <row r="48" spans="1:42" x14ac:dyDescent="0.2"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P48" s="12"/>
    </row>
    <row r="49" spans="19:32" x14ac:dyDescent="0.2">
      <c r="S49" s="331"/>
      <c r="T49" s="331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2"/>
    </row>
    <row r="50" spans="19:32" x14ac:dyDescent="0.2"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3"/>
      <c r="AE50" s="333"/>
      <c r="AF50" s="333"/>
    </row>
  </sheetData>
  <mergeCells count="57">
    <mergeCell ref="B32:C39"/>
    <mergeCell ref="B40:C40"/>
    <mergeCell ref="B31:C31"/>
    <mergeCell ref="U50:Y50"/>
    <mergeCell ref="Z50:AC50"/>
    <mergeCell ref="B43:C43"/>
    <mergeCell ref="M42:O42"/>
    <mergeCell ref="F42:K42"/>
    <mergeCell ref="M43:O43"/>
    <mergeCell ref="F43:K43"/>
    <mergeCell ref="M40:O40"/>
    <mergeCell ref="D31:H31"/>
    <mergeCell ref="I31:L31"/>
    <mergeCell ref="M31:O31"/>
    <mergeCell ref="U49:Y49"/>
    <mergeCell ref="Z49:AC49"/>
    <mergeCell ref="AD50:AF50"/>
    <mergeCell ref="B15:C22"/>
    <mergeCell ref="B46:C46"/>
    <mergeCell ref="F46:J46"/>
    <mergeCell ref="K46:L46"/>
    <mergeCell ref="N46:O46"/>
    <mergeCell ref="S48:T49"/>
    <mergeCell ref="U48:AF48"/>
    <mergeCell ref="I23:L23"/>
    <mergeCell ref="M23:O23"/>
    <mergeCell ref="S50:T50"/>
    <mergeCell ref="D15:H22"/>
    <mergeCell ref="M15:O22"/>
    <mergeCell ref="I15:L22"/>
    <mergeCell ref="AD49:AF49"/>
    <mergeCell ref="B42:C42"/>
    <mergeCell ref="G28:K28"/>
    <mergeCell ref="L28:M28"/>
    <mergeCell ref="C27:F27"/>
    <mergeCell ref="C28:F28"/>
    <mergeCell ref="C26:M26"/>
    <mergeCell ref="G27:K27"/>
    <mergeCell ref="L27:M27"/>
    <mergeCell ref="S31:Y31"/>
    <mergeCell ref="D32:H39"/>
    <mergeCell ref="I32:L39"/>
    <mergeCell ref="M32:O39"/>
    <mergeCell ref="D40:H40"/>
    <mergeCell ref="I40:L40"/>
    <mergeCell ref="S14:Y14"/>
    <mergeCell ref="S15:Y27"/>
    <mergeCell ref="B7:C7"/>
    <mergeCell ref="B2:B3"/>
    <mergeCell ref="C2:L3"/>
    <mergeCell ref="M2:O3"/>
    <mergeCell ref="C4:E4"/>
    <mergeCell ref="F4:K4"/>
    <mergeCell ref="C6:J6"/>
    <mergeCell ref="B14:O14"/>
    <mergeCell ref="B23:C23"/>
    <mergeCell ref="D23:H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portrait" r:id="rId1"/>
  <colBreaks count="1" manualBreakCount="1">
    <brk id="16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5" r:id="rId11" name="Check Box 23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6" r:id="rId12" name="Check Box 24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7" r:id="rId13" name="Check Box 25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0</xdr:rowOff>
                  </from>
                  <to>
                    <xdr:col>3</xdr:col>
                    <xdr:colOff>400050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8" r:id="rId14" name="Check Box 26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0</xdr:rowOff>
                  </from>
                  <to>
                    <xdr:col>3</xdr:col>
                    <xdr:colOff>400050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9" r:id="rId15" name="Check Box 27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0" r:id="rId16" name="Check Box 28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1" r:id="rId17" name="Check Box 29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0</xdr:rowOff>
                  </from>
                  <to>
                    <xdr:col>12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A1:AP56"/>
  <sheetViews>
    <sheetView showGridLines="0" view="pageBreakPreview" zoomScale="145" zoomScaleNormal="154" zoomScaleSheetLayoutView="145" workbookViewId="0">
      <selection activeCell="B2" sqref="B2:B3"/>
    </sheetView>
  </sheetViews>
  <sheetFormatPr baseColWidth="10" defaultColWidth="11.42578125" defaultRowHeight="12.75" x14ac:dyDescent="0.2"/>
  <cols>
    <col min="1" max="1" width="3.28515625" customWidth="1"/>
    <col min="2" max="2" width="19.285156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" customWidth="1"/>
    <col min="14" max="14" width="8.85546875" customWidth="1"/>
    <col min="15" max="15" width="7.5703125" customWidth="1"/>
    <col min="16" max="16" width="3.28515625" customWidth="1"/>
  </cols>
  <sheetData>
    <row r="1" spans="1:25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25" ht="27.75" customHeight="1" x14ac:dyDescent="0.45">
      <c r="A2" s="38"/>
      <c r="B2" s="277"/>
      <c r="C2" s="283" t="s">
        <v>147</v>
      </c>
      <c r="D2" s="284"/>
      <c r="E2" s="284"/>
      <c r="F2" s="284"/>
      <c r="G2" s="284"/>
      <c r="H2" s="284"/>
      <c r="I2" s="284"/>
      <c r="J2" s="284"/>
      <c r="K2" s="284"/>
      <c r="L2" s="284"/>
      <c r="M2" s="262" t="s">
        <v>52</v>
      </c>
      <c r="N2" s="263"/>
      <c r="O2" s="264"/>
      <c r="P2" s="38"/>
    </row>
    <row r="3" spans="1:25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87"/>
      <c r="M3" s="265"/>
      <c r="N3" s="266"/>
      <c r="O3" s="267"/>
      <c r="P3" s="38"/>
    </row>
    <row r="4" spans="1:25" ht="18.75" x14ac:dyDescent="0.45">
      <c r="A4" s="38"/>
      <c r="B4" s="61" t="s">
        <v>53</v>
      </c>
      <c r="C4" s="279"/>
      <c r="D4" s="279"/>
      <c r="E4" s="279"/>
      <c r="F4" s="282"/>
      <c r="G4" s="282"/>
      <c r="H4" s="282"/>
      <c r="I4" s="282"/>
      <c r="J4" s="282"/>
      <c r="K4" s="282"/>
      <c r="L4" s="62" t="s">
        <v>48</v>
      </c>
      <c r="M4" s="63"/>
      <c r="N4" s="63"/>
      <c r="O4" s="64"/>
      <c r="P4" s="38"/>
    </row>
    <row r="5" spans="1:25" ht="18.75" x14ac:dyDescent="0.45">
      <c r="A5" s="38"/>
      <c r="B5" s="65" t="s">
        <v>7</v>
      </c>
      <c r="C5" s="66">
        <f>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9"/>
      <c r="P5" s="36"/>
      <c r="Q5" s="14"/>
      <c r="R5" s="14"/>
      <c r="S5" s="14"/>
    </row>
    <row r="6" spans="1:25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280"/>
      <c r="K6" s="71"/>
      <c r="L6" s="72"/>
      <c r="M6" s="71"/>
      <c r="N6" s="71"/>
      <c r="O6" s="73"/>
      <c r="P6" s="38"/>
      <c r="R6" s="6"/>
      <c r="S6" s="8"/>
      <c r="T6" s="8"/>
      <c r="U6" s="8"/>
      <c r="V6" s="8"/>
      <c r="W6" s="8"/>
    </row>
    <row r="7" spans="1:25" ht="15" customHeight="1" x14ac:dyDescent="0.45">
      <c r="A7" s="38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/>
      <c r="M7" s="79" t="s">
        <v>58</v>
      </c>
      <c r="N7" s="79"/>
      <c r="O7" s="75"/>
      <c r="P7" s="38"/>
      <c r="R7" s="6"/>
      <c r="S7" s="8"/>
      <c r="T7" s="8"/>
      <c r="U7" s="8"/>
      <c r="V7" s="8"/>
      <c r="W7" s="8"/>
    </row>
    <row r="8" spans="1:25" ht="15" customHeight="1" x14ac:dyDescent="0.45">
      <c r="A8" s="38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/>
      <c r="M8" s="67" t="s">
        <v>60</v>
      </c>
      <c r="N8" s="67"/>
      <c r="O8" s="82"/>
      <c r="P8" s="38"/>
      <c r="R8" s="6"/>
      <c r="S8" s="8"/>
      <c r="T8" s="8"/>
      <c r="U8" s="8"/>
      <c r="V8" s="8"/>
      <c r="W8" s="8"/>
    </row>
    <row r="9" spans="1:25" ht="15" customHeight="1" x14ac:dyDescent="0.45">
      <c r="A9" s="38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/>
      <c r="M9" s="67" t="s">
        <v>62</v>
      </c>
      <c r="N9" s="67"/>
      <c r="O9" s="82"/>
      <c r="P9" s="38"/>
      <c r="R9" s="6"/>
      <c r="S9" s="8"/>
      <c r="T9" s="8"/>
      <c r="U9" s="8"/>
      <c r="V9" s="8"/>
      <c r="W9" s="8"/>
    </row>
    <row r="10" spans="1:25" ht="15" customHeight="1" x14ac:dyDescent="0.45">
      <c r="A10" s="38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7"/>
      <c r="N10" s="87"/>
      <c r="O10" s="88"/>
      <c r="P10" s="38"/>
      <c r="R10" s="6"/>
      <c r="S10" s="8"/>
      <c r="T10" s="8"/>
      <c r="U10" s="8"/>
      <c r="V10" s="8"/>
      <c r="W10" s="8"/>
    </row>
    <row r="11" spans="1:25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38"/>
      <c r="R11" s="6"/>
      <c r="S11" s="8"/>
      <c r="T11" s="8"/>
      <c r="U11" s="8"/>
      <c r="V11" s="8"/>
      <c r="W11" s="8"/>
    </row>
    <row r="12" spans="1:25" ht="14.25" customHeight="1" x14ac:dyDescent="0.45">
      <c r="A12" s="38"/>
      <c r="B12" s="67"/>
      <c r="C12" s="259" t="s">
        <v>31</v>
      </c>
      <c r="D12" s="260"/>
      <c r="E12" s="260"/>
      <c r="F12" s="260"/>
      <c r="G12" s="260"/>
      <c r="H12" s="260"/>
      <c r="I12" s="260"/>
      <c r="J12" s="260"/>
      <c r="K12" s="260"/>
      <c r="L12" s="260"/>
      <c r="M12" s="261"/>
      <c r="N12" s="67"/>
      <c r="O12" s="67"/>
      <c r="P12" s="38"/>
      <c r="R12" s="6"/>
      <c r="S12" s="8"/>
      <c r="T12" s="8"/>
      <c r="U12" s="8"/>
      <c r="V12" s="8"/>
      <c r="W12" s="8"/>
    </row>
    <row r="13" spans="1:25" ht="15" customHeight="1" x14ac:dyDescent="0.45">
      <c r="A13" s="38"/>
      <c r="B13" s="114"/>
      <c r="C13" s="386"/>
      <c r="D13" s="385"/>
      <c r="E13" s="385"/>
      <c r="F13" s="385"/>
      <c r="G13" s="385"/>
      <c r="H13" s="385"/>
      <c r="I13" s="385"/>
      <c r="J13" s="385"/>
      <c r="K13" s="385"/>
      <c r="L13" s="385"/>
      <c r="M13" s="387"/>
      <c r="N13" s="114"/>
      <c r="O13" s="114"/>
      <c r="P13" s="38"/>
    </row>
    <row r="14" spans="1:25" ht="15" customHeight="1" x14ac:dyDescent="0.45">
      <c r="A14" s="38"/>
      <c r="B14" s="81"/>
      <c r="C14" s="388"/>
      <c r="D14" s="356"/>
      <c r="E14" s="356"/>
      <c r="F14" s="356"/>
      <c r="G14" s="356"/>
      <c r="H14" s="356"/>
      <c r="I14" s="356"/>
      <c r="J14" s="356"/>
      <c r="K14" s="356"/>
      <c r="L14" s="356"/>
      <c r="M14" s="389"/>
      <c r="N14" s="81"/>
      <c r="O14" s="81"/>
      <c r="P14" s="38"/>
      <c r="S14" s="15" t="s">
        <v>148</v>
      </c>
      <c r="T14" s="15"/>
      <c r="U14" s="15"/>
      <c r="V14" s="15"/>
      <c r="W14" s="15"/>
      <c r="X14" s="15"/>
      <c r="Y14" s="15"/>
    </row>
    <row r="15" spans="1:25" ht="13.5" customHeight="1" x14ac:dyDescent="0.45">
      <c r="A15" s="38"/>
      <c r="B15" s="81"/>
      <c r="C15" s="388"/>
      <c r="D15" s="356"/>
      <c r="E15" s="356"/>
      <c r="F15" s="356"/>
      <c r="G15" s="356"/>
      <c r="H15" s="356"/>
      <c r="I15" s="356"/>
      <c r="J15" s="356"/>
      <c r="K15" s="356"/>
      <c r="L15" s="356"/>
      <c r="M15" s="389"/>
      <c r="N15" s="81"/>
      <c r="O15" s="81"/>
      <c r="P15" s="38"/>
      <c r="S15" s="16"/>
      <c r="T15" s="16"/>
      <c r="U15" s="16"/>
      <c r="V15" s="16"/>
      <c r="W15" s="16"/>
      <c r="X15" s="16"/>
      <c r="Y15" s="16"/>
    </row>
    <row r="16" spans="1:25" ht="13.5" customHeight="1" x14ac:dyDescent="0.45">
      <c r="A16" s="38"/>
      <c r="B16" s="81"/>
      <c r="C16" s="388"/>
      <c r="D16" s="356"/>
      <c r="E16" s="356"/>
      <c r="F16" s="356"/>
      <c r="G16" s="356"/>
      <c r="H16" s="356"/>
      <c r="I16" s="356"/>
      <c r="J16" s="356"/>
      <c r="K16" s="356"/>
      <c r="L16" s="356"/>
      <c r="M16" s="389"/>
      <c r="N16" s="81"/>
      <c r="O16" s="81"/>
      <c r="P16" s="38"/>
      <c r="S16" s="16"/>
      <c r="T16" s="16"/>
      <c r="U16" s="16"/>
      <c r="V16" s="16"/>
      <c r="W16" s="16"/>
      <c r="X16" s="16"/>
      <c r="Y16" s="16"/>
    </row>
    <row r="17" spans="1:25" ht="13.5" customHeight="1" x14ac:dyDescent="0.45">
      <c r="A17" s="38"/>
      <c r="B17" s="81"/>
      <c r="C17" s="388"/>
      <c r="D17" s="356"/>
      <c r="E17" s="356"/>
      <c r="F17" s="356"/>
      <c r="G17" s="356"/>
      <c r="H17" s="356"/>
      <c r="I17" s="356"/>
      <c r="J17" s="356"/>
      <c r="K17" s="356"/>
      <c r="L17" s="356"/>
      <c r="M17" s="389"/>
      <c r="N17" s="81"/>
      <c r="O17" s="81"/>
      <c r="P17" s="38"/>
      <c r="S17" s="16"/>
      <c r="T17" s="16"/>
      <c r="U17" s="16"/>
      <c r="V17" s="16"/>
      <c r="W17" s="16"/>
      <c r="X17" s="16"/>
      <c r="Y17" s="16"/>
    </row>
    <row r="18" spans="1:25" ht="13.5" customHeight="1" x14ac:dyDescent="0.45">
      <c r="A18" s="38"/>
      <c r="B18" s="81"/>
      <c r="C18" s="388"/>
      <c r="D18" s="356"/>
      <c r="E18" s="356"/>
      <c r="F18" s="356"/>
      <c r="G18" s="356"/>
      <c r="H18" s="356"/>
      <c r="I18" s="356"/>
      <c r="J18" s="356"/>
      <c r="K18" s="356"/>
      <c r="L18" s="356"/>
      <c r="M18" s="389"/>
      <c r="N18" s="81"/>
      <c r="O18" s="81"/>
      <c r="P18" s="38"/>
      <c r="S18" s="16"/>
      <c r="T18" s="16"/>
      <c r="U18" s="16"/>
      <c r="V18" s="16"/>
      <c r="W18" s="16"/>
      <c r="X18" s="16"/>
      <c r="Y18" s="16"/>
    </row>
    <row r="19" spans="1:25" ht="13.5" customHeight="1" x14ac:dyDescent="0.45">
      <c r="A19" s="38"/>
      <c r="B19" s="81"/>
      <c r="C19" s="388"/>
      <c r="D19" s="356"/>
      <c r="E19" s="356"/>
      <c r="F19" s="356"/>
      <c r="G19" s="356"/>
      <c r="H19" s="356"/>
      <c r="I19" s="356"/>
      <c r="J19" s="356"/>
      <c r="K19" s="356"/>
      <c r="L19" s="356"/>
      <c r="M19" s="389"/>
      <c r="N19" s="81"/>
      <c r="O19" s="81"/>
      <c r="P19" s="38"/>
      <c r="S19" s="16"/>
      <c r="T19" s="16"/>
      <c r="U19" s="16"/>
      <c r="V19" s="16"/>
      <c r="W19" s="16"/>
      <c r="X19" s="16"/>
      <c r="Y19" s="16"/>
    </row>
    <row r="20" spans="1:25" ht="13.5" customHeight="1" x14ac:dyDescent="0.45">
      <c r="A20" s="38"/>
      <c r="B20" s="81"/>
      <c r="C20" s="388"/>
      <c r="D20" s="356"/>
      <c r="E20" s="356"/>
      <c r="F20" s="356"/>
      <c r="G20" s="356"/>
      <c r="H20" s="356"/>
      <c r="I20" s="356"/>
      <c r="J20" s="356"/>
      <c r="K20" s="356"/>
      <c r="L20" s="356"/>
      <c r="M20" s="389"/>
      <c r="N20" s="81"/>
      <c r="O20" s="81"/>
      <c r="P20" s="38"/>
      <c r="S20" s="16"/>
      <c r="T20" s="16"/>
      <c r="U20" s="16"/>
      <c r="V20" s="16"/>
      <c r="W20" s="16"/>
      <c r="X20" s="16"/>
      <c r="Y20" s="16"/>
    </row>
    <row r="21" spans="1:25" ht="13.5" customHeight="1" x14ac:dyDescent="0.45">
      <c r="A21" s="38"/>
      <c r="B21" s="81"/>
      <c r="C21" s="388"/>
      <c r="D21" s="356"/>
      <c r="E21" s="356"/>
      <c r="F21" s="356"/>
      <c r="G21" s="356"/>
      <c r="H21" s="356"/>
      <c r="I21" s="356"/>
      <c r="J21" s="356"/>
      <c r="K21" s="356"/>
      <c r="L21" s="356"/>
      <c r="M21" s="389"/>
      <c r="N21" s="81"/>
      <c r="O21" s="81"/>
      <c r="P21" s="38"/>
      <c r="S21" s="16"/>
      <c r="T21" s="16"/>
      <c r="U21" s="16"/>
      <c r="V21" s="16"/>
      <c r="W21" s="16"/>
      <c r="X21" s="16"/>
      <c r="Y21" s="16"/>
    </row>
    <row r="22" spans="1:25" ht="13.5" customHeight="1" x14ac:dyDescent="0.45">
      <c r="A22" s="38"/>
      <c r="B22" s="81"/>
      <c r="C22" s="388"/>
      <c r="D22" s="356"/>
      <c r="E22" s="356"/>
      <c r="F22" s="356"/>
      <c r="G22" s="356"/>
      <c r="H22" s="356"/>
      <c r="I22" s="356"/>
      <c r="J22" s="356"/>
      <c r="K22" s="356"/>
      <c r="L22" s="356"/>
      <c r="M22" s="389"/>
      <c r="N22" s="81"/>
      <c r="O22" s="81"/>
      <c r="P22" s="38"/>
      <c r="S22" s="16"/>
      <c r="T22" s="16"/>
      <c r="U22" s="16"/>
      <c r="V22" s="16"/>
      <c r="W22" s="16"/>
      <c r="X22" s="16"/>
      <c r="Y22" s="16"/>
    </row>
    <row r="23" spans="1:25" ht="13.5" customHeight="1" x14ac:dyDescent="0.45">
      <c r="A23" s="38"/>
      <c r="B23" s="81"/>
      <c r="C23" s="388"/>
      <c r="D23" s="356"/>
      <c r="E23" s="356"/>
      <c r="F23" s="356"/>
      <c r="G23" s="356"/>
      <c r="H23" s="356"/>
      <c r="I23" s="356"/>
      <c r="J23" s="356"/>
      <c r="K23" s="356"/>
      <c r="L23" s="356"/>
      <c r="M23" s="389"/>
      <c r="N23" s="81"/>
      <c r="O23" s="81"/>
      <c r="P23" s="38"/>
      <c r="S23" s="16"/>
      <c r="T23" s="16"/>
      <c r="U23" s="16"/>
      <c r="V23" s="16"/>
      <c r="W23" s="16"/>
      <c r="X23" s="16"/>
      <c r="Y23" s="16"/>
    </row>
    <row r="24" spans="1:25" ht="13.5" customHeight="1" x14ac:dyDescent="0.45">
      <c r="A24" s="38"/>
      <c r="B24" s="81"/>
      <c r="C24" s="388"/>
      <c r="D24" s="356"/>
      <c r="E24" s="356"/>
      <c r="F24" s="356"/>
      <c r="G24" s="356"/>
      <c r="H24" s="356"/>
      <c r="I24" s="356"/>
      <c r="J24" s="356"/>
      <c r="K24" s="356"/>
      <c r="L24" s="356"/>
      <c r="M24" s="389"/>
      <c r="N24" s="81"/>
      <c r="O24" s="81"/>
      <c r="P24" s="38"/>
      <c r="S24" s="16"/>
      <c r="T24" s="16"/>
      <c r="U24" s="16"/>
      <c r="V24" s="16"/>
      <c r="W24" s="16"/>
      <c r="X24" s="16"/>
      <c r="Y24" s="16"/>
    </row>
    <row r="25" spans="1:25" ht="13.5" customHeight="1" x14ac:dyDescent="0.45">
      <c r="A25" s="38"/>
      <c r="B25" s="81"/>
      <c r="C25" s="388"/>
      <c r="D25" s="356"/>
      <c r="E25" s="356"/>
      <c r="F25" s="356"/>
      <c r="G25" s="356"/>
      <c r="H25" s="356"/>
      <c r="I25" s="356"/>
      <c r="J25" s="356"/>
      <c r="K25" s="356"/>
      <c r="L25" s="356"/>
      <c r="M25" s="389"/>
      <c r="N25" s="81"/>
      <c r="O25" s="81"/>
      <c r="P25" s="38"/>
      <c r="S25" s="16"/>
      <c r="T25" s="16"/>
      <c r="U25" s="16"/>
      <c r="V25" s="16"/>
      <c r="W25" s="16"/>
      <c r="X25" s="16"/>
      <c r="Y25" s="16"/>
    </row>
    <row r="26" spans="1:25" ht="13.5" customHeight="1" x14ac:dyDescent="0.45">
      <c r="A26" s="38"/>
      <c r="B26" s="81"/>
      <c r="C26" s="388"/>
      <c r="D26" s="356"/>
      <c r="E26" s="356"/>
      <c r="F26" s="356"/>
      <c r="G26" s="356"/>
      <c r="H26" s="356"/>
      <c r="I26" s="356"/>
      <c r="J26" s="356"/>
      <c r="K26" s="356"/>
      <c r="L26" s="356"/>
      <c r="M26" s="389"/>
      <c r="N26" s="81"/>
      <c r="O26" s="81"/>
      <c r="P26" s="38"/>
      <c r="S26" s="16"/>
      <c r="T26" s="16"/>
      <c r="U26" s="16"/>
      <c r="V26" s="16"/>
      <c r="W26" s="16"/>
      <c r="X26" s="16"/>
      <c r="Y26" s="16"/>
    </row>
    <row r="27" spans="1:25" ht="13.5" customHeight="1" x14ac:dyDescent="0.45">
      <c r="A27" s="38"/>
      <c r="B27" s="81"/>
      <c r="C27" s="390"/>
      <c r="D27" s="391"/>
      <c r="E27" s="391"/>
      <c r="F27" s="391"/>
      <c r="G27" s="391"/>
      <c r="H27" s="391"/>
      <c r="I27" s="391"/>
      <c r="J27" s="391"/>
      <c r="K27" s="391"/>
      <c r="L27" s="391"/>
      <c r="M27" s="392"/>
      <c r="N27" s="81"/>
      <c r="O27" s="81"/>
      <c r="P27" s="38"/>
      <c r="S27" s="16"/>
      <c r="T27" s="16"/>
      <c r="U27" s="16"/>
      <c r="V27" s="16"/>
      <c r="W27" s="16"/>
      <c r="X27" s="16"/>
      <c r="Y27" s="16"/>
    </row>
    <row r="28" spans="1:25" ht="13.5" customHeight="1" x14ac:dyDescent="0.45">
      <c r="A28" s="38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38"/>
      <c r="S28" s="16"/>
      <c r="T28" s="16"/>
      <c r="U28" s="16"/>
      <c r="V28" s="16"/>
      <c r="W28" s="16"/>
      <c r="X28" s="16"/>
      <c r="Y28" s="16"/>
    </row>
    <row r="29" spans="1:25" ht="13.5" customHeight="1" x14ac:dyDescent="0.45">
      <c r="A29" s="38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38"/>
      <c r="S29" s="16"/>
      <c r="T29" s="16"/>
      <c r="U29" s="16"/>
      <c r="V29" s="16"/>
      <c r="W29" s="16"/>
      <c r="X29" s="16"/>
      <c r="Y29" s="16"/>
    </row>
    <row r="30" spans="1:25" ht="15" customHeight="1" x14ac:dyDescent="0.45">
      <c r="A30" s="38"/>
      <c r="B30" s="81"/>
      <c r="C30" s="259" t="s">
        <v>29</v>
      </c>
      <c r="D30" s="260"/>
      <c r="E30" s="260"/>
      <c r="F30" s="260"/>
      <c r="G30" s="260"/>
      <c r="H30" s="260"/>
      <c r="I30" s="260"/>
      <c r="J30" s="260"/>
      <c r="K30" s="260"/>
      <c r="L30" s="260"/>
      <c r="M30" s="261"/>
      <c r="N30" s="81"/>
      <c r="O30" s="81"/>
      <c r="P30" s="38"/>
      <c r="S30" s="16"/>
      <c r="T30" s="16"/>
      <c r="U30" s="16"/>
      <c r="V30" s="16"/>
      <c r="W30" s="16"/>
      <c r="X30" s="16"/>
      <c r="Y30" s="16"/>
    </row>
    <row r="31" spans="1:25" ht="13.5" customHeight="1" x14ac:dyDescent="0.45">
      <c r="A31" s="38"/>
      <c r="B31" s="81"/>
      <c r="C31" s="268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81"/>
      <c r="O31" s="81"/>
      <c r="P31" s="38"/>
      <c r="S31" s="16"/>
      <c r="T31" s="16"/>
      <c r="U31" s="16"/>
      <c r="V31" s="16"/>
      <c r="W31" s="16"/>
      <c r="X31" s="16"/>
      <c r="Y31" s="16"/>
    </row>
    <row r="32" spans="1:25" ht="13.5" customHeight="1" x14ac:dyDescent="0.45">
      <c r="A32" s="38"/>
      <c r="B32" s="81"/>
      <c r="C32" s="271"/>
      <c r="D32" s="272"/>
      <c r="E32" s="272"/>
      <c r="F32" s="272"/>
      <c r="G32" s="272"/>
      <c r="H32" s="272"/>
      <c r="I32" s="272"/>
      <c r="J32" s="272"/>
      <c r="K32" s="272"/>
      <c r="L32" s="272"/>
      <c r="M32" s="273"/>
      <c r="N32" s="81"/>
      <c r="O32" s="81"/>
      <c r="P32" s="38"/>
      <c r="S32" s="16"/>
      <c r="T32" s="16"/>
      <c r="U32" s="16"/>
      <c r="V32" s="16"/>
      <c r="W32" s="16"/>
      <c r="X32" s="16"/>
      <c r="Y32" s="16"/>
    </row>
    <row r="33" spans="1:33" ht="13.5" customHeight="1" x14ac:dyDescent="0.45">
      <c r="A33" s="38"/>
      <c r="B33" s="81"/>
      <c r="C33" s="271"/>
      <c r="D33" s="272"/>
      <c r="E33" s="272"/>
      <c r="F33" s="272"/>
      <c r="G33" s="272"/>
      <c r="H33" s="272"/>
      <c r="I33" s="272"/>
      <c r="J33" s="272"/>
      <c r="K33" s="272"/>
      <c r="L33" s="272"/>
      <c r="M33" s="273"/>
      <c r="N33" s="81"/>
      <c r="O33" s="81"/>
      <c r="P33" s="38"/>
      <c r="S33" s="16"/>
      <c r="T33" s="16"/>
      <c r="U33" s="16"/>
      <c r="V33" s="16"/>
      <c r="W33" s="16"/>
      <c r="X33" s="16"/>
      <c r="Y33" s="16"/>
    </row>
    <row r="34" spans="1:33" ht="13.5" customHeight="1" x14ac:dyDescent="0.45">
      <c r="A34" s="38"/>
      <c r="B34" s="81"/>
      <c r="C34" s="271"/>
      <c r="D34" s="272"/>
      <c r="E34" s="272"/>
      <c r="F34" s="272"/>
      <c r="G34" s="272"/>
      <c r="H34" s="272"/>
      <c r="I34" s="272"/>
      <c r="J34" s="272"/>
      <c r="K34" s="272"/>
      <c r="L34" s="272"/>
      <c r="M34" s="273"/>
      <c r="N34" s="81"/>
      <c r="O34" s="81"/>
      <c r="P34" s="38"/>
      <c r="S34" s="16"/>
      <c r="T34" s="16"/>
      <c r="U34" s="16"/>
      <c r="V34" s="16"/>
      <c r="W34" s="16"/>
      <c r="X34" s="16"/>
      <c r="Y34" s="16"/>
    </row>
    <row r="35" spans="1:33" ht="13.5" customHeight="1" x14ac:dyDescent="0.45">
      <c r="A35" s="38"/>
      <c r="B35" s="81"/>
      <c r="C35" s="271"/>
      <c r="D35" s="272"/>
      <c r="E35" s="272"/>
      <c r="F35" s="272"/>
      <c r="G35" s="272"/>
      <c r="H35" s="272"/>
      <c r="I35" s="272"/>
      <c r="J35" s="272"/>
      <c r="K35" s="272"/>
      <c r="L35" s="272"/>
      <c r="M35" s="273"/>
      <c r="N35" s="81"/>
      <c r="O35" s="81"/>
      <c r="P35" s="38"/>
      <c r="S35" s="16"/>
      <c r="T35" s="16"/>
      <c r="U35" s="16"/>
      <c r="V35" s="16"/>
      <c r="W35" s="16"/>
      <c r="X35" s="16"/>
      <c r="Y35" s="16"/>
    </row>
    <row r="36" spans="1:33" s="6" customFormat="1" ht="15" customHeight="1" x14ac:dyDescent="0.45">
      <c r="A36" s="38"/>
      <c r="B36" s="81"/>
      <c r="C36" s="271"/>
      <c r="D36" s="272"/>
      <c r="E36" s="272"/>
      <c r="F36" s="272"/>
      <c r="G36" s="272"/>
      <c r="H36" s="272"/>
      <c r="I36" s="272"/>
      <c r="J36" s="272"/>
      <c r="K36" s="272"/>
      <c r="L36" s="272"/>
      <c r="M36" s="273"/>
      <c r="N36" s="81"/>
      <c r="O36" s="81"/>
      <c r="P36" s="38"/>
      <c r="S36" s="16"/>
      <c r="T36" s="16"/>
      <c r="U36" s="16"/>
      <c r="V36" s="16"/>
      <c r="W36" s="16"/>
      <c r="X36" s="16"/>
      <c r="Y36" s="16"/>
    </row>
    <row r="37" spans="1:33" s="6" customFormat="1" ht="15" customHeight="1" x14ac:dyDescent="0.45">
      <c r="A37" s="38"/>
      <c r="B37" s="81"/>
      <c r="C37" s="271"/>
      <c r="D37" s="272"/>
      <c r="E37" s="272"/>
      <c r="F37" s="272"/>
      <c r="G37" s="272"/>
      <c r="H37" s="272"/>
      <c r="I37" s="272"/>
      <c r="J37" s="272"/>
      <c r="K37" s="272"/>
      <c r="L37" s="272"/>
      <c r="M37" s="273"/>
      <c r="N37" s="81"/>
      <c r="O37" s="81"/>
      <c r="P37" s="38"/>
      <c r="S37" s="16"/>
      <c r="T37" s="16"/>
      <c r="U37" s="16"/>
      <c r="V37" s="16"/>
      <c r="W37" s="16"/>
      <c r="X37" s="16"/>
      <c r="Y37" s="16"/>
    </row>
    <row r="38" spans="1:33" s="6" customFormat="1" ht="15" customHeight="1" x14ac:dyDescent="0.45">
      <c r="A38" s="38"/>
      <c r="B38" s="81"/>
      <c r="C38" s="271"/>
      <c r="D38" s="272"/>
      <c r="E38" s="272"/>
      <c r="F38" s="272"/>
      <c r="G38" s="272"/>
      <c r="H38" s="272"/>
      <c r="I38" s="272"/>
      <c r="J38" s="272"/>
      <c r="K38" s="272"/>
      <c r="L38" s="272"/>
      <c r="M38" s="273"/>
      <c r="N38" s="81"/>
      <c r="O38" s="81"/>
      <c r="P38" s="38"/>
      <c r="S38" s="16"/>
      <c r="T38" s="16"/>
      <c r="U38" s="16"/>
      <c r="V38" s="16"/>
      <c r="W38" s="16"/>
      <c r="X38" s="16"/>
      <c r="Y38" s="16"/>
    </row>
    <row r="39" spans="1:33" s="6" customFormat="1" ht="15" customHeight="1" x14ac:dyDescent="0.45">
      <c r="A39" s="38"/>
      <c r="B39" s="81"/>
      <c r="C39" s="271"/>
      <c r="D39" s="272"/>
      <c r="E39" s="272"/>
      <c r="F39" s="272"/>
      <c r="G39" s="272"/>
      <c r="H39" s="272"/>
      <c r="I39" s="272"/>
      <c r="J39" s="272"/>
      <c r="K39" s="272"/>
      <c r="L39" s="272"/>
      <c r="M39" s="273"/>
      <c r="N39" s="81"/>
      <c r="O39" s="81"/>
      <c r="P39" s="38"/>
      <c r="S39" s="16"/>
      <c r="T39" s="16"/>
      <c r="U39" s="16"/>
      <c r="V39" s="16"/>
      <c r="W39" s="16"/>
      <c r="X39" s="16"/>
      <c r="Y39" s="16"/>
    </row>
    <row r="40" spans="1:33" s="6" customFormat="1" ht="15" customHeight="1" x14ac:dyDescent="0.45">
      <c r="A40" s="38"/>
      <c r="B40" s="81"/>
      <c r="C40" s="271"/>
      <c r="D40" s="272"/>
      <c r="E40" s="272"/>
      <c r="F40" s="272"/>
      <c r="G40" s="272"/>
      <c r="H40" s="272"/>
      <c r="I40" s="272"/>
      <c r="J40" s="272"/>
      <c r="K40" s="272"/>
      <c r="L40" s="272"/>
      <c r="M40" s="273"/>
      <c r="N40" s="81"/>
      <c r="O40" s="81"/>
      <c r="P40" s="38"/>
      <c r="S40" s="16"/>
      <c r="T40" s="16"/>
      <c r="U40" s="16"/>
      <c r="V40" s="16"/>
      <c r="W40" s="16"/>
      <c r="X40" s="16"/>
      <c r="Y40" s="16"/>
    </row>
    <row r="41" spans="1:33" s="6" customFormat="1" ht="15" customHeight="1" x14ac:dyDescent="0.45">
      <c r="A41" s="38"/>
      <c r="B41" s="81"/>
      <c r="C41" s="271"/>
      <c r="D41" s="272"/>
      <c r="E41" s="272"/>
      <c r="F41" s="272"/>
      <c r="G41" s="272"/>
      <c r="H41" s="272"/>
      <c r="I41" s="272"/>
      <c r="J41" s="272"/>
      <c r="K41" s="272"/>
      <c r="L41" s="272"/>
      <c r="M41" s="273"/>
      <c r="N41" s="81"/>
      <c r="O41" s="81"/>
      <c r="P41" s="38"/>
      <c r="S41" s="16"/>
      <c r="T41" s="16"/>
      <c r="U41" s="16"/>
      <c r="V41" s="16"/>
      <c r="W41" s="16"/>
      <c r="X41" s="16"/>
      <c r="Y41" s="16"/>
    </row>
    <row r="42" spans="1:33" s="6" customFormat="1" ht="15" customHeight="1" x14ac:dyDescent="0.45">
      <c r="A42" s="38"/>
      <c r="B42" s="81"/>
      <c r="C42" s="271"/>
      <c r="D42" s="272"/>
      <c r="E42" s="272"/>
      <c r="F42" s="272"/>
      <c r="G42" s="272"/>
      <c r="H42" s="272"/>
      <c r="I42" s="272"/>
      <c r="J42" s="272"/>
      <c r="K42" s="272"/>
      <c r="L42" s="272"/>
      <c r="M42" s="273"/>
      <c r="N42" s="81"/>
      <c r="O42" s="81"/>
      <c r="P42" s="38"/>
      <c r="S42" s="16"/>
      <c r="T42" s="16"/>
      <c r="U42" s="16"/>
      <c r="V42" s="16"/>
      <c r="W42" s="16"/>
      <c r="X42" s="16"/>
      <c r="Y42" s="16"/>
    </row>
    <row r="43" spans="1:33" s="6" customFormat="1" ht="15" customHeight="1" x14ac:dyDescent="0.45">
      <c r="A43" s="38"/>
      <c r="B43" s="81"/>
      <c r="C43" s="271"/>
      <c r="D43" s="272"/>
      <c r="E43" s="272"/>
      <c r="F43" s="272"/>
      <c r="G43" s="272"/>
      <c r="H43" s="272"/>
      <c r="I43" s="272"/>
      <c r="J43" s="272"/>
      <c r="K43" s="272"/>
      <c r="L43" s="272"/>
      <c r="M43" s="273"/>
      <c r="N43" s="81"/>
      <c r="O43" s="81"/>
      <c r="P43" s="38"/>
      <c r="S43" s="16"/>
      <c r="T43" s="16"/>
      <c r="U43" s="16"/>
      <c r="V43" s="16"/>
      <c r="W43" s="16"/>
      <c r="X43" s="16"/>
      <c r="Y43" s="16"/>
    </row>
    <row r="44" spans="1:33" s="6" customFormat="1" ht="15" customHeight="1" x14ac:dyDescent="0.45">
      <c r="A44" s="38"/>
      <c r="B44" s="81"/>
      <c r="C44" s="271"/>
      <c r="D44" s="272"/>
      <c r="E44" s="272"/>
      <c r="F44" s="272"/>
      <c r="G44" s="272"/>
      <c r="H44" s="272"/>
      <c r="I44" s="272"/>
      <c r="J44" s="272"/>
      <c r="K44" s="272"/>
      <c r="L44" s="272"/>
      <c r="M44" s="273"/>
      <c r="N44" s="81"/>
      <c r="O44" s="81"/>
      <c r="P44" s="38"/>
      <c r="S44" s="16"/>
      <c r="T44" s="16"/>
      <c r="U44" s="16"/>
      <c r="V44" s="16"/>
      <c r="W44" s="16"/>
      <c r="X44" s="16"/>
      <c r="Y44" s="16"/>
    </row>
    <row r="45" spans="1:33" s="6" customFormat="1" ht="15" customHeight="1" x14ac:dyDescent="0.45">
      <c r="A45" s="38"/>
      <c r="B45" s="81"/>
      <c r="C45" s="274"/>
      <c r="D45" s="275"/>
      <c r="E45" s="275"/>
      <c r="F45" s="275"/>
      <c r="G45" s="275"/>
      <c r="H45" s="275"/>
      <c r="I45" s="275"/>
      <c r="J45" s="275"/>
      <c r="K45" s="275"/>
      <c r="L45" s="275"/>
      <c r="M45" s="276"/>
      <c r="N45" s="81"/>
      <c r="O45" s="81"/>
      <c r="P45" s="38"/>
      <c r="S45" s="16"/>
      <c r="T45" s="16"/>
      <c r="U45" s="16"/>
      <c r="V45" s="16"/>
      <c r="W45" s="16"/>
      <c r="X45" s="16"/>
      <c r="Y45" s="16"/>
    </row>
    <row r="46" spans="1:33" ht="15" customHeight="1" x14ac:dyDescent="0.45">
      <c r="A46" s="38"/>
      <c r="B46" s="102"/>
      <c r="C46" s="102"/>
      <c r="D46" s="102"/>
      <c r="E46" s="102"/>
      <c r="F46" s="102"/>
      <c r="G46" s="102"/>
      <c r="H46" s="100"/>
      <c r="I46" s="100"/>
      <c r="J46" s="100"/>
      <c r="K46" s="102"/>
      <c r="L46" s="102"/>
      <c r="M46" s="102"/>
      <c r="N46" s="102"/>
      <c r="O46" s="102"/>
      <c r="P46" s="38"/>
    </row>
    <row r="47" spans="1:33" ht="15" customHeight="1" x14ac:dyDescent="0.45">
      <c r="A47" s="38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38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" customHeight="1" x14ac:dyDescent="0.45">
      <c r="A48" s="38"/>
      <c r="B48" s="320" t="s">
        <v>457</v>
      </c>
      <c r="C48" s="320"/>
      <c r="D48" s="101"/>
      <c r="E48" s="101"/>
      <c r="F48" s="354"/>
      <c r="G48" s="354"/>
      <c r="H48" s="354"/>
      <c r="I48" s="354"/>
      <c r="J48" s="354"/>
      <c r="K48" s="354"/>
      <c r="L48" s="101"/>
      <c r="M48" s="320" t="s">
        <v>459</v>
      </c>
      <c r="N48" s="320"/>
      <c r="O48" s="320"/>
      <c r="P48" s="38"/>
    </row>
    <row r="49" spans="1:42" ht="15" customHeight="1" x14ac:dyDescent="0.45">
      <c r="A49" s="38"/>
      <c r="B49" s="395" t="s">
        <v>45</v>
      </c>
      <c r="C49" s="395"/>
      <c r="D49" s="102"/>
      <c r="E49" s="102"/>
      <c r="F49" s="395" t="s">
        <v>46</v>
      </c>
      <c r="G49" s="395"/>
      <c r="H49" s="395"/>
      <c r="I49" s="395"/>
      <c r="J49" s="395"/>
      <c r="K49" s="395"/>
      <c r="L49" s="102"/>
      <c r="M49" s="395" t="s">
        <v>47</v>
      </c>
      <c r="N49" s="395"/>
      <c r="O49" s="395"/>
      <c r="P49" s="38"/>
    </row>
    <row r="50" spans="1:42" ht="15" customHeight="1" x14ac:dyDescent="0.45">
      <c r="A50" s="38"/>
      <c r="B50" s="100"/>
      <c r="C50" s="155"/>
      <c r="D50" s="155"/>
      <c r="E50" s="155"/>
      <c r="F50" s="155"/>
      <c r="G50" s="100"/>
      <c r="H50" s="100"/>
      <c r="I50" s="155"/>
      <c r="J50" s="155"/>
      <c r="K50" s="155"/>
      <c r="L50" s="155"/>
      <c r="M50" s="100"/>
      <c r="N50" s="100"/>
      <c r="O50" s="100"/>
      <c r="P50" s="38"/>
    </row>
    <row r="51" spans="1:42" ht="18.75" x14ac:dyDescent="0.45">
      <c r="A51" s="38"/>
      <c r="B51" s="102"/>
      <c r="C51" s="81"/>
      <c r="D51" s="81"/>
      <c r="E51" s="81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38"/>
    </row>
    <row r="52" spans="1:42" ht="15.75" customHeight="1" x14ac:dyDescent="0.45">
      <c r="A52" s="38"/>
      <c r="B52" s="327" t="s">
        <v>49</v>
      </c>
      <c r="C52" s="327"/>
      <c r="D52" s="67"/>
      <c r="E52" s="67"/>
      <c r="F52" s="272"/>
      <c r="G52" s="272"/>
      <c r="H52" s="272"/>
      <c r="I52" s="272"/>
      <c r="J52" s="272"/>
      <c r="K52" s="330"/>
      <c r="L52" s="330"/>
      <c r="M52" s="67"/>
      <c r="N52" s="328" t="s">
        <v>149</v>
      </c>
      <c r="O52" s="328"/>
      <c r="P52" s="38"/>
    </row>
    <row r="53" spans="1:42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42" x14ac:dyDescent="0.2"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P54" s="12"/>
    </row>
    <row r="55" spans="1:42" x14ac:dyDescent="0.2"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42" x14ac:dyDescent="0.2"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3"/>
      <c r="AE56" s="13"/>
      <c r="AF56" s="13"/>
    </row>
  </sheetData>
  <mergeCells count="21">
    <mergeCell ref="M48:O48"/>
    <mergeCell ref="F48:K48"/>
    <mergeCell ref="C31:M45"/>
    <mergeCell ref="B52:C52"/>
    <mergeCell ref="F52:J52"/>
    <mergeCell ref="K52:L52"/>
    <mergeCell ref="N52:O52"/>
    <mergeCell ref="B48:C48"/>
    <mergeCell ref="B49:C49"/>
    <mergeCell ref="F49:K49"/>
    <mergeCell ref="M49:O49"/>
    <mergeCell ref="C6:J6"/>
    <mergeCell ref="B7:C7"/>
    <mergeCell ref="C12:M12"/>
    <mergeCell ref="C13:M27"/>
    <mergeCell ref="C30:M30"/>
    <mergeCell ref="B2:B3"/>
    <mergeCell ref="C2:L3"/>
    <mergeCell ref="M2:O3"/>
    <mergeCell ref="C4:E4"/>
    <mergeCell ref="F4:K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048575" man="1"/>
  </rowBreaks>
  <colBreaks count="1" manualBreakCount="1">
    <brk id="16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19" r:id="rId4" name="Check Box 15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0" r:id="rId5" name="Check Box 16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1" r:id="rId6" name="Check Box 17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2" r:id="rId7" name="Check Box 18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3" r:id="rId8" name="Check Box 1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800100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4" r:id="rId9" name="Check Box 2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800100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5" r:id="rId10" name="Check Box 2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A1:AP56"/>
  <sheetViews>
    <sheetView showGridLines="0" view="pageBreakPreview" zoomScale="89" zoomScaleNormal="100" zoomScaleSheetLayoutView="89" workbookViewId="0">
      <selection activeCell="B2" sqref="B2:B3"/>
    </sheetView>
  </sheetViews>
  <sheetFormatPr baseColWidth="10" defaultColWidth="11.42578125" defaultRowHeight="12.75" x14ac:dyDescent="0.2"/>
  <cols>
    <col min="1" max="1" width="3.28515625" customWidth="1"/>
    <col min="2" max="2" width="20.57031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.42578125" customWidth="1"/>
    <col min="14" max="14" width="9.85546875" customWidth="1"/>
    <col min="15" max="15" width="8.5703125" customWidth="1"/>
    <col min="16" max="16" width="3.28515625" customWidth="1"/>
  </cols>
  <sheetData>
    <row r="1" spans="1:25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25" ht="27.75" customHeight="1" x14ac:dyDescent="0.45">
      <c r="A2" s="38"/>
      <c r="B2" s="277"/>
      <c r="C2" s="283" t="s">
        <v>32</v>
      </c>
      <c r="D2" s="284"/>
      <c r="E2" s="284"/>
      <c r="F2" s="284"/>
      <c r="G2" s="284"/>
      <c r="H2" s="284"/>
      <c r="I2" s="284"/>
      <c r="J2" s="284"/>
      <c r="K2" s="284"/>
      <c r="L2" s="284"/>
      <c r="M2" s="262" t="s">
        <v>52</v>
      </c>
      <c r="N2" s="263"/>
      <c r="O2" s="264"/>
      <c r="P2" s="38"/>
    </row>
    <row r="3" spans="1:25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87"/>
      <c r="M3" s="265"/>
      <c r="N3" s="266"/>
      <c r="O3" s="267"/>
      <c r="P3" s="38"/>
    </row>
    <row r="4" spans="1:25" ht="18.75" x14ac:dyDescent="0.45">
      <c r="A4" s="38"/>
      <c r="B4" s="61" t="s">
        <v>53</v>
      </c>
      <c r="C4" s="279"/>
      <c r="D4" s="279"/>
      <c r="E4" s="279"/>
      <c r="F4" s="282"/>
      <c r="G4" s="282"/>
      <c r="H4" s="282"/>
      <c r="I4" s="282"/>
      <c r="J4" s="282"/>
      <c r="K4" s="282"/>
      <c r="L4" s="62" t="s">
        <v>48</v>
      </c>
      <c r="M4" s="63"/>
      <c r="N4" s="63"/>
      <c r="O4" s="64"/>
      <c r="P4" s="38"/>
    </row>
    <row r="5" spans="1:25" ht="18.75" x14ac:dyDescent="0.45">
      <c r="A5" s="38"/>
      <c r="B5" s="65" t="s">
        <v>7</v>
      </c>
      <c r="C5" s="66" t="s">
        <v>8</v>
      </c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9"/>
      <c r="P5" s="36"/>
      <c r="Q5" s="14"/>
      <c r="R5" s="14"/>
      <c r="S5" s="14"/>
    </row>
    <row r="6" spans="1:25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280"/>
      <c r="K6" s="71"/>
      <c r="L6" s="72"/>
      <c r="M6" s="71"/>
      <c r="N6" s="71"/>
      <c r="O6" s="73"/>
      <c r="P6" s="38"/>
      <c r="R6" s="6"/>
      <c r="S6" s="8"/>
      <c r="T6" s="8"/>
      <c r="U6" s="8"/>
      <c r="V6" s="8"/>
      <c r="W6" s="8"/>
    </row>
    <row r="7" spans="1:25" ht="15" customHeight="1" x14ac:dyDescent="0.45">
      <c r="A7" s="38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/>
      <c r="M7" s="79" t="s">
        <v>58</v>
      </c>
      <c r="N7" s="79"/>
      <c r="O7" s="75"/>
      <c r="P7" s="38"/>
      <c r="R7" s="6"/>
      <c r="S7" s="8"/>
      <c r="T7" s="8"/>
      <c r="U7" s="8"/>
      <c r="V7" s="8"/>
      <c r="W7" s="8"/>
    </row>
    <row r="8" spans="1:25" ht="15" customHeight="1" x14ac:dyDescent="0.45">
      <c r="A8" s="38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/>
      <c r="M8" s="67" t="s">
        <v>60</v>
      </c>
      <c r="N8" s="67"/>
      <c r="O8" s="82"/>
      <c r="P8" s="38"/>
      <c r="R8" s="6"/>
      <c r="S8" s="8"/>
      <c r="T8" s="8"/>
      <c r="U8" s="8"/>
      <c r="V8" s="8"/>
      <c r="W8" s="8"/>
    </row>
    <row r="9" spans="1:25" ht="15" customHeight="1" x14ac:dyDescent="0.45">
      <c r="A9" s="38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/>
      <c r="M9" s="67" t="s">
        <v>62</v>
      </c>
      <c r="N9" s="67"/>
      <c r="O9" s="82"/>
      <c r="P9" s="38"/>
      <c r="R9" s="6"/>
      <c r="S9" s="8"/>
      <c r="T9" s="8"/>
      <c r="U9" s="8"/>
      <c r="V9" s="8"/>
      <c r="W9" s="8"/>
    </row>
    <row r="10" spans="1:25" ht="15" customHeight="1" x14ac:dyDescent="0.45">
      <c r="A10" s="38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7"/>
      <c r="N10" s="87"/>
      <c r="O10" s="88"/>
      <c r="P10" s="38"/>
      <c r="R10" s="6"/>
      <c r="S10" s="8"/>
      <c r="T10" s="8"/>
      <c r="U10" s="8"/>
      <c r="V10" s="8"/>
      <c r="W10" s="8"/>
    </row>
    <row r="11" spans="1:25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38"/>
      <c r="R11" s="6"/>
      <c r="S11" s="8"/>
      <c r="T11" s="8"/>
      <c r="U11" s="8"/>
      <c r="V11" s="8"/>
      <c r="W11" s="8"/>
    </row>
    <row r="12" spans="1:25" ht="15" customHeight="1" x14ac:dyDescent="0.45">
      <c r="A12" s="38"/>
      <c r="B12" s="396" t="s">
        <v>150</v>
      </c>
      <c r="C12" s="396"/>
      <c r="D12" s="396"/>
      <c r="E12" s="396"/>
      <c r="F12" s="396"/>
      <c r="G12" s="396"/>
      <c r="H12" s="81"/>
      <c r="I12" s="81"/>
      <c r="J12" s="81"/>
      <c r="K12" s="396" t="s">
        <v>151</v>
      </c>
      <c r="L12" s="396"/>
      <c r="M12" s="396"/>
      <c r="N12" s="396"/>
      <c r="O12" s="396"/>
      <c r="P12" s="38"/>
      <c r="R12" s="6"/>
      <c r="S12" s="8"/>
      <c r="T12" s="8"/>
      <c r="U12" s="8"/>
      <c r="V12" s="8"/>
      <c r="W12" s="8"/>
    </row>
    <row r="13" spans="1:25" ht="15" customHeight="1" x14ac:dyDescent="0.45">
      <c r="A13" s="38"/>
      <c r="B13" s="397"/>
      <c r="C13" s="397"/>
      <c r="D13" s="397"/>
      <c r="E13" s="397"/>
      <c r="F13" s="397"/>
      <c r="G13" s="397"/>
      <c r="H13" s="114"/>
      <c r="I13" s="114"/>
      <c r="J13" s="114"/>
      <c r="K13" s="338"/>
      <c r="L13" s="338"/>
      <c r="M13" s="338"/>
      <c r="N13" s="338"/>
      <c r="O13" s="338"/>
      <c r="P13" s="38"/>
    </row>
    <row r="14" spans="1:25" ht="15" customHeight="1" x14ac:dyDescent="0.45">
      <c r="A14" s="38"/>
      <c r="B14" s="397"/>
      <c r="C14" s="397"/>
      <c r="D14" s="397"/>
      <c r="E14" s="397"/>
      <c r="F14" s="397"/>
      <c r="G14" s="397"/>
      <c r="H14" s="114"/>
      <c r="I14" s="114"/>
      <c r="J14" s="114"/>
      <c r="K14" s="338"/>
      <c r="L14" s="338"/>
      <c r="M14" s="338"/>
      <c r="N14" s="338"/>
      <c r="O14" s="338"/>
      <c r="P14" s="38"/>
      <c r="S14" s="15" t="s">
        <v>148</v>
      </c>
      <c r="T14" s="15"/>
      <c r="U14" s="15"/>
      <c r="V14" s="15"/>
      <c r="W14" s="15"/>
      <c r="X14" s="15"/>
      <c r="Y14" s="15"/>
    </row>
    <row r="15" spans="1:25" ht="13.5" customHeight="1" x14ac:dyDescent="0.45">
      <c r="A15" s="38"/>
      <c r="B15" s="397"/>
      <c r="C15" s="397"/>
      <c r="D15" s="397"/>
      <c r="E15" s="397"/>
      <c r="F15" s="397"/>
      <c r="G15" s="397"/>
      <c r="H15" s="114"/>
      <c r="I15" s="114"/>
      <c r="J15" s="114"/>
      <c r="K15" s="338"/>
      <c r="L15" s="338"/>
      <c r="M15" s="338"/>
      <c r="N15" s="338"/>
      <c r="O15" s="338"/>
      <c r="P15" s="38"/>
      <c r="S15" s="16"/>
      <c r="T15" s="16"/>
      <c r="U15" s="16"/>
      <c r="V15" s="16"/>
      <c r="W15" s="16"/>
      <c r="X15" s="16"/>
      <c r="Y15" s="16"/>
    </row>
    <row r="16" spans="1:25" ht="13.5" customHeight="1" x14ac:dyDescent="0.45">
      <c r="A16" s="38"/>
      <c r="B16" s="397"/>
      <c r="C16" s="397"/>
      <c r="D16" s="397"/>
      <c r="E16" s="397"/>
      <c r="F16" s="397"/>
      <c r="G16" s="397"/>
      <c r="H16" s="114"/>
      <c r="I16" s="114"/>
      <c r="J16" s="114"/>
      <c r="K16" s="338"/>
      <c r="L16" s="338"/>
      <c r="M16" s="338"/>
      <c r="N16" s="338"/>
      <c r="O16" s="338"/>
      <c r="P16" s="38"/>
      <c r="S16" s="16"/>
      <c r="T16" s="16"/>
      <c r="U16" s="16"/>
      <c r="V16" s="16"/>
      <c r="W16" s="16"/>
      <c r="X16" s="16"/>
      <c r="Y16" s="16"/>
    </row>
    <row r="17" spans="1:25" ht="13.5" customHeight="1" x14ac:dyDescent="0.45">
      <c r="A17" s="38"/>
      <c r="B17" s="397"/>
      <c r="C17" s="397"/>
      <c r="D17" s="397"/>
      <c r="E17" s="397"/>
      <c r="F17" s="397"/>
      <c r="G17" s="397"/>
      <c r="H17" s="114"/>
      <c r="I17" s="114"/>
      <c r="J17" s="114"/>
      <c r="K17" s="338"/>
      <c r="L17" s="338"/>
      <c r="M17" s="338"/>
      <c r="N17" s="338"/>
      <c r="O17" s="338"/>
      <c r="P17" s="38"/>
      <c r="S17" s="16"/>
      <c r="T17" s="16"/>
      <c r="U17" s="16"/>
      <c r="V17" s="16"/>
      <c r="W17" s="16"/>
      <c r="X17" s="16"/>
      <c r="Y17" s="16"/>
    </row>
    <row r="18" spans="1:25" ht="13.5" customHeight="1" x14ac:dyDescent="0.45">
      <c r="A18" s="38"/>
      <c r="B18" s="397"/>
      <c r="C18" s="397"/>
      <c r="D18" s="397"/>
      <c r="E18" s="397"/>
      <c r="F18" s="397"/>
      <c r="G18" s="397"/>
      <c r="H18" s="114"/>
      <c r="I18" s="114"/>
      <c r="J18" s="114"/>
      <c r="K18" s="338"/>
      <c r="L18" s="338"/>
      <c r="M18" s="338"/>
      <c r="N18" s="338"/>
      <c r="O18" s="338"/>
      <c r="P18" s="38"/>
      <c r="S18" s="16"/>
      <c r="T18" s="16"/>
      <c r="U18" s="16"/>
      <c r="V18" s="16"/>
      <c r="W18" s="16"/>
      <c r="X18" s="16"/>
      <c r="Y18" s="16"/>
    </row>
    <row r="19" spans="1:25" ht="13.5" customHeight="1" x14ac:dyDescent="0.45">
      <c r="A19" s="38"/>
      <c r="B19" s="397"/>
      <c r="C19" s="397"/>
      <c r="D19" s="397"/>
      <c r="E19" s="397"/>
      <c r="F19" s="397"/>
      <c r="G19" s="397"/>
      <c r="H19" s="114"/>
      <c r="I19" s="114"/>
      <c r="J19" s="114"/>
      <c r="K19" s="338"/>
      <c r="L19" s="338"/>
      <c r="M19" s="338"/>
      <c r="N19" s="338"/>
      <c r="O19" s="338"/>
      <c r="P19" s="38"/>
      <c r="S19" s="16"/>
      <c r="T19" s="16"/>
      <c r="U19" s="16"/>
      <c r="V19" s="16"/>
      <c r="W19" s="16"/>
      <c r="X19" s="16"/>
      <c r="Y19" s="16"/>
    </row>
    <row r="20" spans="1:25" ht="13.5" customHeight="1" x14ac:dyDescent="0.45">
      <c r="A20" s="38"/>
      <c r="B20" s="397"/>
      <c r="C20" s="397"/>
      <c r="D20" s="397"/>
      <c r="E20" s="397"/>
      <c r="F20" s="397"/>
      <c r="G20" s="397"/>
      <c r="H20" s="114"/>
      <c r="I20" s="114"/>
      <c r="J20" s="114"/>
      <c r="K20" s="338"/>
      <c r="L20" s="338"/>
      <c r="M20" s="338"/>
      <c r="N20" s="338"/>
      <c r="O20" s="338"/>
      <c r="P20" s="38"/>
      <c r="S20" s="16"/>
      <c r="T20" s="16"/>
      <c r="U20" s="16"/>
      <c r="V20" s="16"/>
      <c r="W20" s="16"/>
      <c r="X20" s="16"/>
      <c r="Y20" s="16"/>
    </row>
    <row r="21" spans="1:25" ht="13.5" customHeight="1" x14ac:dyDescent="0.45">
      <c r="A21" s="38"/>
      <c r="B21" s="397"/>
      <c r="C21" s="397"/>
      <c r="D21" s="397"/>
      <c r="E21" s="397"/>
      <c r="F21" s="397"/>
      <c r="G21" s="397"/>
      <c r="H21" s="114"/>
      <c r="I21" s="114"/>
      <c r="J21" s="114"/>
      <c r="K21" s="338"/>
      <c r="L21" s="338"/>
      <c r="M21" s="338"/>
      <c r="N21" s="338"/>
      <c r="O21" s="338"/>
      <c r="P21" s="38"/>
      <c r="S21" s="16"/>
      <c r="T21" s="16"/>
      <c r="U21" s="16"/>
      <c r="V21" s="16"/>
      <c r="W21" s="16"/>
      <c r="X21" s="16"/>
      <c r="Y21" s="16"/>
    </row>
    <row r="22" spans="1:25" ht="13.5" customHeight="1" x14ac:dyDescent="0.45">
      <c r="A22" s="38"/>
      <c r="B22" s="397"/>
      <c r="C22" s="397"/>
      <c r="D22" s="397"/>
      <c r="E22" s="397"/>
      <c r="F22" s="397"/>
      <c r="G22" s="397"/>
      <c r="H22" s="114"/>
      <c r="I22" s="114"/>
      <c r="J22" s="114"/>
      <c r="K22" s="338"/>
      <c r="L22" s="338"/>
      <c r="M22" s="338"/>
      <c r="N22" s="338"/>
      <c r="O22" s="338"/>
      <c r="P22" s="38"/>
      <c r="S22" s="16"/>
      <c r="T22" s="16"/>
      <c r="U22" s="16"/>
      <c r="V22" s="16"/>
      <c r="W22" s="16"/>
      <c r="X22" s="16"/>
      <c r="Y22" s="16"/>
    </row>
    <row r="23" spans="1:25" ht="13.5" customHeight="1" x14ac:dyDescent="0.45">
      <c r="A23" s="38"/>
      <c r="B23" s="397"/>
      <c r="C23" s="397"/>
      <c r="D23" s="397"/>
      <c r="E23" s="397"/>
      <c r="F23" s="397"/>
      <c r="G23" s="397"/>
      <c r="H23" s="114"/>
      <c r="I23" s="114"/>
      <c r="J23" s="114"/>
      <c r="K23" s="338"/>
      <c r="L23" s="338"/>
      <c r="M23" s="338"/>
      <c r="N23" s="338"/>
      <c r="O23" s="338"/>
      <c r="P23" s="38"/>
      <c r="S23" s="16"/>
      <c r="T23" s="16"/>
      <c r="U23" s="16"/>
      <c r="V23" s="16"/>
      <c r="W23" s="16"/>
      <c r="X23" s="16"/>
      <c r="Y23" s="16"/>
    </row>
    <row r="24" spans="1:25" ht="13.5" customHeight="1" x14ac:dyDescent="0.45">
      <c r="A24" s="38"/>
      <c r="B24" s="397"/>
      <c r="C24" s="397"/>
      <c r="D24" s="397"/>
      <c r="E24" s="397"/>
      <c r="F24" s="397"/>
      <c r="G24" s="397"/>
      <c r="H24" s="114"/>
      <c r="I24" s="114"/>
      <c r="J24" s="114"/>
      <c r="K24" s="338"/>
      <c r="L24" s="338"/>
      <c r="M24" s="338"/>
      <c r="N24" s="338"/>
      <c r="O24" s="338"/>
      <c r="P24" s="38"/>
      <c r="S24" s="16"/>
      <c r="T24" s="16"/>
      <c r="U24" s="16"/>
      <c r="V24" s="16"/>
      <c r="W24" s="16"/>
      <c r="X24" s="16"/>
      <c r="Y24" s="16"/>
    </row>
    <row r="25" spans="1:25" ht="13.5" customHeight="1" x14ac:dyDescent="0.45">
      <c r="A25" s="38"/>
      <c r="B25" s="397"/>
      <c r="C25" s="397"/>
      <c r="D25" s="397"/>
      <c r="E25" s="397"/>
      <c r="F25" s="397"/>
      <c r="G25" s="397"/>
      <c r="H25" s="114"/>
      <c r="I25" s="114"/>
      <c r="J25" s="114"/>
      <c r="K25" s="338"/>
      <c r="L25" s="338"/>
      <c r="M25" s="338"/>
      <c r="N25" s="338"/>
      <c r="O25" s="338"/>
      <c r="P25" s="38"/>
      <c r="S25" s="16"/>
      <c r="T25" s="16"/>
      <c r="U25" s="16"/>
      <c r="V25" s="16"/>
      <c r="W25" s="16"/>
      <c r="X25" s="16"/>
      <c r="Y25" s="16"/>
    </row>
    <row r="26" spans="1:25" ht="13.5" customHeight="1" x14ac:dyDescent="0.45">
      <c r="A26" s="38"/>
      <c r="B26" s="397"/>
      <c r="C26" s="397"/>
      <c r="D26" s="397"/>
      <c r="E26" s="397"/>
      <c r="F26" s="397"/>
      <c r="G26" s="397"/>
      <c r="H26" s="114"/>
      <c r="I26" s="114"/>
      <c r="J26" s="114"/>
      <c r="K26" s="338"/>
      <c r="L26" s="338"/>
      <c r="M26" s="338"/>
      <c r="N26" s="338"/>
      <c r="O26" s="338"/>
      <c r="P26" s="38"/>
      <c r="S26" s="16"/>
      <c r="T26" s="16"/>
      <c r="U26" s="16"/>
      <c r="V26" s="16"/>
      <c r="W26" s="16"/>
      <c r="X26" s="16"/>
      <c r="Y26" s="16"/>
    </row>
    <row r="27" spans="1:25" ht="13.5" customHeight="1" x14ac:dyDescent="0.45">
      <c r="A27" s="38"/>
      <c r="B27" s="397"/>
      <c r="C27" s="397"/>
      <c r="D27" s="397"/>
      <c r="E27" s="397"/>
      <c r="F27" s="397"/>
      <c r="G27" s="397"/>
      <c r="H27" s="114"/>
      <c r="I27" s="114"/>
      <c r="J27" s="114"/>
      <c r="K27" s="338"/>
      <c r="L27" s="338"/>
      <c r="M27" s="338"/>
      <c r="N27" s="338"/>
      <c r="O27" s="338"/>
      <c r="P27" s="38"/>
      <c r="S27" s="16"/>
      <c r="T27" s="16"/>
      <c r="U27" s="16"/>
      <c r="V27" s="16"/>
      <c r="W27" s="16"/>
      <c r="X27" s="16"/>
      <c r="Y27" s="16"/>
    </row>
    <row r="28" spans="1:25" ht="13.5" customHeight="1" x14ac:dyDescent="0.45">
      <c r="A28" s="38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38"/>
      <c r="S28" s="16"/>
      <c r="T28" s="16"/>
      <c r="U28" s="16"/>
      <c r="V28" s="16"/>
      <c r="W28" s="16"/>
      <c r="X28" s="16"/>
      <c r="Y28" s="16"/>
    </row>
    <row r="29" spans="1:25" ht="13.5" customHeight="1" x14ac:dyDescent="0.45">
      <c r="A29" s="38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38"/>
      <c r="S29" s="16"/>
      <c r="T29" s="16"/>
      <c r="U29" s="16"/>
      <c r="V29" s="16"/>
      <c r="W29" s="16"/>
      <c r="X29" s="16"/>
      <c r="Y29" s="16"/>
    </row>
    <row r="30" spans="1:25" ht="15" customHeight="1" x14ac:dyDescent="0.45">
      <c r="A30" s="38"/>
      <c r="B30" s="396" t="s">
        <v>152</v>
      </c>
      <c r="C30" s="396"/>
      <c r="D30" s="396"/>
      <c r="E30" s="396"/>
      <c r="F30" s="396"/>
      <c r="G30" s="396"/>
      <c r="H30" s="81"/>
      <c r="I30" s="81"/>
      <c r="J30" s="81"/>
      <c r="K30" s="396" t="s">
        <v>153</v>
      </c>
      <c r="L30" s="396"/>
      <c r="M30" s="396"/>
      <c r="N30" s="396"/>
      <c r="O30" s="396"/>
      <c r="P30" s="38"/>
      <c r="S30" s="16"/>
      <c r="T30" s="16"/>
      <c r="U30" s="16"/>
      <c r="V30" s="16"/>
      <c r="W30" s="16"/>
      <c r="X30" s="16"/>
      <c r="Y30" s="16"/>
    </row>
    <row r="31" spans="1:25" ht="13.5" customHeight="1" x14ac:dyDescent="0.45">
      <c r="A31" s="38"/>
      <c r="B31" s="397"/>
      <c r="C31" s="397"/>
      <c r="D31" s="397"/>
      <c r="E31" s="397"/>
      <c r="F31" s="397"/>
      <c r="G31" s="397"/>
      <c r="H31" s="81"/>
      <c r="I31" s="81"/>
      <c r="J31" s="81"/>
      <c r="K31" s="397"/>
      <c r="L31" s="397"/>
      <c r="M31" s="397"/>
      <c r="N31" s="397"/>
      <c r="O31" s="397"/>
      <c r="P31" s="38"/>
      <c r="S31" s="16"/>
      <c r="T31" s="16"/>
      <c r="U31" s="16"/>
      <c r="V31" s="16"/>
      <c r="W31" s="16"/>
      <c r="X31" s="16"/>
      <c r="Y31" s="16"/>
    </row>
    <row r="32" spans="1:25" ht="13.5" customHeight="1" x14ac:dyDescent="0.45">
      <c r="A32" s="38"/>
      <c r="B32" s="397"/>
      <c r="C32" s="397"/>
      <c r="D32" s="397"/>
      <c r="E32" s="397"/>
      <c r="F32" s="397"/>
      <c r="G32" s="397"/>
      <c r="H32" s="81"/>
      <c r="I32" s="81"/>
      <c r="J32" s="81"/>
      <c r="K32" s="397"/>
      <c r="L32" s="397"/>
      <c r="M32" s="397"/>
      <c r="N32" s="397"/>
      <c r="O32" s="397"/>
      <c r="P32" s="38"/>
      <c r="S32" s="16"/>
      <c r="T32" s="16"/>
      <c r="U32" s="16"/>
      <c r="V32" s="16"/>
      <c r="W32" s="16"/>
      <c r="X32" s="16"/>
      <c r="Y32" s="16"/>
    </row>
    <row r="33" spans="1:33" ht="13.5" customHeight="1" x14ac:dyDescent="0.45">
      <c r="A33" s="38"/>
      <c r="B33" s="397"/>
      <c r="C33" s="397"/>
      <c r="D33" s="397"/>
      <c r="E33" s="397"/>
      <c r="F33" s="397"/>
      <c r="G33" s="397"/>
      <c r="H33" s="81"/>
      <c r="I33" s="81"/>
      <c r="J33" s="81"/>
      <c r="K33" s="397"/>
      <c r="L33" s="397"/>
      <c r="M33" s="397"/>
      <c r="N33" s="397"/>
      <c r="O33" s="397"/>
      <c r="P33" s="38"/>
      <c r="S33" s="16"/>
      <c r="T33" s="16"/>
      <c r="U33" s="16"/>
      <c r="V33" s="16"/>
      <c r="W33" s="16"/>
      <c r="X33" s="16"/>
      <c r="Y33" s="16"/>
    </row>
    <row r="34" spans="1:33" ht="13.5" customHeight="1" x14ac:dyDescent="0.45">
      <c r="A34" s="38"/>
      <c r="B34" s="397"/>
      <c r="C34" s="397"/>
      <c r="D34" s="397"/>
      <c r="E34" s="397"/>
      <c r="F34" s="397"/>
      <c r="G34" s="397"/>
      <c r="H34" s="81"/>
      <c r="I34" s="81"/>
      <c r="J34" s="81"/>
      <c r="K34" s="397"/>
      <c r="L34" s="397"/>
      <c r="M34" s="397"/>
      <c r="N34" s="397"/>
      <c r="O34" s="397"/>
      <c r="P34" s="38"/>
      <c r="S34" s="16"/>
      <c r="T34" s="16"/>
      <c r="U34" s="16"/>
      <c r="V34" s="16"/>
      <c r="W34" s="16"/>
      <c r="X34" s="16"/>
      <c r="Y34" s="16"/>
    </row>
    <row r="35" spans="1:33" ht="13.5" customHeight="1" x14ac:dyDescent="0.45">
      <c r="A35" s="38"/>
      <c r="B35" s="397"/>
      <c r="C35" s="397"/>
      <c r="D35" s="397"/>
      <c r="E35" s="397"/>
      <c r="F35" s="397"/>
      <c r="G35" s="397"/>
      <c r="H35" s="81"/>
      <c r="I35" s="81"/>
      <c r="J35" s="81"/>
      <c r="K35" s="397"/>
      <c r="L35" s="397"/>
      <c r="M35" s="397"/>
      <c r="N35" s="397"/>
      <c r="O35" s="397"/>
      <c r="P35" s="38"/>
      <c r="S35" s="16"/>
      <c r="T35" s="16"/>
      <c r="U35" s="16"/>
      <c r="V35" s="16"/>
      <c r="W35" s="16"/>
      <c r="X35" s="16"/>
      <c r="Y35" s="16"/>
    </row>
    <row r="36" spans="1:33" s="6" customFormat="1" ht="15" customHeight="1" x14ac:dyDescent="0.45">
      <c r="A36" s="38"/>
      <c r="B36" s="397"/>
      <c r="C36" s="397"/>
      <c r="D36" s="397"/>
      <c r="E36" s="397"/>
      <c r="F36" s="397"/>
      <c r="G36" s="397"/>
      <c r="H36" s="81"/>
      <c r="I36" s="81"/>
      <c r="J36" s="81"/>
      <c r="K36" s="397"/>
      <c r="L36" s="397"/>
      <c r="M36" s="397"/>
      <c r="N36" s="397"/>
      <c r="O36" s="397"/>
      <c r="P36" s="38"/>
      <c r="S36" s="16"/>
      <c r="T36" s="16"/>
      <c r="U36" s="16"/>
      <c r="V36" s="16"/>
      <c r="W36" s="16"/>
      <c r="X36" s="16"/>
      <c r="Y36" s="16"/>
    </row>
    <row r="37" spans="1:33" s="6" customFormat="1" ht="15" customHeight="1" x14ac:dyDescent="0.45">
      <c r="A37" s="38"/>
      <c r="B37" s="397"/>
      <c r="C37" s="397"/>
      <c r="D37" s="397"/>
      <c r="E37" s="397"/>
      <c r="F37" s="397"/>
      <c r="G37" s="397"/>
      <c r="H37" s="81"/>
      <c r="I37" s="81"/>
      <c r="J37" s="81"/>
      <c r="K37" s="397"/>
      <c r="L37" s="397"/>
      <c r="M37" s="397"/>
      <c r="N37" s="397"/>
      <c r="O37" s="397"/>
      <c r="P37" s="38"/>
      <c r="S37" s="16"/>
      <c r="T37" s="16"/>
      <c r="U37" s="16"/>
      <c r="V37" s="16"/>
      <c r="W37" s="16"/>
      <c r="X37" s="16"/>
      <c r="Y37" s="16"/>
    </row>
    <row r="38" spans="1:33" s="6" customFormat="1" ht="15" customHeight="1" x14ac:dyDescent="0.45">
      <c r="A38" s="38"/>
      <c r="B38" s="397"/>
      <c r="C38" s="397"/>
      <c r="D38" s="397"/>
      <c r="E38" s="397"/>
      <c r="F38" s="397"/>
      <c r="G38" s="397"/>
      <c r="H38" s="81"/>
      <c r="I38" s="81"/>
      <c r="J38" s="81"/>
      <c r="K38" s="397"/>
      <c r="L38" s="397"/>
      <c r="M38" s="397"/>
      <c r="N38" s="397"/>
      <c r="O38" s="397"/>
      <c r="P38" s="38"/>
      <c r="S38" s="16"/>
      <c r="T38" s="16"/>
      <c r="U38" s="16"/>
      <c r="V38" s="16"/>
      <c r="W38" s="16"/>
      <c r="X38" s="16"/>
      <c r="Y38" s="16"/>
    </row>
    <row r="39" spans="1:33" s="6" customFormat="1" ht="15" customHeight="1" x14ac:dyDescent="0.45">
      <c r="A39" s="38"/>
      <c r="B39" s="397"/>
      <c r="C39" s="397"/>
      <c r="D39" s="397"/>
      <c r="E39" s="397"/>
      <c r="F39" s="397"/>
      <c r="G39" s="397"/>
      <c r="H39" s="81"/>
      <c r="I39" s="81"/>
      <c r="J39" s="81"/>
      <c r="K39" s="397"/>
      <c r="L39" s="397"/>
      <c r="M39" s="397"/>
      <c r="N39" s="397"/>
      <c r="O39" s="397"/>
      <c r="P39" s="38"/>
      <c r="S39" s="16"/>
      <c r="T39" s="16"/>
      <c r="U39" s="16"/>
      <c r="V39" s="16"/>
      <c r="W39" s="16"/>
      <c r="X39" s="16"/>
      <c r="Y39" s="16"/>
    </row>
    <row r="40" spans="1:33" s="6" customFormat="1" ht="15" customHeight="1" x14ac:dyDescent="0.45">
      <c r="A40" s="38"/>
      <c r="B40" s="397"/>
      <c r="C40" s="397"/>
      <c r="D40" s="397"/>
      <c r="E40" s="397"/>
      <c r="F40" s="397"/>
      <c r="G40" s="397"/>
      <c r="H40" s="81"/>
      <c r="I40" s="81"/>
      <c r="J40" s="81"/>
      <c r="K40" s="397"/>
      <c r="L40" s="397"/>
      <c r="M40" s="397"/>
      <c r="N40" s="397"/>
      <c r="O40" s="397"/>
      <c r="P40" s="38"/>
      <c r="S40" s="16"/>
      <c r="T40" s="16"/>
      <c r="U40" s="16"/>
      <c r="V40" s="16"/>
      <c r="W40" s="16"/>
      <c r="X40" s="16"/>
      <c r="Y40" s="16"/>
    </row>
    <row r="41" spans="1:33" s="6" customFormat="1" ht="15" customHeight="1" x14ac:dyDescent="0.45">
      <c r="A41" s="38"/>
      <c r="B41" s="397"/>
      <c r="C41" s="397"/>
      <c r="D41" s="397"/>
      <c r="E41" s="397"/>
      <c r="F41" s="397"/>
      <c r="G41" s="397"/>
      <c r="H41" s="81"/>
      <c r="I41" s="81"/>
      <c r="J41" s="81"/>
      <c r="K41" s="397"/>
      <c r="L41" s="397"/>
      <c r="M41" s="397"/>
      <c r="N41" s="397"/>
      <c r="O41" s="397"/>
      <c r="P41" s="38"/>
      <c r="S41" s="16"/>
      <c r="T41" s="16"/>
      <c r="U41" s="16"/>
      <c r="V41" s="16"/>
      <c r="W41" s="16"/>
      <c r="X41" s="16"/>
      <c r="Y41" s="16"/>
    </row>
    <row r="42" spans="1:33" s="6" customFormat="1" ht="15" customHeight="1" x14ac:dyDescent="0.45">
      <c r="A42" s="38"/>
      <c r="B42" s="397"/>
      <c r="C42" s="397"/>
      <c r="D42" s="397"/>
      <c r="E42" s="397"/>
      <c r="F42" s="397"/>
      <c r="G42" s="397"/>
      <c r="H42" s="81"/>
      <c r="I42" s="81"/>
      <c r="J42" s="81"/>
      <c r="K42" s="397"/>
      <c r="L42" s="397"/>
      <c r="M42" s="397"/>
      <c r="N42" s="397"/>
      <c r="O42" s="397"/>
      <c r="P42" s="38"/>
      <c r="S42" s="16"/>
      <c r="T42" s="16"/>
      <c r="U42" s="16"/>
      <c r="V42" s="16"/>
      <c r="W42" s="16"/>
      <c r="X42" s="16"/>
      <c r="Y42" s="16"/>
    </row>
    <row r="43" spans="1:33" s="6" customFormat="1" ht="15" customHeight="1" x14ac:dyDescent="0.45">
      <c r="A43" s="38"/>
      <c r="B43" s="397"/>
      <c r="C43" s="397"/>
      <c r="D43" s="397"/>
      <c r="E43" s="397"/>
      <c r="F43" s="397"/>
      <c r="G43" s="397"/>
      <c r="H43" s="81"/>
      <c r="I43" s="81"/>
      <c r="J43" s="81"/>
      <c r="K43" s="397"/>
      <c r="L43" s="397"/>
      <c r="M43" s="397"/>
      <c r="N43" s="397"/>
      <c r="O43" s="397"/>
      <c r="P43" s="38"/>
      <c r="S43" s="16"/>
      <c r="T43" s="16"/>
      <c r="U43" s="16"/>
      <c r="V43" s="16"/>
      <c r="W43" s="16"/>
      <c r="X43" s="16"/>
      <c r="Y43" s="16"/>
    </row>
    <row r="44" spans="1:33" s="6" customFormat="1" ht="15" customHeight="1" x14ac:dyDescent="0.45">
      <c r="A44" s="38"/>
      <c r="B44" s="397"/>
      <c r="C44" s="397"/>
      <c r="D44" s="397"/>
      <c r="E44" s="397"/>
      <c r="F44" s="397"/>
      <c r="G44" s="397"/>
      <c r="H44" s="81"/>
      <c r="I44" s="81"/>
      <c r="J44" s="81"/>
      <c r="K44" s="397"/>
      <c r="L44" s="397"/>
      <c r="M44" s="397"/>
      <c r="N44" s="397"/>
      <c r="O44" s="397"/>
      <c r="P44" s="38"/>
      <c r="S44" s="16"/>
      <c r="T44" s="16"/>
      <c r="U44" s="16"/>
      <c r="V44" s="16"/>
      <c r="W44" s="16"/>
      <c r="X44" s="16"/>
      <c r="Y44" s="16"/>
    </row>
    <row r="45" spans="1:33" s="6" customFormat="1" ht="15" customHeight="1" x14ac:dyDescent="0.45">
      <c r="A45" s="38"/>
      <c r="B45" s="397"/>
      <c r="C45" s="397"/>
      <c r="D45" s="397"/>
      <c r="E45" s="397"/>
      <c r="F45" s="397"/>
      <c r="G45" s="397"/>
      <c r="H45" s="81"/>
      <c r="I45" s="81"/>
      <c r="J45" s="81"/>
      <c r="K45" s="397"/>
      <c r="L45" s="397"/>
      <c r="M45" s="397"/>
      <c r="N45" s="397"/>
      <c r="O45" s="397"/>
      <c r="P45" s="38"/>
      <c r="S45" s="16"/>
      <c r="T45" s="16"/>
      <c r="U45" s="16"/>
      <c r="V45" s="16"/>
      <c r="W45" s="16"/>
      <c r="X45" s="16"/>
      <c r="Y45" s="16"/>
    </row>
    <row r="46" spans="1:33" ht="15" customHeight="1" x14ac:dyDescent="0.45">
      <c r="A46" s="38"/>
      <c r="B46" s="102"/>
      <c r="C46" s="102"/>
      <c r="D46" s="102"/>
      <c r="E46" s="102"/>
      <c r="F46" s="102"/>
      <c r="G46" s="102"/>
      <c r="H46" s="100"/>
      <c r="I46" s="100"/>
      <c r="J46" s="100"/>
      <c r="K46" s="102"/>
      <c r="L46" s="102"/>
      <c r="M46" s="102"/>
      <c r="N46" s="102"/>
      <c r="O46" s="102"/>
      <c r="P46" s="38"/>
    </row>
    <row r="47" spans="1:33" ht="15" customHeight="1" x14ac:dyDescent="0.45">
      <c r="A47" s="38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38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" customHeight="1" x14ac:dyDescent="0.45">
      <c r="A48" s="38"/>
      <c r="B48" s="320" t="s">
        <v>457</v>
      </c>
      <c r="C48" s="320"/>
      <c r="D48" s="101"/>
      <c r="E48" s="101"/>
      <c r="F48" s="354"/>
      <c r="G48" s="354"/>
      <c r="H48" s="354"/>
      <c r="I48" s="354"/>
      <c r="J48" s="354"/>
      <c r="K48" s="354"/>
      <c r="L48" s="101"/>
      <c r="M48" s="320" t="s">
        <v>459</v>
      </c>
      <c r="N48" s="320"/>
      <c r="O48" s="320"/>
      <c r="P48" s="38"/>
    </row>
    <row r="49" spans="1:42" ht="15" customHeight="1" x14ac:dyDescent="0.45">
      <c r="A49" s="38"/>
      <c r="B49" s="395" t="s">
        <v>45</v>
      </c>
      <c r="C49" s="395"/>
      <c r="D49" s="102"/>
      <c r="E49" s="102"/>
      <c r="F49" s="395" t="s">
        <v>46</v>
      </c>
      <c r="G49" s="395"/>
      <c r="H49" s="395"/>
      <c r="I49" s="395"/>
      <c r="J49" s="395"/>
      <c r="K49" s="395"/>
      <c r="L49" s="102"/>
      <c r="M49" s="395" t="s">
        <v>47</v>
      </c>
      <c r="N49" s="395"/>
      <c r="O49" s="395"/>
      <c r="P49" s="38"/>
    </row>
    <row r="50" spans="1:42" ht="15" customHeight="1" x14ac:dyDescent="0.45">
      <c r="A50" s="38"/>
      <c r="B50" s="100"/>
      <c r="C50" s="155"/>
      <c r="D50" s="155"/>
      <c r="E50" s="155"/>
      <c r="F50" s="155"/>
      <c r="G50" s="100"/>
      <c r="H50" s="100"/>
      <c r="I50" s="155"/>
      <c r="J50" s="155"/>
      <c r="K50" s="155"/>
      <c r="L50" s="155"/>
      <c r="M50" s="100"/>
      <c r="N50" s="100"/>
      <c r="O50" s="100"/>
      <c r="P50" s="38"/>
    </row>
    <row r="51" spans="1:42" ht="18.75" x14ac:dyDescent="0.45">
      <c r="A51" s="38"/>
      <c r="B51" s="102"/>
      <c r="C51" s="81"/>
      <c r="D51" s="81"/>
      <c r="E51" s="81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38"/>
    </row>
    <row r="52" spans="1:42" ht="15.75" customHeight="1" x14ac:dyDescent="0.45">
      <c r="A52" s="38"/>
      <c r="B52" s="327" t="s">
        <v>49</v>
      </c>
      <c r="C52" s="327"/>
      <c r="D52" s="67"/>
      <c r="E52" s="67"/>
      <c r="F52" s="272"/>
      <c r="G52" s="272"/>
      <c r="H52" s="272"/>
      <c r="I52" s="272"/>
      <c r="J52" s="272"/>
      <c r="K52" s="330"/>
      <c r="L52" s="330"/>
      <c r="M52" s="67"/>
      <c r="N52" s="328" t="s">
        <v>154</v>
      </c>
      <c r="O52" s="328"/>
      <c r="P52" s="38"/>
    </row>
    <row r="53" spans="1:42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42" x14ac:dyDescent="0.2"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P54" s="12"/>
    </row>
    <row r="55" spans="1:42" x14ac:dyDescent="0.2"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42" x14ac:dyDescent="0.2"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3"/>
      <c r="AE56" s="13"/>
      <c r="AF56" s="13"/>
    </row>
  </sheetData>
  <mergeCells count="25">
    <mergeCell ref="B12:G12"/>
    <mergeCell ref="F49:K49"/>
    <mergeCell ref="B48:C48"/>
    <mergeCell ref="B49:C49"/>
    <mergeCell ref="B2:B3"/>
    <mergeCell ref="C2:L3"/>
    <mergeCell ref="K13:O27"/>
    <mergeCell ref="B30:G30"/>
    <mergeCell ref="K30:O30"/>
    <mergeCell ref="B52:C52"/>
    <mergeCell ref="M2:O3"/>
    <mergeCell ref="C4:E4"/>
    <mergeCell ref="F4:K4"/>
    <mergeCell ref="N52:O52"/>
    <mergeCell ref="B31:G45"/>
    <mergeCell ref="K31:O45"/>
    <mergeCell ref="M49:O49"/>
    <mergeCell ref="M48:O48"/>
    <mergeCell ref="F52:J52"/>
    <mergeCell ref="K52:L52"/>
    <mergeCell ref="K12:O12"/>
    <mergeCell ref="B13:G27"/>
    <mergeCell ref="F48:K48"/>
    <mergeCell ref="C6:J6"/>
    <mergeCell ref="B7:C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142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9" r:id="rId8" name="Check Box 5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0" r:id="rId9" name="Check Box 6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1" r:id="rId10" name="Check Box 7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A1:AM55"/>
  <sheetViews>
    <sheetView showGridLines="0" view="pageBreakPreview" zoomScale="115" zoomScaleNormal="100" zoomScaleSheetLayoutView="115" workbookViewId="0">
      <selection activeCell="B2" sqref="B2:B3"/>
    </sheetView>
  </sheetViews>
  <sheetFormatPr baseColWidth="10" defaultColWidth="3.28515625" defaultRowHeight="12.75" x14ac:dyDescent="0.2"/>
  <cols>
    <col min="1" max="1" width="3.28515625" customWidth="1"/>
    <col min="2" max="2" width="19.42578125" customWidth="1"/>
    <col min="3" max="3" width="9" customWidth="1"/>
    <col min="4" max="4" width="10.140625" customWidth="1"/>
    <col min="5" max="8" width="6.7109375" customWidth="1"/>
    <col min="9" max="9" width="10.5703125" customWidth="1"/>
    <col min="10" max="10" width="9.5703125" customWidth="1"/>
    <col min="11" max="11" width="8.42578125" customWidth="1"/>
    <col min="12" max="12" width="6.85546875" customWidth="1"/>
    <col min="13" max="13" width="3.28515625" customWidth="1"/>
    <col min="14" max="253" width="11.42578125" customWidth="1"/>
  </cols>
  <sheetData>
    <row r="1" spans="1:22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22" ht="27.75" customHeight="1" x14ac:dyDescent="0.45">
      <c r="A2" s="38"/>
      <c r="B2" s="277"/>
      <c r="C2" s="283" t="s">
        <v>155</v>
      </c>
      <c r="D2" s="284"/>
      <c r="E2" s="284"/>
      <c r="F2" s="284"/>
      <c r="G2" s="284"/>
      <c r="H2" s="284"/>
      <c r="I2" s="284"/>
      <c r="J2" s="262" t="s">
        <v>52</v>
      </c>
      <c r="K2" s="263"/>
      <c r="L2" s="264"/>
      <c r="M2" s="38"/>
    </row>
    <row r="3" spans="1:22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65"/>
      <c r="K3" s="266"/>
      <c r="L3" s="267"/>
      <c r="M3" s="38"/>
    </row>
    <row r="4" spans="1:22" ht="18.75" x14ac:dyDescent="0.45">
      <c r="A4" s="38"/>
      <c r="B4" s="61" t="s">
        <v>53</v>
      </c>
      <c r="C4" s="279">
        <f>DATOS!AE7</f>
        <v>0</v>
      </c>
      <c r="D4" s="279"/>
      <c r="E4" s="282"/>
      <c r="F4" s="282"/>
      <c r="G4" s="282"/>
      <c r="H4" s="282"/>
      <c r="I4" s="62" t="s">
        <v>48</v>
      </c>
      <c r="J4" s="63" t="s">
        <v>143</v>
      </c>
      <c r="K4" s="63"/>
      <c r="L4" s="64"/>
      <c r="M4" s="38"/>
    </row>
    <row r="5" spans="1:22" ht="18.75" x14ac:dyDescent="0.45">
      <c r="A5" s="38"/>
      <c r="B5" s="65" t="s">
        <v>7</v>
      </c>
      <c r="C5" s="66">
        <f>DATOS!E9</f>
        <v>0</v>
      </c>
      <c r="D5" s="67"/>
      <c r="E5" s="68"/>
      <c r="F5" s="68"/>
      <c r="G5" s="68"/>
      <c r="H5" s="68"/>
      <c r="I5" s="68"/>
      <c r="J5" s="68"/>
      <c r="K5" s="68"/>
      <c r="L5" s="69"/>
      <c r="M5" s="36"/>
      <c r="N5" s="14"/>
      <c r="O5" s="14"/>
      <c r="P5" s="14"/>
    </row>
    <row r="6" spans="1:22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72"/>
      <c r="J6" s="71"/>
      <c r="K6" s="71"/>
      <c r="L6" s="73"/>
      <c r="M6" s="38"/>
      <c r="O6" s="6"/>
      <c r="P6" s="8"/>
      <c r="Q6" s="8"/>
      <c r="R6" s="8"/>
      <c r="S6" s="8"/>
      <c r="T6" s="8"/>
    </row>
    <row r="7" spans="1:22" ht="15" customHeight="1" x14ac:dyDescent="0.45">
      <c r="A7" s="38"/>
      <c r="B7" s="281" t="s">
        <v>56</v>
      </c>
      <c r="C7" s="282"/>
      <c r="D7" s="79" t="s">
        <v>57</v>
      </c>
      <c r="E7" s="74"/>
      <c r="F7" s="74"/>
      <c r="G7" s="79"/>
      <c r="H7" s="79"/>
      <c r="I7" s="79"/>
      <c r="J7" s="79" t="s">
        <v>58</v>
      </c>
      <c r="K7" s="79"/>
      <c r="L7" s="75"/>
      <c r="M7" s="38"/>
      <c r="O7" s="6"/>
      <c r="P7" s="8"/>
      <c r="Q7" s="8"/>
      <c r="R7" s="8"/>
      <c r="S7" s="8"/>
      <c r="T7" s="8"/>
    </row>
    <row r="8" spans="1:22" ht="15" customHeight="1" x14ac:dyDescent="0.45">
      <c r="A8" s="38"/>
      <c r="B8" s="80"/>
      <c r="C8" s="81"/>
      <c r="D8" s="67" t="s">
        <v>59</v>
      </c>
      <c r="E8" s="81"/>
      <c r="F8" s="81"/>
      <c r="G8" s="67"/>
      <c r="H8" s="67"/>
      <c r="I8" s="67"/>
      <c r="J8" s="67" t="s">
        <v>60</v>
      </c>
      <c r="K8" s="67"/>
      <c r="L8" s="82"/>
      <c r="M8" s="38"/>
      <c r="O8" s="6"/>
      <c r="P8" s="8"/>
      <c r="Q8" s="8"/>
      <c r="R8" s="8"/>
      <c r="S8" s="8"/>
      <c r="T8" s="8"/>
    </row>
    <row r="9" spans="1:22" ht="15" customHeight="1" x14ac:dyDescent="0.45">
      <c r="A9" s="38"/>
      <c r="B9" s="84"/>
      <c r="C9" s="67"/>
      <c r="D9" s="67" t="s">
        <v>61</v>
      </c>
      <c r="E9" s="67"/>
      <c r="F9" s="67"/>
      <c r="G9" s="67"/>
      <c r="H9" s="67"/>
      <c r="I9" s="67"/>
      <c r="J9" s="67" t="s">
        <v>62</v>
      </c>
      <c r="K9" s="67"/>
      <c r="L9" s="82"/>
      <c r="M9" s="38"/>
      <c r="O9" s="6"/>
      <c r="P9" s="8"/>
      <c r="Q9" s="8"/>
      <c r="R9" s="8"/>
      <c r="S9" s="8"/>
      <c r="T9" s="8"/>
    </row>
    <row r="10" spans="1:22" ht="15" customHeight="1" x14ac:dyDescent="0.45">
      <c r="A10" s="38"/>
      <c r="B10" s="86"/>
      <c r="C10" s="87"/>
      <c r="D10" s="87" t="s">
        <v>63</v>
      </c>
      <c r="E10" s="87"/>
      <c r="F10" s="87"/>
      <c r="G10" s="87"/>
      <c r="H10" s="87"/>
      <c r="I10" s="87"/>
      <c r="J10" s="87"/>
      <c r="K10" s="87"/>
      <c r="L10" s="88"/>
      <c r="M10" s="38"/>
      <c r="O10" s="6"/>
      <c r="P10" s="8"/>
      <c r="Q10" s="8"/>
      <c r="R10" s="8"/>
      <c r="S10" s="8"/>
      <c r="T10" s="8"/>
    </row>
    <row r="11" spans="1:22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38"/>
      <c r="O11" s="6"/>
      <c r="P11" s="8"/>
      <c r="Q11" s="8"/>
      <c r="R11" s="8"/>
      <c r="S11" s="8"/>
      <c r="T11" s="8"/>
    </row>
    <row r="12" spans="1:22" ht="15" customHeight="1" x14ac:dyDescent="0.45">
      <c r="A12" s="38"/>
      <c r="B12" s="67"/>
      <c r="C12" s="81"/>
      <c r="D12" s="81"/>
      <c r="E12" s="81"/>
      <c r="F12" s="81"/>
      <c r="G12" s="81"/>
      <c r="H12" s="81"/>
      <c r="I12" s="81"/>
      <c r="J12" s="81"/>
      <c r="K12" s="67"/>
      <c r="L12" s="67"/>
      <c r="M12" s="38"/>
      <c r="O12" s="6"/>
      <c r="P12" s="8"/>
      <c r="Q12" s="8"/>
      <c r="R12" s="8"/>
      <c r="S12" s="8"/>
      <c r="T12" s="8"/>
    </row>
    <row r="13" spans="1:22" ht="15" customHeight="1" x14ac:dyDescent="0.45">
      <c r="A13" s="38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38"/>
    </row>
    <row r="14" spans="1:22" ht="15" customHeight="1" x14ac:dyDescent="0.45">
      <c r="A14" s="38"/>
      <c r="B14" s="81"/>
      <c r="C14" s="114"/>
      <c r="D14" s="114"/>
      <c r="E14" s="114"/>
      <c r="F14" s="114"/>
      <c r="G14" s="114"/>
      <c r="H14" s="114"/>
      <c r="I14" s="114"/>
      <c r="J14" s="114"/>
      <c r="K14" s="81"/>
      <c r="L14" s="81"/>
      <c r="M14" s="38"/>
      <c r="P14" s="15" t="s">
        <v>148</v>
      </c>
      <c r="Q14" s="15"/>
      <c r="R14" s="15"/>
      <c r="S14" s="15"/>
      <c r="T14" s="15"/>
      <c r="U14" s="15"/>
      <c r="V14" s="15"/>
    </row>
    <row r="15" spans="1:22" ht="13.5" customHeight="1" x14ac:dyDescent="0.45">
      <c r="A15" s="38"/>
      <c r="B15" s="81"/>
      <c r="C15" s="114"/>
      <c r="D15" s="114"/>
      <c r="E15" s="114"/>
      <c r="F15" s="114"/>
      <c r="G15" s="114"/>
      <c r="H15" s="114"/>
      <c r="I15" s="114"/>
      <c r="J15" s="114"/>
      <c r="K15" s="81"/>
      <c r="L15" s="81"/>
      <c r="M15" s="38"/>
      <c r="P15" s="16"/>
      <c r="Q15" s="16"/>
      <c r="R15" s="16"/>
      <c r="S15" s="16"/>
      <c r="T15" s="16"/>
      <c r="U15" s="16"/>
      <c r="V15" s="16"/>
    </row>
    <row r="16" spans="1:22" ht="13.5" customHeight="1" x14ac:dyDescent="0.45">
      <c r="A16" s="38"/>
      <c r="B16" s="81"/>
      <c r="C16" s="114"/>
      <c r="D16" s="114"/>
      <c r="E16" s="114"/>
      <c r="F16" s="114"/>
      <c r="G16" s="114"/>
      <c r="H16" s="114"/>
      <c r="I16" s="114"/>
      <c r="J16" s="114"/>
      <c r="K16" s="81"/>
      <c r="L16" s="81"/>
      <c r="M16" s="38"/>
      <c r="P16" s="16"/>
      <c r="Q16" s="16"/>
      <c r="R16" s="16"/>
      <c r="S16" s="16"/>
      <c r="T16" s="16"/>
      <c r="U16" s="16"/>
      <c r="V16" s="16"/>
    </row>
    <row r="17" spans="1:22" ht="13.5" customHeight="1" x14ac:dyDescent="0.45">
      <c r="A17" s="38"/>
      <c r="B17" s="81"/>
      <c r="C17" s="114"/>
      <c r="D17" s="114"/>
      <c r="E17" s="114"/>
      <c r="F17" s="114"/>
      <c r="G17" s="114"/>
      <c r="H17" s="114"/>
      <c r="I17" s="114"/>
      <c r="J17" s="114"/>
      <c r="K17" s="81"/>
      <c r="L17" s="81"/>
      <c r="M17" s="38"/>
      <c r="P17" s="16"/>
      <c r="Q17" s="16"/>
      <c r="R17" s="16"/>
      <c r="S17" s="16"/>
      <c r="T17" s="16"/>
      <c r="U17" s="16"/>
      <c r="V17" s="16"/>
    </row>
    <row r="18" spans="1:22" ht="13.5" customHeight="1" x14ac:dyDescent="0.45">
      <c r="A18" s="38"/>
      <c r="B18" s="81"/>
      <c r="C18" s="114"/>
      <c r="D18" s="114"/>
      <c r="E18" s="114"/>
      <c r="F18" s="114"/>
      <c r="G18" s="114"/>
      <c r="H18" s="114"/>
      <c r="I18" s="114"/>
      <c r="J18" s="114"/>
      <c r="K18" s="81"/>
      <c r="L18" s="81"/>
      <c r="M18" s="38"/>
      <c r="P18" s="16"/>
      <c r="Q18" s="16"/>
      <c r="R18" s="16"/>
      <c r="S18" s="16"/>
      <c r="T18" s="16"/>
      <c r="U18" s="16"/>
      <c r="V18" s="16"/>
    </row>
    <row r="19" spans="1:22" ht="13.5" customHeight="1" x14ac:dyDescent="0.45">
      <c r="A19" s="38"/>
      <c r="B19" s="81"/>
      <c r="C19" s="114"/>
      <c r="D19" s="114"/>
      <c r="E19" s="114"/>
      <c r="F19" s="114"/>
      <c r="G19" s="114"/>
      <c r="H19" s="114"/>
      <c r="I19" s="114"/>
      <c r="J19" s="114"/>
      <c r="K19" s="81"/>
      <c r="L19" s="81"/>
      <c r="M19" s="38"/>
      <c r="P19" s="16"/>
      <c r="Q19" s="16"/>
      <c r="R19" s="16"/>
      <c r="S19" s="16"/>
      <c r="T19" s="16"/>
      <c r="U19" s="16"/>
      <c r="V19" s="16"/>
    </row>
    <row r="20" spans="1:22" ht="13.5" customHeight="1" x14ac:dyDescent="0.45">
      <c r="A20" s="38"/>
      <c r="B20" s="81"/>
      <c r="C20" s="114"/>
      <c r="D20" s="114"/>
      <c r="E20" s="114"/>
      <c r="F20" s="114"/>
      <c r="G20" s="114"/>
      <c r="H20" s="114"/>
      <c r="I20" s="114"/>
      <c r="J20" s="114"/>
      <c r="K20" s="81"/>
      <c r="L20" s="81"/>
      <c r="M20" s="38"/>
      <c r="P20" s="16"/>
      <c r="Q20" s="16"/>
      <c r="R20" s="16"/>
      <c r="S20" s="16"/>
      <c r="T20" s="16"/>
      <c r="U20" s="16"/>
      <c r="V20" s="16"/>
    </row>
    <row r="21" spans="1:22" ht="13.5" customHeight="1" x14ac:dyDescent="0.45">
      <c r="A21" s="38"/>
      <c r="B21" s="81"/>
      <c r="C21" s="114"/>
      <c r="D21" s="114"/>
      <c r="E21" s="114"/>
      <c r="F21" s="114"/>
      <c r="G21" s="114"/>
      <c r="H21" s="114"/>
      <c r="I21" s="114"/>
      <c r="J21" s="114"/>
      <c r="K21" s="81"/>
      <c r="L21" s="81"/>
      <c r="M21" s="38"/>
      <c r="P21" s="16"/>
      <c r="Q21" s="16"/>
      <c r="R21" s="16"/>
      <c r="S21" s="16"/>
      <c r="T21" s="16"/>
      <c r="U21" s="16"/>
      <c r="V21" s="16"/>
    </row>
    <row r="22" spans="1:22" ht="13.5" customHeight="1" x14ac:dyDescent="0.45">
      <c r="A22" s="38"/>
      <c r="B22" s="81"/>
      <c r="C22" s="114"/>
      <c r="D22" s="114"/>
      <c r="E22" s="114"/>
      <c r="F22" s="114"/>
      <c r="G22" s="114"/>
      <c r="H22" s="114"/>
      <c r="I22" s="114"/>
      <c r="J22" s="114"/>
      <c r="K22" s="81"/>
      <c r="L22" s="81"/>
      <c r="M22" s="38"/>
      <c r="P22" s="16"/>
      <c r="Q22" s="16"/>
      <c r="R22" s="16"/>
      <c r="S22" s="16"/>
      <c r="T22" s="16"/>
      <c r="U22" s="16"/>
      <c r="V22" s="16"/>
    </row>
    <row r="23" spans="1:22" ht="13.5" customHeight="1" x14ac:dyDescent="0.45">
      <c r="A23" s="38"/>
      <c r="B23" s="81"/>
      <c r="C23" s="114"/>
      <c r="D23" s="114"/>
      <c r="E23" s="114"/>
      <c r="F23" s="114"/>
      <c r="G23" s="114"/>
      <c r="H23" s="114"/>
      <c r="I23" s="114"/>
      <c r="J23" s="114"/>
      <c r="K23" s="81"/>
      <c r="L23" s="81"/>
      <c r="M23" s="38"/>
      <c r="P23" s="16"/>
      <c r="Q23" s="16"/>
      <c r="R23" s="16"/>
      <c r="S23" s="16"/>
      <c r="T23" s="16"/>
      <c r="U23" s="16"/>
      <c r="V23" s="16"/>
    </row>
    <row r="24" spans="1:22" ht="13.5" customHeight="1" x14ac:dyDescent="0.45">
      <c r="A24" s="38"/>
      <c r="B24" s="81"/>
      <c r="C24" s="114"/>
      <c r="D24" s="114"/>
      <c r="E24" s="114"/>
      <c r="F24" s="114"/>
      <c r="G24" s="114"/>
      <c r="H24" s="114"/>
      <c r="I24" s="114"/>
      <c r="J24" s="114"/>
      <c r="K24" s="81"/>
      <c r="L24" s="81"/>
      <c r="M24" s="38"/>
      <c r="P24" s="16"/>
      <c r="Q24" s="16"/>
      <c r="R24" s="16"/>
      <c r="S24" s="16"/>
      <c r="T24" s="16"/>
      <c r="U24" s="16"/>
      <c r="V24" s="16"/>
    </row>
    <row r="25" spans="1:22" ht="13.5" customHeight="1" x14ac:dyDescent="0.45">
      <c r="A25" s="38"/>
      <c r="B25" s="81"/>
      <c r="C25" s="114"/>
      <c r="D25" s="114"/>
      <c r="E25" s="114"/>
      <c r="F25" s="114"/>
      <c r="G25" s="114"/>
      <c r="H25" s="114"/>
      <c r="I25" s="114"/>
      <c r="J25" s="114"/>
      <c r="K25" s="81"/>
      <c r="L25" s="81"/>
      <c r="M25" s="38"/>
      <c r="P25" s="16"/>
      <c r="Q25" s="16"/>
      <c r="R25" s="16"/>
      <c r="S25" s="16"/>
      <c r="T25" s="16"/>
      <c r="U25" s="16"/>
      <c r="V25" s="16"/>
    </row>
    <row r="26" spans="1:22" ht="13.5" customHeight="1" x14ac:dyDescent="0.45">
      <c r="A26" s="38"/>
      <c r="B26" s="81"/>
      <c r="C26" s="114"/>
      <c r="D26" s="114"/>
      <c r="E26" s="114"/>
      <c r="F26" s="114"/>
      <c r="G26" s="114"/>
      <c r="H26" s="114"/>
      <c r="I26" s="114"/>
      <c r="J26" s="114"/>
      <c r="K26" s="81"/>
      <c r="L26" s="81"/>
      <c r="M26" s="38"/>
      <c r="P26" s="16"/>
      <c r="Q26" s="16"/>
      <c r="R26" s="16"/>
      <c r="S26" s="16"/>
      <c r="T26" s="16"/>
      <c r="U26" s="16"/>
      <c r="V26" s="16"/>
    </row>
    <row r="27" spans="1:22" ht="13.5" customHeight="1" x14ac:dyDescent="0.45">
      <c r="A27" s="38"/>
      <c r="B27" s="81"/>
      <c r="C27" s="114"/>
      <c r="D27" s="114"/>
      <c r="E27" s="114"/>
      <c r="F27" s="114"/>
      <c r="G27" s="114"/>
      <c r="H27" s="114"/>
      <c r="I27" s="114"/>
      <c r="J27" s="114"/>
      <c r="K27" s="81"/>
      <c r="L27" s="81"/>
      <c r="M27" s="38"/>
      <c r="P27" s="16"/>
      <c r="Q27" s="16"/>
      <c r="R27" s="16"/>
      <c r="S27" s="16"/>
      <c r="T27" s="16"/>
      <c r="U27" s="16"/>
      <c r="V27" s="16"/>
    </row>
    <row r="28" spans="1:22" ht="13.5" customHeight="1" x14ac:dyDescent="0.45">
      <c r="A28" s="38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38"/>
      <c r="P28" s="16"/>
      <c r="Q28" s="16"/>
      <c r="R28" s="16"/>
      <c r="S28" s="16"/>
      <c r="T28" s="16"/>
      <c r="U28" s="16"/>
      <c r="V28" s="16"/>
    </row>
    <row r="29" spans="1:22" ht="13.5" customHeight="1" x14ac:dyDescent="0.45">
      <c r="A29" s="38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38"/>
      <c r="P29" s="16"/>
      <c r="Q29" s="16"/>
      <c r="R29" s="16"/>
      <c r="S29" s="16"/>
      <c r="T29" s="16"/>
      <c r="U29" s="16"/>
      <c r="V29" s="16"/>
    </row>
    <row r="30" spans="1:22" ht="15" customHeight="1" x14ac:dyDescent="0.45">
      <c r="A30" s="38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38"/>
      <c r="P30" s="16"/>
      <c r="Q30" s="16"/>
      <c r="R30" s="16"/>
      <c r="S30" s="16"/>
      <c r="T30" s="16"/>
      <c r="U30" s="16"/>
      <c r="V30" s="16"/>
    </row>
    <row r="31" spans="1:22" ht="13.5" customHeight="1" x14ac:dyDescent="0.45">
      <c r="A31" s="38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38"/>
      <c r="P31" s="16"/>
      <c r="Q31" s="16"/>
      <c r="R31" s="16"/>
      <c r="S31" s="16"/>
      <c r="T31" s="16"/>
      <c r="U31" s="16"/>
      <c r="V31" s="16"/>
    </row>
    <row r="32" spans="1:22" ht="13.5" customHeight="1" x14ac:dyDescent="0.45">
      <c r="A32" s="38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38"/>
      <c r="P32" s="16"/>
      <c r="Q32" s="16"/>
      <c r="R32" s="16"/>
      <c r="S32" s="16"/>
      <c r="T32" s="16"/>
      <c r="U32" s="16"/>
      <c r="V32" s="16"/>
    </row>
    <row r="33" spans="1:30" ht="13.5" customHeight="1" x14ac:dyDescent="0.45">
      <c r="A33" s="38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38"/>
      <c r="P33" s="16"/>
      <c r="Q33" s="16"/>
      <c r="R33" s="16"/>
      <c r="S33" s="16"/>
      <c r="T33" s="16"/>
      <c r="U33" s="16"/>
      <c r="V33" s="16"/>
    </row>
    <row r="34" spans="1:30" ht="13.5" customHeight="1" x14ac:dyDescent="0.45">
      <c r="A34" s="38"/>
      <c r="B34" s="81"/>
      <c r="C34" s="81"/>
      <c r="D34" s="81"/>
      <c r="E34" s="404">
        <v>1</v>
      </c>
      <c r="F34" s="405"/>
      <c r="G34" s="404">
        <v>2</v>
      </c>
      <c r="H34" s="405"/>
      <c r="I34" s="81"/>
      <c r="J34" s="81"/>
      <c r="K34" s="81"/>
      <c r="L34" s="81"/>
      <c r="M34" s="38"/>
      <c r="P34" s="16"/>
      <c r="Q34" s="16"/>
      <c r="R34" s="16"/>
      <c r="S34" s="16"/>
      <c r="T34" s="16"/>
      <c r="U34" s="16"/>
      <c r="V34" s="16"/>
    </row>
    <row r="35" spans="1:30" ht="13.5" customHeight="1" x14ac:dyDescent="0.45">
      <c r="A35" s="38"/>
      <c r="B35" s="81"/>
      <c r="C35" s="81"/>
      <c r="D35" s="81"/>
      <c r="E35" s="156" t="s">
        <v>69</v>
      </c>
      <c r="F35" s="157" t="s">
        <v>70</v>
      </c>
      <c r="G35" s="156" t="s">
        <v>69</v>
      </c>
      <c r="H35" s="157" t="s">
        <v>70</v>
      </c>
      <c r="I35" s="81"/>
      <c r="J35" s="81"/>
      <c r="K35" s="81"/>
      <c r="L35" s="81"/>
      <c r="M35" s="38"/>
      <c r="P35" s="10"/>
      <c r="Q35" s="10"/>
      <c r="R35" s="10"/>
      <c r="S35" s="10"/>
      <c r="T35" s="10"/>
      <c r="U35" s="16"/>
      <c r="V35" s="16"/>
    </row>
    <row r="36" spans="1:30" ht="13.5" customHeight="1" x14ac:dyDescent="0.45">
      <c r="A36" s="38"/>
      <c r="B36" s="81"/>
      <c r="C36" s="81"/>
      <c r="D36" s="158" t="s">
        <v>156</v>
      </c>
      <c r="E36" s="159">
        <v>144.4</v>
      </c>
      <c r="F36" s="160">
        <v>148.4</v>
      </c>
      <c r="G36" s="159">
        <v>55.4</v>
      </c>
      <c r="H36" s="160">
        <v>59.4</v>
      </c>
      <c r="I36" s="81"/>
      <c r="J36" s="81"/>
      <c r="K36" s="81"/>
      <c r="L36" s="81"/>
      <c r="M36" s="38"/>
      <c r="P36" s="10"/>
      <c r="Q36" s="7"/>
      <c r="R36" s="7"/>
      <c r="S36" s="7"/>
      <c r="T36" s="7"/>
      <c r="U36" s="16"/>
      <c r="V36" s="16"/>
    </row>
    <row r="37" spans="1:30" ht="13.5" customHeight="1" x14ac:dyDescent="0.45">
      <c r="A37" s="38"/>
      <c r="B37" s="81"/>
      <c r="C37" s="81"/>
      <c r="D37" s="161" t="s">
        <v>157</v>
      </c>
      <c r="E37" s="400" t="s">
        <v>158</v>
      </c>
      <c r="F37" s="401"/>
      <c r="G37" s="400" t="s">
        <v>159</v>
      </c>
      <c r="H37" s="401"/>
      <c r="I37" s="81"/>
      <c r="J37" s="81"/>
      <c r="K37" s="81"/>
      <c r="L37" s="81"/>
      <c r="M37" s="38"/>
      <c r="P37" s="10"/>
      <c r="Q37" s="7"/>
      <c r="R37" s="7"/>
      <c r="S37" s="7"/>
      <c r="T37" s="7"/>
      <c r="U37" s="16"/>
      <c r="V37" s="16"/>
    </row>
    <row r="38" spans="1:30" s="6" customFormat="1" ht="15" customHeight="1" x14ac:dyDescent="0.45">
      <c r="A38" s="38"/>
      <c r="B38" s="81"/>
      <c r="C38" s="81"/>
      <c r="D38" s="162" t="s">
        <v>19</v>
      </c>
      <c r="E38" s="406" t="s">
        <v>160</v>
      </c>
      <c r="F38" s="407"/>
      <c r="G38" s="398" t="s">
        <v>161</v>
      </c>
      <c r="H38" s="399"/>
      <c r="I38" s="81"/>
      <c r="J38" s="81"/>
      <c r="K38" s="81"/>
      <c r="L38" s="81"/>
      <c r="M38" s="38"/>
      <c r="P38" s="10"/>
      <c r="Q38" s="10"/>
      <c r="R38" s="10"/>
      <c r="S38" s="10"/>
      <c r="T38" s="10"/>
      <c r="U38" s="16"/>
      <c r="V38" s="16"/>
    </row>
    <row r="39" spans="1:30" s="6" customFormat="1" ht="15" customHeight="1" x14ac:dyDescent="0.45">
      <c r="A39" s="38"/>
      <c r="B39" s="81"/>
      <c r="C39" s="81"/>
      <c r="D39" s="162" t="s">
        <v>162</v>
      </c>
      <c r="E39" s="398" t="s">
        <v>163</v>
      </c>
      <c r="F39" s="399"/>
      <c r="G39" s="398" t="s">
        <v>164</v>
      </c>
      <c r="H39" s="399"/>
      <c r="I39" s="81"/>
      <c r="J39" s="81"/>
      <c r="K39" s="81"/>
      <c r="L39" s="81"/>
      <c r="M39" s="38"/>
      <c r="P39" s="10"/>
      <c r="Q39" s="10"/>
      <c r="R39" s="10"/>
      <c r="S39" s="10"/>
      <c r="T39" s="10"/>
      <c r="U39" s="16"/>
      <c r="V39" s="16"/>
    </row>
    <row r="40" spans="1:30" s="6" customFormat="1" ht="15" customHeight="1" x14ac:dyDescent="0.45">
      <c r="A40" s="38"/>
      <c r="B40" s="81"/>
      <c r="C40" s="81"/>
      <c r="D40" s="163" t="s">
        <v>165</v>
      </c>
      <c r="E40" s="408" t="s">
        <v>160</v>
      </c>
      <c r="F40" s="409"/>
      <c r="G40" s="402" t="s">
        <v>166</v>
      </c>
      <c r="H40" s="403"/>
      <c r="I40" s="81"/>
      <c r="J40" s="81"/>
      <c r="K40" s="81"/>
      <c r="L40" s="81"/>
      <c r="M40" s="38"/>
      <c r="P40" s="10"/>
      <c r="Q40" s="10"/>
      <c r="R40" s="10"/>
      <c r="S40" s="10"/>
      <c r="T40" s="10"/>
      <c r="U40" s="16"/>
      <c r="V40" s="16"/>
    </row>
    <row r="41" spans="1:30" s="6" customFormat="1" ht="15" customHeight="1" x14ac:dyDescent="0.45">
      <c r="A41" s="38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38"/>
      <c r="P41" s="10"/>
      <c r="Q41" s="10"/>
      <c r="R41" s="10"/>
      <c r="S41" s="10"/>
      <c r="T41" s="10"/>
      <c r="U41" s="16"/>
      <c r="V41" s="16"/>
    </row>
    <row r="42" spans="1:30" s="6" customFormat="1" ht="15" customHeight="1" x14ac:dyDescent="0.45">
      <c r="A42" s="38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38"/>
      <c r="P42" s="16"/>
      <c r="Q42" s="16"/>
      <c r="R42" s="16"/>
      <c r="S42" s="16"/>
      <c r="T42" s="16"/>
      <c r="U42" s="16"/>
      <c r="V42" s="16"/>
    </row>
    <row r="43" spans="1:30" s="6" customFormat="1" ht="15" customHeight="1" x14ac:dyDescent="0.45">
      <c r="A43" s="38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38"/>
      <c r="P43" s="16"/>
      <c r="Q43" s="16"/>
      <c r="R43" s="16"/>
      <c r="S43" s="16"/>
      <c r="T43" s="16"/>
      <c r="U43" s="16"/>
      <c r="V43" s="16"/>
    </row>
    <row r="44" spans="1:30" s="6" customFormat="1" ht="15" customHeight="1" x14ac:dyDescent="0.45">
      <c r="A44" s="38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38"/>
      <c r="P44" s="16"/>
      <c r="Q44" s="16"/>
      <c r="R44" s="16"/>
      <c r="S44" s="16"/>
      <c r="T44" s="16"/>
      <c r="U44" s="16"/>
      <c r="V44" s="16"/>
    </row>
    <row r="45" spans="1:30" ht="15" customHeight="1" x14ac:dyDescent="0.45">
      <c r="A45" s="38"/>
      <c r="B45" s="102"/>
      <c r="C45" s="102"/>
      <c r="D45" s="102"/>
      <c r="E45" s="102"/>
      <c r="F45" s="102"/>
      <c r="G45" s="100"/>
      <c r="H45" s="100"/>
      <c r="I45" s="102"/>
      <c r="J45" s="102"/>
      <c r="K45" s="102"/>
      <c r="L45" s="102"/>
      <c r="M45" s="38"/>
    </row>
    <row r="46" spans="1:30" ht="15" customHeight="1" x14ac:dyDescent="0.45">
      <c r="A46" s="38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38"/>
      <c r="S46" s="11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" customHeight="1" x14ac:dyDescent="0.45">
      <c r="A47" s="38"/>
      <c r="B47" s="320" t="s">
        <v>457</v>
      </c>
      <c r="C47" s="320"/>
      <c r="D47" s="101"/>
      <c r="E47" s="320"/>
      <c r="F47" s="320"/>
      <c r="G47" s="320"/>
      <c r="H47" s="320"/>
      <c r="I47" s="101"/>
      <c r="J47" s="320" t="s">
        <v>459</v>
      </c>
      <c r="K47" s="320"/>
      <c r="L47" s="320"/>
      <c r="M47" s="38"/>
    </row>
    <row r="48" spans="1:30" ht="15" customHeight="1" x14ac:dyDescent="0.45">
      <c r="A48" s="38"/>
      <c r="B48" s="395" t="s">
        <v>45</v>
      </c>
      <c r="C48" s="395"/>
      <c r="D48" s="102"/>
      <c r="E48" s="395" t="s">
        <v>46</v>
      </c>
      <c r="F48" s="395"/>
      <c r="G48" s="395"/>
      <c r="H48" s="395"/>
      <c r="I48" s="102"/>
      <c r="J48" s="395" t="s">
        <v>47</v>
      </c>
      <c r="K48" s="395"/>
      <c r="L48" s="395"/>
      <c r="M48" s="38"/>
    </row>
    <row r="49" spans="1:39" ht="15" customHeight="1" x14ac:dyDescent="0.45">
      <c r="A49" s="38"/>
      <c r="B49" s="100"/>
      <c r="C49" s="155"/>
      <c r="D49" s="155"/>
      <c r="E49" s="155"/>
      <c r="F49" s="100"/>
      <c r="G49" s="100"/>
      <c r="H49" s="155"/>
      <c r="I49" s="155"/>
      <c r="J49" s="100"/>
      <c r="K49" s="100"/>
      <c r="L49" s="100"/>
      <c r="M49" s="38"/>
    </row>
    <row r="50" spans="1:39" ht="18.75" x14ac:dyDescent="0.45">
      <c r="A50" s="38"/>
      <c r="B50" s="102"/>
      <c r="C50" s="81"/>
      <c r="D50" s="81"/>
      <c r="E50" s="67"/>
      <c r="F50" s="67"/>
      <c r="G50" s="67"/>
      <c r="H50" s="67"/>
      <c r="I50" s="67"/>
      <c r="J50" s="67"/>
      <c r="K50" s="67"/>
      <c r="L50" s="67"/>
      <c r="M50" s="38"/>
    </row>
    <row r="51" spans="1:39" ht="15.75" customHeight="1" x14ac:dyDescent="0.45">
      <c r="A51" s="38"/>
      <c r="B51" s="327" t="s">
        <v>49</v>
      </c>
      <c r="C51" s="327"/>
      <c r="D51" s="67"/>
      <c r="E51" s="272"/>
      <c r="F51" s="272"/>
      <c r="G51" s="272"/>
      <c r="H51" s="272"/>
      <c r="I51" s="104"/>
      <c r="J51" s="67"/>
      <c r="K51" s="328" t="s">
        <v>167</v>
      </c>
      <c r="L51" s="328"/>
      <c r="M51" s="38"/>
    </row>
    <row r="52" spans="1:39" ht="20.100000000000001" customHeight="1" x14ac:dyDescent="0.4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39" x14ac:dyDescent="0.2"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M53" s="12"/>
    </row>
    <row r="54" spans="1:39" x14ac:dyDescent="0.2"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39" x14ac:dyDescent="0.2"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13"/>
      <c r="AB55" s="13"/>
      <c r="AC55" s="13"/>
    </row>
  </sheetData>
  <mergeCells count="26">
    <mergeCell ref="K51:L51"/>
    <mergeCell ref="B7:C7"/>
    <mergeCell ref="E34:F34"/>
    <mergeCell ref="G34:H34"/>
    <mergeCell ref="E38:F38"/>
    <mergeCell ref="E40:F40"/>
    <mergeCell ref="E37:F37"/>
    <mergeCell ref="J48:L48"/>
    <mergeCell ref="B2:B3"/>
    <mergeCell ref="C2:I3"/>
    <mergeCell ref="G40:H40"/>
    <mergeCell ref="B51:C51"/>
    <mergeCell ref="E51:H51"/>
    <mergeCell ref="E47:H47"/>
    <mergeCell ref="B47:C47"/>
    <mergeCell ref="B48:C48"/>
    <mergeCell ref="E48:H48"/>
    <mergeCell ref="J2:L3"/>
    <mergeCell ref="C4:D4"/>
    <mergeCell ref="E4:H4"/>
    <mergeCell ref="C6:H6"/>
    <mergeCell ref="J47:L47"/>
    <mergeCell ref="E39:F39"/>
    <mergeCell ref="G38:H38"/>
    <mergeCell ref="G39:H39"/>
    <mergeCell ref="G37:H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13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25" r:id="rId4" name="Check Box 49">
              <controlPr defaultSize="0" autoFill="0" autoLine="0" autoPict="0">
                <anchor moveWithCells="1">
                  <from>
                    <xdr:col>2</xdr:col>
                    <xdr:colOff>400050</xdr:colOff>
                    <xdr:row>6</xdr:row>
                    <xdr:rowOff>9525</xdr:rowOff>
                  </from>
                  <to>
                    <xdr:col>2</xdr:col>
                    <xdr:colOff>581025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7" r:id="rId5" name="Check Box 51">
              <controlPr defaultSize="0" autoFill="0" autoLine="0" autoPict="0">
                <anchor moveWithCells="1">
                  <from>
                    <xdr:col>2</xdr:col>
                    <xdr:colOff>400050</xdr:colOff>
                    <xdr:row>7</xdr:row>
                    <xdr:rowOff>9525</xdr:rowOff>
                  </from>
                  <to>
                    <xdr:col>2</xdr:col>
                    <xdr:colOff>581025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8" r:id="rId6" name="Check Box 52">
              <controlPr defaultSize="0" autoFill="0" autoLine="0" autoPict="0">
                <anchor moveWithCells="1">
                  <from>
                    <xdr:col>2</xdr:col>
                    <xdr:colOff>400050</xdr:colOff>
                    <xdr:row>8</xdr:row>
                    <xdr:rowOff>9525</xdr:rowOff>
                  </from>
                  <to>
                    <xdr:col>2</xdr:col>
                    <xdr:colOff>581025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9" r:id="rId7" name="Check Box 53">
              <controlPr defaultSize="0" autoFill="0" autoLine="0" autoPict="0">
                <anchor moveWithCells="1">
                  <from>
                    <xdr:col>2</xdr:col>
                    <xdr:colOff>400050</xdr:colOff>
                    <xdr:row>9</xdr:row>
                    <xdr:rowOff>9525</xdr:rowOff>
                  </from>
                  <to>
                    <xdr:col>2</xdr:col>
                    <xdr:colOff>581025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0" r:id="rId8" name="Check Box 54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561975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1" r:id="rId9" name="Check Box 55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561975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2" r:id="rId10" name="Check Box 56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561975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/>
  <dimension ref="A1:AN56"/>
  <sheetViews>
    <sheetView showGridLines="0" view="pageBreakPreview" zoomScale="86" zoomScaleNormal="154" zoomScaleSheetLayoutView="86" workbookViewId="0">
      <selection activeCell="B2" sqref="B2:B3"/>
    </sheetView>
  </sheetViews>
  <sheetFormatPr baseColWidth="10" defaultColWidth="11.42578125" defaultRowHeight="12.75" x14ac:dyDescent="0.2"/>
  <cols>
    <col min="1" max="1" width="3.28515625" customWidth="1"/>
    <col min="2" max="2" width="19.28515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14.7109375" customWidth="1"/>
    <col min="13" max="13" width="13.28515625" customWidth="1"/>
    <col min="14" max="14" width="3.28515625" customWidth="1"/>
  </cols>
  <sheetData>
    <row r="1" spans="1:23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23" ht="27.75" customHeight="1" x14ac:dyDescent="0.45">
      <c r="A2" s="38"/>
      <c r="B2" s="277"/>
      <c r="C2" s="283" t="s">
        <v>168</v>
      </c>
      <c r="D2" s="284"/>
      <c r="E2" s="284"/>
      <c r="F2" s="284"/>
      <c r="G2" s="284"/>
      <c r="H2" s="284"/>
      <c r="I2" s="284"/>
      <c r="J2" s="284"/>
      <c r="K2" s="284"/>
      <c r="L2" s="262" t="s">
        <v>52</v>
      </c>
      <c r="M2" s="264"/>
      <c r="N2" s="38"/>
    </row>
    <row r="3" spans="1:23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65"/>
      <c r="M3" s="267"/>
      <c r="N3" s="38"/>
    </row>
    <row r="4" spans="1:23" ht="18.75" x14ac:dyDescent="0.45">
      <c r="A4" s="38"/>
      <c r="B4" s="61" t="s">
        <v>53</v>
      </c>
      <c r="C4" s="279"/>
      <c r="D4" s="279"/>
      <c r="E4" s="279"/>
      <c r="F4" s="282"/>
      <c r="G4" s="282"/>
      <c r="H4" s="282"/>
      <c r="I4" s="282"/>
      <c r="J4" s="282"/>
      <c r="K4" s="62" t="s">
        <v>48</v>
      </c>
      <c r="L4" s="63"/>
      <c r="M4" s="64"/>
      <c r="N4" s="38"/>
    </row>
    <row r="5" spans="1:23" ht="18.75" x14ac:dyDescent="0.45">
      <c r="A5" s="38"/>
      <c r="B5" s="65" t="s">
        <v>7</v>
      </c>
      <c r="C5" s="66">
        <f>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9"/>
      <c r="N5" s="36"/>
      <c r="O5" s="14"/>
      <c r="P5" s="14"/>
      <c r="Q5" s="14"/>
    </row>
    <row r="6" spans="1:23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71"/>
      <c r="K6" s="72"/>
      <c r="L6" s="71"/>
      <c r="M6" s="94"/>
      <c r="N6" s="38"/>
      <c r="P6" s="6"/>
      <c r="Q6" s="8"/>
      <c r="R6" s="8"/>
      <c r="S6" s="8"/>
      <c r="T6" s="8"/>
      <c r="U6" s="8"/>
    </row>
    <row r="7" spans="1:23" ht="15" customHeight="1" x14ac:dyDescent="0.45">
      <c r="A7" s="38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 t="s">
        <v>58</v>
      </c>
      <c r="M7" s="75"/>
      <c r="N7" s="38"/>
      <c r="P7" s="6"/>
      <c r="Q7" s="8"/>
      <c r="R7" s="8"/>
      <c r="S7" s="8"/>
      <c r="T7" s="8"/>
      <c r="U7" s="8"/>
    </row>
    <row r="8" spans="1:23" ht="15" customHeight="1" x14ac:dyDescent="0.45">
      <c r="A8" s="38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 t="s">
        <v>60</v>
      </c>
      <c r="M8" s="82"/>
      <c r="N8" s="38"/>
      <c r="P8" s="6"/>
      <c r="Q8" s="8"/>
      <c r="R8" s="8"/>
      <c r="S8" s="8"/>
      <c r="T8" s="8"/>
      <c r="U8" s="8"/>
    </row>
    <row r="9" spans="1:23" ht="15" customHeight="1" x14ac:dyDescent="0.45">
      <c r="A9" s="38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 t="s">
        <v>62</v>
      </c>
      <c r="M9" s="82"/>
      <c r="N9" s="38"/>
      <c r="P9" s="6"/>
      <c r="Q9" s="8"/>
      <c r="R9" s="8"/>
      <c r="S9" s="8"/>
      <c r="T9" s="8"/>
      <c r="U9" s="8"/>
    </row>
    <row r="10" spans="1:23" ht="15" customHeight="1" x14ac:dyDescent="0.45">
      <c r="A10" s="38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8"/>
      <c r="N10" s="38"/>
      <c r="P10" s="6"/>
      <c r="Q10" s="8"/>
      <c r="R10" s="8"/>
      <c r="S10" s="8"/>
      <c r="T10" s="8"/>
      <c r="U10" s="8"/>
    </row>
    <row r="11" spans="1:23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38"/>
      <c r="P11" s="6"/>
      <c r="Q11" s="8"/>
      <c r="R11" s="8"/>
      <c r="S11" s="8"/>
      <c r="T11" s="8"/>
      <c r="U11" s="8"/>
    </row>
    <row r="12" spans="1:23" ht="15" customHeight="1" x14ac:dyDescent="0.45">
      <c r="A12" s="38"/>
      <c r="B12" s="67"/>
      <c r="C12" s="259" t="s">
        <v>169</v>
      </c>
      <c r="D12" s="260"/>
      <c r="E12" s="260"/>
      <c r="F12" s="260"/>
      <c r="G12" s="260"/>
      <c r="H12" s="260"/>
      <c r="I12" s="260"/>
      <c r="J12" s="260"/>
      <c r="K12" s="260"/>
      <c r="L12" s="261"/>
      <c r="M12" s="67"/>
      <c r="N12" s="38"/>
      <c r="P12" s="6"/>
      <c r="Q12" s="8"/>
      <c r="R12" s="8"/>
      <c r="S12" s="8"/>
      <c r="T12" s="8"/>
      <c r="U12" s="8"/>
    </row>
    <row r="13" spans="1:23" ht="15" customHeight="1" x14ac:dyDescent="0.45">
      <c r="A13" s="38"/>
      <c r="B13" s="114"/>
      <c r="C13" s="386"/>
      <c r="D13" s="385"/>
      <c r="E13" s="385"/>
      <c r="F13" s="385"/>
      <c r="G13" s="385"/>
      <c r="H13" s="385"/>
      <c r="I13" s="385"/>
      <c r="J13" s="385"/>
      <c r="K13" s="385"/>
      <c r="L13" s="387"/>
      <c r="M13" s="114"/>
      <c r="N13" s="38"/>
    </row>
    <row r="14" spans="1:23" ht="15" customHeight="1" x14ac:dyDescent="0.45">
      <c r="A14" s="38"/>
      <c r="B14" s="81"/>
      <c r="C14" s="388"/>
      <c r="D14" s="356"/>
      <c r="E14" s="356"/>
      <c r="F14" s="356"/>
      <c r="G14" s="356"/>
      <c r="H14" s="356"/>
      <c r="I14" s="356"/>
      <c r="J14" s="356"/>
      <c r="K14" s="356"/>
      <c r="L14" s="389"/>
      <c r="M14" s="81"/>
      <c r="N14" s="38"/>
      <c r="Q14" s="15" t="s">
        <v>148</v>
      </c>
      <c r="R14" s="15"/>
      <c r="S14" s="15"/>
      <c r="T14" s="15"/>
      <c r="U14" s="15"/>
      <c r="V14" s="15"/>
      <c r="W14" s="15"/>
    </row>
    <row r="15" spans="1:23" ht="13.5" customHeight="1" x14ac:dyDescent="0.45">
      <c r="A15" s="38"/>
      <c r="B15" s="81"/>
      <c r="C15" s="388"/>
      <c r="D15" s="356"/>
      <c r="E15" s="356"/>
      <c r="F15" s="356"/>
      <c r="G15" s="356"/>
      <c r="H15" s="356"/>
      <c r="I15" s="356"/>
      <c r="J15" s="356"/>
      <c r="K15" s="356"/>
      <c r="L15" s="389"/>
      <c r="M15" s="81"/>
      <c r="N15" s="38"/>
      <c r="Q15" s="16"/>
      <c r="R15" s="16"/>
      <c r="S15" s="16"/>
      <c r="T15" s="16"/>
      <c r="U15" s="16"/>
      <c r="V15" s="16"/>
      <c r="W15" s="16"/>
    </row>
    <row r="16" spans="1:23" ht="13.5" customHeight="1" x14ac:dyDescent="0.45">
      <c r="A16" s="38"/>
      <c r="B16" s="81"/>
      <c r="C16" s="388"/>
      <c r="D16" s="356"/>
      <c r="E16" s="356"/>
      <c r="F16" s="356"/>
      <c r="G16" s="356"/>
      <c r="H16" s="356"/>
      <c r="I16" s="356"/>
      <c r="J16" s="356"/>
      <c r="K16" s="356"/>
      <c r="L16" s="389"/>
      <c r="M16" s="81"/>
      <c r="N16" s="38"/>
      <c r="Q16" s="16"/>
      <c r="R16" s="16"/>
      <c r="S16" s="16"/>
      <c r="T16" s="16"/>
      <c r="U16" s="16"/>
      <c r="V16" s="16"/>
      <c r="W16" s="16"/>
    </row>
    <row r="17" spans="1:23" ht="13.5" customHeight="1" x14ac:dyDescent="0.45">
      <c r="A17" s="38"/>
      <c r="B17" s="81"/>
      <c r="C17" s="388"/>
      <c r="D17" s="356"/>
      <c r="E17" s="356"/>
      <c r="F17" s="356"/>
      <c r="G17" s="356"/>
      <c r="H17" s="356"/>
      <c r="I17" s="356"/>
      <c r="J17" s="356"/>
      <c r="K17" s="356"/>
      <c r="L17" s="389"/>
      <c r="M17" s="81"/>
      <c r="N17" s="38"/>
      <c r="Q17" s="16"/>
      <c r="R17" s="16"/>
      <c r="S17" s="16"/>
      <c r="T17" s="16"/>
      <c r="U17" s="16"/>
      <c r="V17" s="16"/>
      <c r="W17" s="16"/>
    </row>
    <row r="18" spans="1:23" ht="13.5" customHeight="1" x14ac:dyDescent="0.45">
      <c r="A18" s="38"/>
      <c r="B18" s="81"/>
      <c r="C18" s="388"/>
      <c r="D18" s="356"/>
      <c r="E18" s="356"/>
      <c r="F18" s="356"/>
      <c r="G18" s="356"/>
      <c r="H18" s="356"/>
      <c r="I18" s="356"/>
      <c r="J18" s="356"/>
      <c r="K18" s="356"/>
      <c r="L18" s="389"/>
      <c r="M18" s="81"/>
      <c r="N18" s="38"/>
      <c r="Q18" s="16"/>
      <c r="R18" s="16"/>
      <c r="S18" s="16"/>
      <c r="T18" s="16"/>
      <c r="U18" s="16"/>
      <c r="V18" s="16"/>
      <c r="W18" s="16"/>
    </row>
    <row r="19" spans="1:23" ht="13.5" customHeight="1" x14ac:dyDescent="0.45">
      <c r="A19" s="38"/>
      <c r="B19" s="81"/>
      <c r="C19" s="388"/>
      <c r="D19" s="356"/>
      <c r="E19" s="356"/>
      <c r="F19" s="356"/>
      <c r="G19" s="356"/>
      <c r="H19" s="356"/>
      <c r="I19" s="356"/>
      <c r="J19" s="356"/>
      <c r="K19" s="356"/>
      <c r="L19" s="389"/>
      <c r="M19" s="81"/>
      <c r="N19" s="38"/>
      <c r="Q19" s="16"/>
      <c r="R19" s="16"/>
      <c r="S19" s="16"/>
      <c r="T19" s="16"/>
      <c r="U19" s="16"/>
      <c r="V19" s="16"/>
      <c r="W19" s="16"/>
    </row>
    <row r="20" spans="1:23" ht="13.5" customHeight="1" x14ac:dyDescent="0.45">
      <c r="A20" s="38"/>
      <c r="B20" s="81"/>
      <c r="C20" s="388"/>
      <c r="D20" s="356"/>
      <c r="E20" s="356"/>
      <c r="F20" s="356"/>
      <c r="G20" s="356"/>
      <c r="H20" s="356"/>
      <c r="I20" s="356"/>
      <c r="J20" s="356"/>
      <c r="K20" s="356"/>
      <c r="L20" s="389"/>
      <c r="M20" s="81"/>
      <c r="N20" s="38"/>
      <c r="Q20" s="16"/>
      <c r="R20" s="16"/>
      <c r="S20" s="16"/>
      <c r="T20" s="16"/>
      <c r="U20" s="16"/>
      <c r="V20" s="16"/>
      <c r="W20" s="16"/>
    </row>
    <row r="21" spans="1:23" ht="13.5" customHeight="1" x14ac:dyDescent="0.45">
      <c r="A21" s="38"/>
      <c r="B21" s="81"/>
      <c r="C21" s="388"/>
      <c r="D21" s="356"/>
      <c r="E21" s="356"/>
      <c r="F21" s="356"/>
      <c r="G21" s="356"/>
      <c r="H21" s="356"/>
      <c r="I21" s="356"/>
      <c r="J21" s="356"/>
      <c r="K21" s="356"/>
      <c r="L21" s="389"/>
      <c r="M21" s="81"/>
      <c r="N21" s="38"/>
      <c r="Q21" s="16"/>
      <c r="R21" s="16"/>
      <c r="S21" s="16"/>
      <c r="T21" s="16"/>
      <c r="U21" s="16"/>
      <c r="V21" s="16"/>
      <c r="W21" s="16"/>
    </row>
    <row r="22" spans="1:23" ht="13.5" customHeight="1" x14ac:dyDescent="0.45">
      <c r="A22" s="38"/>
      <c r="B22" s="81"/>
      <c r="C22" s="388"/>
      <c r="D22" s="356"/>
      <c r="E22" s="356"/>
      <c r="F22" s="356"/>
      <c r="G22" s="356"/>
      <c r="H22" s="356"/>
      <c r="I22" s="356"/>
      <c r="J22" s="356"/>
      <c r="K22" s="356"/>
      <c r="L22" s="389"/>
      <c r="M22" s="81"/>
      <c r="N22" s="38"/>
      <c r="Q22" s="16"/>
      <c r="R22" s="16"/>
      <c r="S22" s="16"/>
      <c r="T22" s="16"/>
      <c r="U22" s="16"/>
      <c r="V22" s="16"/>
      <c r="W22" s="16"/>
    </row>
    <row r="23" spans="1:23" ht="13.5" customHeight="1" x14ac:dyDescent="0.45">
      <c r="A23" s="38"/>
      <c r="B23" s="81"/>
      <c r="C23" s="388"/>
      <c r="D23" s="356"/>
      <c r="E23" s="356"/>
      <c r="F23" s="356"/>
      <c r="G23" s="356"/>
      <c r="H23" s="356"/>
      <c r="I23" s="356"/>
      <c r="J23" s="356"/>
      <c r="K23" s="356"/>
      <c r="L23" s="389"/>
      <c r="M23" s="81"/>
      <c r="N23" s="38"/>
      <c r="Q23" s="16"/>
      <c r="R23" s="16"/>
      <c r="S23" s="16"/>
      <c r="T23" s="16"/>
      <c r="U23" s="16"/>
      <c r="V23" s="16"/>
      <c r="W23" s="16"/>
    </row>
    <row r="24" spans="1:23" ht="13.5" customHeight="1" x14ac:dyDescent="0.45">
      <c r="A24" s="38"/>
      <c r="B24" s="81"/>
      <c r="C24" s="388"/>
      <c r="D24" s="356"/>
      <c r="E24" s="356"/>
      <c r="F24" s="356"/>
      <c r="G24" s="356"/>
      <c r="H24" s="356"/>
      <c r="I24" s="356"/>
      <c r="J24" s="356"/>
      <c r="K24" s="356"/>
      <c r="L24" s="389"/>
      <c r="M24" s="81"/>
      <c r="N24" s="38"/>
      <c r="Q24" s="16"/>
      <c r="R24" s="16"/>
      <c r="S24" s="16"/>
      <c r="T24" s="16"/>
      <c r="U24" s="16"/>
      <c r="V24" s="16"/>
      <c r="W24" s="16"/>
    </row>
    <row r="25" spans="1:23" ht="13.5" customHeight="1" x14ac:dyDescent="0.45">
      <c r="A25" s="38"/>
      <c r="B25" s="81"/>
      <c r="C25" s="388"/>
      <c r="D25" s="356"/>
      <c r="E25" s="356"/>
      <c r="F25" s="356"/>
      <c r="G25" s="356"/>
      <c r="H25" s="356"/>
      <c r="I25" s="356"/>
      <c r="J25" s="356"/>
      <c r="K25" s="356"/>
      <c r="L25" s="389"/>
      <c r="M25" s="81"/>
      <c r="N25" s="38"/>
      <c r="Q25" s="16"/>
      <c r="R25" s="16"/>
      <c r="S25" s="16"/>
      <c r="T25" s="16"/>
      <c r="U25" s="16"/>
      <c r="V25" s="16"/>
      <c r="W25" s="16"/>
    </row>
    <row r="26" spans="1:23" ht="13.5" customHeight="1" x14ac:dyDescent="0.45">
      <c r="A26" s="38"/>
      <c r="B26" s="81"/>
      <c r="C26" s="388"/>
      <c r="D26" s="356"/>
      <c r="E26" s="356"/>
      <c r="F26" s="356"/>
      <c r="G26" s="356"/>
      <c r="H26" s="356"/>
      <c r="I26" s="356"/>
      <c r="J26" s="356"/>
      <c r="K26" s="356"/>
      <c r="L26" s="389"/>
      <c r="M26" s="81"/>
      <c r="N26" s="38"/>
      <c r="Q26" s="16"/>
      <c r="R26" s="16"/>
      <c r="S26" s="16"/>
      <c r="T26" s="16"/>
      <c r="U26" s="16"/>
      <c r="V26" s="16"/>
      <c r="W26" s="16"/>
    </row>
    <row r="27" spans="1:23" ht="13.5" customHeight="1" x14ac:dyDescent="0.45">
      <c r="A27" s="38"/>
      <c r="B27" s="81"/>
      <c r="C27" s="390"/>
      <c r="D27" s="391"/>
      <c r="E27" s="391"/>
      <c r="F27" s="391"/>
      <c r="G27" s="391"/>
      <c r="H27" s="391"/>
      <c r="I27" s="391"/>
      <c r="J27" s="391"/>
      <c r="K27" s="391"/>
      <c r="L27" s="392"/>
      <c r="M27" s="81"/>
      <c r="N27" s="38"/>
      <c r="Q27" s="16"/>
      <c r="R27" s="16"/>
      <c r="S27" s="16"/>
      <c r="T27" s="16"/>
      <c r="U27" s="16"/>
      <c r="V27" s="16"/>
      <c r="W27" s="16"/>
    </row>
    <row r="28" spans="1:23" ht="13.5" customHeight="1" x14ac:dyDescent="0.45">
      <c r="A28" s="38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38"/>
      <c r="Q28" s="16"/>
      <c r="R28" s="16"/>
      <c r="S28" s="16"/>
      <c r="T28" s="16"/>
      <c r="U28" s="16"/>
      <c r="V28" s="16"/>
      <c r="W28" s="16"/>
    </row>
    <row r="29" spans="1:23" ht="13.5" customHeight="1" x14ac:dyDescent="0.45">
      <c r="A29" s="38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38"/>
      <c r="Q29" s="16"/>
      <c r="R29" s="16"/>
      <c r="S29" s="16"/>
      <c r="T29" s="16"/>
      <c r="U29" s="16"/>
      <c r="V29" s="16"/>
      <c r="W29" s="16"/>
    </row>
    <row r="30" spans="1:23" ht="15" customHeight="1" x14ac:dyDescent="0.45">
      <c r="A30" s="38"/>
      <c r="B30" s="81"/>
      <c r="C30" s="259" t="s">
        <v>170</v>
      </c>
      <c r="D30" s="260"/>
      <c r="E30" s="260"/>
      <c r="F30" s="260"/>
      <c r="G30" s="260"/>
      <c r="H30" s="260"/>
      <c r="I30" s="260"/>
      <c r="J30" s="260"/>
      <c r="K30" s="260"/>
      <c r="L30" s="261"/>
      <c r="M30" s="81"/>
      <c r="N30" s="38"/>
      <c r="Q30" s="16"/>
      <c r="R30" s="16"/>
      <c r="S30" s="16"/>
      <c r="T30" s="16"/>
      <c r="U30" s="16"/>
      <c r="V30" s="16"/>
      <c r="W30" s="16"/>
    </row>
    <row r="31" spans="1:23" ht="13.5" customHeight="1" x14ac:dyDescent="0.45">
      <c r="A31" s="38"/>
      <c r="B31" s="81"/>
      <c r="C31" s="268"/>
      <c r="D31" s="269"/>
      <c r="E31" s="269"/>
      <c r="F31" s="269"/>
      <c r="G31" s="269"/>
      <c r="H31" s="269"/>
      <c r="I31" s="269"/>
      <c r="J31" s="269"/>
      <c r="K31" s="269"/>
      <c r="L31" s="270"/>
      <c r="M31" s="81"/>
      <c r="N31" s="38"/>
      <c r="Q31" s="16"/>
      <c r="R31" s="16"/>
      <c r="S31" s="16"/>
      <c r="T31" s="16"/>
      <c r="U31" s="16"/>
      <c r="V31" s="16"/>
      <c r="W31" s="16"/>
    </row>
    <row r="32" spans="1:23" ht="13.5" customHeight="1" x14ac:dyDescent="0.45">
      <c r="A32" s="38"/>
      <c r="B32" s="81"/>
      <c r="C32" s="271"/>
      <c r="D32" s="272"/>
      <c r="E32" s="272"/>
      <c r="F32" s="272"/>
      <c r="G32" s="272"/>
      <c r="H32" s="272"/>
      <c r="I32" s="272"/>
      <c r="J32" s="272"/>
      <c r="K32" s="272"/>
      <c r="L32" s="273"/>
      <c r="M32" s="81"/>
      <c r="N32" s="38"/>
      <c r="Q32" s="16"/>
      <c r="R32" s="16"/>
      <c r="S32" s="16"/>
      <c r="T32" s="16"/>
      <c r="U32" s="16"/>
      <c r="V32" s="16"/>
      <c r="W32" s="16"/>
    </row>
    <row r="33" spans="1:31" ht="13.5" customHeight="1" x14ac:dyDescent="0.45">
      <c r="A33" s="38"/>
      <c r="B33" s="81"/>
      <c r="C33" s="271"/>
      <c r="D33" s="272"/>
      <c r="E33" s="272"/>
      <c r="F33" s="272"/>
      <c r="G33" s="272"/>
      <c r="H33" s="272"/>
      <c r="I33" s="272"/>
      <c r="J33" s="272"/>
      <c r="K33" s="272"/>
      <c r="L33" s="273"/>
      <c r="M33" s="81"/>
      <c r="N33" s="38"/>
      <c r="Q33" s="16"/>
      <c r="R33" s="16"/>
      <c r="S33" s="16"/>
      <c r="T33" s="16"/>
      <c r="U33" s="16"/>
      <c r="V33" s="16"/>
      <c r="W33" s="16"/>
    </row>
    <row r="34" spans="1:31" ht="13.5" customHeight="1" x14ac:dyDescent="0.45">
      <c r="A34" s="38"/>
      <c r="B34" s="81"/>
      <c r="C34" s="271"/>
      <c r="D34" s="272"/>
      <c r="E34" s="272"/>
      <c r="F34" s="272"/>
      <c r="G34" s="272"/>
      <c r="H34" s="272"/>
      <c r="I34" s="272"/>
      <c r="J34" s="272"/>
      <c r="K34" s="272"/>
      <c r="L34" s="273"/>
      <c r="M34" s="81"/>
      <c r="N34" s="38"/>
      <c r="Q34" s="16"/>
      <c r="R34" s="16"/>
      <c r="S34" s="16"/>
      <c r="T34" s="16"/>
      <c r="U34" s="16"/>
      <c r="V34" s="16"/>
      <c r="W34" s="16"/>
    </row>
    <row r="35" spans="1:31" ht="13.5" customHeight="1" x14ac:dyDescent="0.45">
      <c r="A35" s="38"/>
      <c r="B35" s="81"/>
      <c r="C35" s="271"/>
      <c r="D35" s="272"/>
      <c r="E35" s="272"/>
      <c r="F35" s="272"/>
      <c r="G35" s="272"/>
      <c r="H35" s="272"/>
      <c r="I35" s="272"/>
      <c r="J35" s="272"/>
      <c r="K35" s="272"/>
      <c r="L35" s="273"/>
      <c r="M35" s="81"/>
      <c r="N35" s="38"/>
      <c r="Q35" s="16"/>
      <c r="R35" s="16"/>
      <c r="S35" s="16"/>
      <c r="T35" s="16"/>
      <c r="U35" s="16"/>
      <c r="V35" s="16"/>
      <c r="W35" s="16"/>
    </row>
    <row r="36" spans="1:31" s="6" customFormat="1" ht="15" customHeight="1" x14ac:dyDescent="0.45">
      <c r="A36" s="38"/>
      <c r="B36" s="81"/>
      <c r="C36" s="271"/>
      <c r="D36" s="272"/>
      <c r="E36" s="272"/>
      <c r="F36" s="272"/>
      <c r="G36" s="272"/>
      <c r="H36" s="272"/>
      <c r="I36" s="272"/>
      <c r="J36" s="272"/>
      <c r="K36" s="272"/>
      <c r="L36" s="273"/>
      <c r="M36" s="81"/>
      <c r="N36" s="38"/>
      <c r="Q36" s="16"/>
      <c r="R36" s="16"/>
      <c r="S36" s="16"/>
      <c r="T36" s="16"/>
      <c r="U36" s="16"/>
      <c r="V36" s="16"/>
      <c r="W36" s="16"/>
    </row>
    <row r="37" spans="1:31" s="6" customFormat="1" ht="15" customHeight="1" x14ac:dyDescent="0.45">
      <c r="A37" s="38"/>
      <c r="B37" s="81"/>
      <c r="C37" s="271"/>
      <c r="D37" s="272"/>
      <c r="E37" s="272"/>
      <c r="F37" s="272"/>
      <c r="G37" s="272"/>
      <c r="H37" s="272"/>
      <c r="I37" s="272"/>
      <c r="J37" s="272"/>
      <c r="K37" s="272"/>
      <c r="L37" s="273"/>
      <c r="M37" s="81"/>
      <c r="N37" s="38"/>
      <c r="Q37" s="16"/>
      <c r="R37" s="16"/>
      <c r="S37" s="16"/>
      <c r="T37" s="16"/>
      <c r="U37" s="16"/>
      <c r="V37" s="16"/>
      <c r="W37" s="16"/>
    </row>
    <row r="38" spans="1:31" s="6" customFormat="1" ht="15" customHeight="1" x14ac:dyDescent="0.45">
      <c r="A38" s="38"/>
      <c r="B38" s="81"/>
      <c r="C38" s="271"/>
      <c r="D38" s="272"/>
      <c r="E38" s="272"/>
      <c r="F38" s="272"/>
      <c r="G38" s="272"/>
      <c r="H38" s="272"/>
      <c r="I38" s="272"/>
      <c r="J38" s="272"/>
      <c r="K38" s="272"/>
      <c r="L38" s="273"/>
      <c r="M38" s="81"/>
      <c r="N38" s="38"/>
      <c r="Q38" s="16"/>
      <c r="R38" s="16"/>
      <c r="S38" s="16"/>
      <c r="T38" s="16"/>
      <c r="U38" s="16"/>
      <c r="V38" s="16"/>
      <c r="W38" s="16"/>
    </row>
    <row r="39" spans="1:31" s="6" customFormat="1" ht="15" customHeight="1" x14ac:dyDescent="0.45">
      <c r="A39" s="38"/>
      <c r="B39" s="81"/>
      <c r="C39" s="271"/>
      <c r="D39" s="272"/>
      <c r="E39" s="272"/>
      <c r="F39" s="272"/>
      <c r="G39" s="272"/>
      <c r="H39" s="272"/>
      <c r="I39" s="272"/>
      <c r="J39" s="272"/>
      <c r="K39" s="272"/>
      <c r="L39" s="273"/>
      <c r="M39" s="81"/>
      <c r="N39" s="38"/>
      <c r="Q39" s="16"/>
      <c r="R39" s="16"/>
      <c r="S39" s="16"/>
      <c r="T39" s="16"/>
      <c r="U39" s="16"/>
      <c r="V39" s="16"/>
      <c r="W39" s="16"/>
    </row>
    <row r="40" spans="1:31" s="6" customFormat="1" ht="15" customHeight="1" x14ac:dyDescent="0.45">
      <c r="A40" s="38"/>
      <c r="B40" s="81"/>
      <c r="C40" s="271"/>
      <c r="D40" s="272"/>
      <c r="E40" s="272"/>
      <c r="F40" s="272"/>
      <c r="G40" s="272"/>
      <c r="H40" s="272"/>
      <c r="I40" s="272"/>
      <c r="J40" s="272"/>
      <c r="K40" s="272"/>
      <c r="L40" s="273"/>
      <c r="M40" s="81"/>
      <c r="N40" s="38"/>
      <c r="Q40" s="16"/>
      <c r="R40" s="16"/>
      <c r="S40" s="16"/>
      <c r="T40" s="16"/>
      <c r="U40" s="16"/>
      <c r="V40" s="16"/>
      <c r="W40" s="16"/>
    </row>
    <row r="41" spans="1:31" s="6" customFormat="1" ht="15" customHeight="1" x14ac:dyDescent="0.45">
      <c r="A41" s="38"/>
      <c r="B41" s="81"/>
      <c r="C41" s="271"/>
      <c r="D41" s="272"/>
      <c r="E41" s="272"/>
      <c r="F41" s="272"/>
      <c r="G41" s="272"/>
      <c r="H41" s="272"/>
      <c r="I41" s="272"/>
      <c r="J41" s="272"/>
      <c r="K41" s="272"/>
      <c r="L41" s="273"/>
      <c r="M41" s="81"/>
      <c r="N41" s="38"/>
      <c r="Q41" s="16"/>
      <c r="R41" s="16"/>
      <c r="S41" s="16"/>
      <c r="T41" s="16"/>
      <c r="U41" s="16"/>
      <c r="V41" s="16"/>
      <c r="W41" s="16"/>
    </row>
    <row r="42" spans="1:31" s="6" customFormat="1" ht="15" customHeight="1" x14ac:dyDescent="0.45">
      <c r="A42" s="38"/>
      <c r="B42" s="81"/>
      <c r="C42" s="271"/>
      <c r="D42" s="272"/>
      <c r="E42" s="272"/>
      <c r="F42" s="272"/>
      <c r="G42" s="272"/>
      <c r="H42" s="272"/>
      <c r="I42" s="272"/>
      <c r="J42" s="272"/>
      <c r="K42" s="272"/>
      <c r="L42" s="273"/>
      <c r="M42" s="81"/>
      <c r="N42" s="38"/>
      <c r="Q42" s="16"/>
      <c r="R42" s="16"/>
      <c r="S42" s="16"/>
      <c r="T42" s="16"/>
      <c r="U42" s="16"/>
      <c r="V42" s="16"/>
      <c r="W42" s="16"/>
    </row>
    <row r="43" spans="1:31" s="6" customFormat="1" ht="15" customHeight="1" x14ac:dyDescent="0.45">
      <c r="A43" s="38"/>
      <c r="B43" s="81"/>
      <c r="C43" s="271"/>
      <c r="D43" s="272"/>
      <c r="E43" s="272"/>
      <c r="F43" s="272"/>
      <c r="G43" s="272"/>
      <c r="H43" s="272"/>
      <c r="I43" s="272"/>
      <c r="J43" s="272"/>
      <c r="K43" s="272"/>
      <c r="L43" s="273"/>
      <c r="M43" s="81"/>
      <c r="N43" s="38"/>
      <c r="Q43" s="16"/>
      <c r="R43" s="16"/>
      <c r="S43" s="16"/>
      <c r="T43" s="16"/>
      <c r="U43" s="16"/>
      <c r="V43" s="16"/>
      <c r="W43" s="16"/>
    </row>
    <row r="44" spans="1:31" s="6" customFormat="1" ht="15" customHeight="1" x14ac:dyDescent="0.45">
      <c r="A44" s="38"/>
      <c r="B44" s="81"/>
      <c r="C44" s="271"/>
      <c r="D44" s="272"/>
      <c r="E44" s="272"/>
      <c r="F44" s="272"/>
      <c r="G44" s="272"/>
      <c r="H44" s="272"/>
      <c r="I44" s="272"/>
      <c r="J44" s="272"/>
      <c r="K44" s="272"/>
      <c r="L44" s="273"/>
      <c r="M44" s="81"/>
      <c r="N44" s="38"/>
      <c r="Q44" s="16"/>
      <c r="R44" s="16"/>
      <c r="S44" s="16"/>
      <c r="T44" s="16"/>
      <c r="U44" s="16"/>
      <c r="V44" s="16"/>
      <c r="W44" s="16"/>
    </row>
    <row r="45" spans="1:31" s="6" customFormat="1" ht="15" customHeight="1" x14ac:dyDescent="0.45">
      <c r="A45" s="38"/>
      <c r="B45" s="81"/>
      <c r="C45" s="274"/>
      <c r="D45" s="275"/>
      <c r="E45" s="275"/>
      <c r="F45" s="275"/>
      <c r="G45" s="275"/>
      <c r="H45" s="275"/>
      <c r="I45" s="275"/>
      <c r="J45" s="275"/>
      <c r="K45" s="275"/>
      <c r="L45" s="276"/>
      <c r="M45" s="81"/>
      <c r="N45" s="38"/>
      <c r="Q45" s="16"/>
      <c r="R45" s="16"/>
      <c r="S45" s="16"/>
      <c r="T45" s="16"/>
      <c r="U45" s="16"/>
      <c r="V45" s="16"/>
      <c r="W45" s="16"/>
    </row>
    <row r="46" spans="1:31" ht="15" customHeight="1" x14ac:dyDescent="0.45">
      <c r="A46" s="38"/>
      <c r="B46" s="102"/>
      <c r="C46" s="102"/>
      <c r="D46" s="102"/>
      <c r="E46" s="102"/>
      <c r="F46" s="102"/>
      <c r="G46" s="102"/>
      <c r="H46" s="100"/>
      <c r="I46" s="100"/>
      <c r="J46" s="102"/>
      <c r="K46" s="102"/>
      <c r="L46" s="102"/>
      <c r="M46" s="102"/>
      <c r="N46" s="38"/>
    </row>
    <row r="47" spans="1:31" ht="15" customHeight="1" x14ac:dyDescent="0.45">
      <c r="A47" s="38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38"/>
      <c r="T47" s="1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5" customHeight="1" x14ac:dyDescent="0.45">
      <c r="A48" s="38"/>
      <c r="B48" s="320" t="s">
        <v>457</v>
      </c>
      <c r="C48" s="320"/>
      <c r="D48" s="101"/>
      <c r="E48" s="101"/>
      <c r="F48" s="320"/>
      <c r="G48" s="320"/>
      <c r="H48" s="320"/>
      <c r="I48" s="320"/>
      <c r="J48" s="320"/>
      <c r="K48" s="101"/>
      <c r="L48" s="320" t="s">
        <v>459</v>
      </c>
      <c r="M48" s="320"/>
      <c r="N48" s="38"/>
    </row>
    <row r="49" spans="1:40" ht="15" customHeight="1" x14ac:dyDescent="0.45">
      <c r="A49" s="38"/>
      <c r="B49" s="329" t="s">
        <v>45</v>
      </c>
      <c r="C49" s="329"/>
      <c r="D49" s="102"/>
      <c r="E49" s="102"/>
      <c r="F49" s="329" t="s">
        <v>46</v>
      </c>
      <c r="G49" s="329"/>
      <c r="H49" s="329"/>
      <c r="I49" s="329"/>
      <c r="J49" s="329"/>
      <c r="K49" s="102"/>
      <c r="L49" s="329" t="s">
        <v>47</v>
      </c>
      <c r="M49" s="329"/>
      <c r="N49" s="38"/>
    </row>
    <row r="50" spans="1:40" ht="15" customHeight="1" x14ac:dyDescent="0.45">
      <c r="A50" s="38"/>
      <c r="B50" s="100"/>
      <c r="C50" s="155"/>
      <c r="D50" s="155"/>
      <c r="E50" s="155"/>
      <c r="F50" s="155"/>
      <c r="G50" s="100"/>
      <c r="H50" s="100"/>
      <c r="I50" s="155"/>
      <c r="J50" s="155"/>
      <c r="K50" s="155"/>
      <c r="L50" s="100"/>
      <c r="M50" s="100"/>
      <c r="N50" s="38"/>
    </row>
    <row r="51" spans="1:40" ht="18.75" x14ac:dyDescent="0.45">
      <c r="A51" s="38"/>
      <c r="B51" s="102"/>
      <c r="C51" s="81"/>
      <c r="D51" s="81"/>
      <c r="E51" s="81"/>
      <c r="F51" s="67"/>
      <c r="G51" s="67"/>
      <c r="H51" s="67"/>
      <c r="I51" s="67"/>
      <c r="J51" s="67"/>
      <c r="K51" s="67"/>
      <c r="L51" s="67"/>
      <c r="M51" s="67"/>
      <c r="N51" s="38"/>
    </row>
    <row r="52" spans="1:40" ht="15.75" customHeight="1" x14ac:dyDescent="0.45">
      <c r="A52" s="38"/>
      <c r="B52" s="327" t="s">
        <v>49</v>
      </c>
      <c r="C52" s="327"/>
      <c r="D52" s="67"/>
      <c r="E52" s="67"/>
      <c r="F52" s="272"/>
      <c r="G52" s="272"/>
      <c r="H52" s="272"/>
      <c r="I52" s="272"/>
      <c r="J52" s="330"/>
      <c r="K52" s="330"/>
      <c r="L52" s="67"/>
      <c r="M52" s="105" t="s">
        <v>171</v>
      </c>
      <c r="N52" s="38"/>
    </row>
    <row r="53" spans="1:40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40" x14ac:dyDescent="0.2"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N54" s="12"/>
    </row>
    <row r="55" spans="1:40" x14ac:dyDescent="0.2"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40" x14ac:dyDescent="0.2"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13"/>
      <c r="AC56" s="13"/>
      <c r="AD56" s="13"/>
    </row>
  </sheetData>
  <mergeCells count="20">
    <mergeCell ref="B52:C52"/>
    <mergeCell ref="F52:I52"/>
    <mergeCell ref="J52:K52"/>
    <mergeCell ref="B49:C49"/>
    <mergeCell ref="B48:C48"/>
    <mergeCell ref="L48:M48"/>
    <mergeCell ref="F48:J48"/>
    <mergeCell ref="F49:J49"/>
    <mergeCell ref="L49:M49"/>
    <mergeCell ref="B2:B3"/>
    <mergeCell ref="C2:K3"/>
    <mergeCell ref="L2:M3"/>
    <mergeCell ref="C4:E4"/>
    <mergeCell ref="F4:J4"/>
    <mergeCell ref="C6:I6"/>
    <mergeCell ref="B7:C7"/>
    <mergeCell ref="C12:L12"/>
    <mergeCell ref="C13:L27"/>
    <mergeCell ref="C30:L30"/>
    <mergeCell ref="C31:L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3" max="1048575" man="1"/>
  </rowBreaks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473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4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5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6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7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8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9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F984-50EE-46C7-BECB-43AEB442F8C1}">
  <sheetPr codeName="Hoja14"/>
  <dimension ref="A1:AN51"/>
  <sheetViews>
    <sheetView view="pageBreakPreview" zoomScaleNormal="62" zoomScaleSheetLayoutView="100" workbookViewId="0">
      <selection activeCell="B2" sqref="B2:B3"/>
    </sheetView>
  </sheetViews>
  <sheetFormatPr baseColWidth="10" defaultColWidth="11.42578125" defaultRowHeight="12.75" x14ac:dyDescent="0.2"/>
  <cols>
    <col min="1" max="1" width="3.28515625" customWidth="1"/>
    <col min="2" max="2" width="19.140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8" customWidth="1"/>
    <col min="13" max="13" width="13.28515625" customWidth="1"/>
    <col min="14" max="14" width="3.28515625" customWidth="1"/>
  </cols>
  <sheetData>
    <row r="1" spans="1:21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21" ht="27.75" customHeight="1" x14ac:dyDescent="0.45">
      <c r="A2" s="38"/>
      <c r="B2" s="277"/>
      <c r="C2" s="283" t="s">
        <v>172</v>
      </c>
      <c r="D2" s="284"/>
      <c r="E2" s="284"/>
      <c r="F2" s="284"/>
      <c r="G2" s="284"/>
      <c r="H2" s="284"/>
      <c r="I2" s="284"/>
      <c r="J2" s="284"/>
      <c r="K2" s="284"/>
      <c r="L2" s="262" t="s">
        <v>52</v>
      </c>
      <c r="M2" s="264"/>
      <c r="N2" s="38"/>
    </row>
    <row r="3" spans="1:21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65"/>
      <c r="M3" s="267"/>
      <c r="N3" s="38"/>
    </row>
    <row r="4" spans="1:21" ht="18.75" x14ac:dyDescent="0.45">
      <c r="A4" s="38"/>
      <c r="B4" s="61" t="s">
        <v>53</v>
      </c>
      <c r="C4" s="279">
        <f>DATOS!AE7</f>
        <v>0</v>
      </c>
      <c r="D4" s="279"/>
      <c r="E4" s="279"/>
      <c r="F4" s="282"/>
      <c r="G4" s="282"/>
      <c r="H4" s="282"/>
      <c r="I4" s="282"/>
      <c r="J4" s="282"/>
      <c r="K4" s="62" t="s">
        <v>48</v>
      </c>
      <c r="L4" s="63"/>
      <c r="M4" s="64"/>
      <c r="N4" s="38"/>
    </row>
    <row r="5" spans="1:21" ht="18.75" x14ac:dyDescent="0.45">
      <c r="A5" s="38"/>
      <c r="B5" s="65" t="s">
        <v>7</v>
      </c>
      <c r="C5" s="66">
        <f>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9"/>
      <c r="N5" s="36"/>
      <c r="O5" s="14"/>
      <c r="P5" s="14"/>
      <c r="Q5" s="14"/>
    </row>
    <row r="6" spans="1:21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71"/>
      <c r="K6" s="72"/>
      <c r="L6" s="71"/>
      <c r="M6" s="94"/>
      <c r="N6" s="38"/>
      <c r="P6" s="6"/>
      <c r="Q6" s="8"/>
      <c r="R6" s="8"/>
      <c r="S6" s="8"/>
      <c r="T6" s="8"/>
      <c r="U6" s="8"/>
    </row>
    <row r="7" spans="1:21" ht="15" customHeight="1" x14ac:dyDescent="0.45">
      <c r="A7" s="38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 t="s">
        <v>58</v>
      </c>
      <c r="M7" s="75"/>
      <c r="N7" s="38"/>
      <c r="P7" s="6"/>
      <c r="Q7" s="8"/>
      <c r="R7" s="8"/>
      <c r="S7" s="8"/>
      <c r="T7" s="8"/>
      <c r="U7" s="8"/>
    </row>
    <row r="8" spans="1:21" ht="15" customHeight="1" x14ac:dyDescent="0.45">
      <c r="A8" s="38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 t="s">
        <v>60</v>
      </c>
      <c r="M8" s="82"/>
      <c r="N8" s="38"/>
      <c r="P8" s="6"/>
      <c r="Q8" s="8"/>
      <c r="R8" s="8"/>
      <c r="S8" s="8"/>
      <c r="T8" s="8"/>
      <c r="U8" s="8"/>
    </row>
    <row r="9" spans="1:21" ht="15" customHeight="1" x14ac:dyDescent="0.45">
      <c r="A9" s="38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 t="s">
        <v>62</v>
      </c>
      <c r="M9" s="82"/>
      <c r="N9" s="38"/>
      <c r="P9" s="6"/>
      <c r="Q9" s="8"/>
      <c r="R9" s="8"/>
      <c r="S9" s="8"/>
      <c r="T9" s="8"/>
      <c r="U9" s="8"/>
    </row>
    <row r="10" spans="1:21" ht="15" customHeight="1" x14ac:dyDescent="0.45">
      <c r="A10" s="38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8"/>
      <c r="N10" s="38"/>
      <c r="P10" s="6"/>
      <c r="Q10" s="8"/>
      <c r="R10" s="8"/>
      <c r="S10" s="8"/>
      <c r="T10" s="8"/>
      <c r="U10" s="8"/>
    </row>
    <row r="11" spans="1:21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38"/>
      <c r="P11" s="6"/>
      <c r="Q11" s="8"/>
      <c r="R11" s="8"/>
      <c r="S11" s="8"/>
      <c r="T11" s="8"/>
      <c r="U11" s="8"/>
    </row>
    <row r="12" spans="1:21" ht="15" customHeight="1" x14ac:dyDescent="0.45">
      <c r="A12" s="38"/>
      <c r="B12" s="67"/>
      <c r="C12" s="259" t="s">
        <v>452</v>
      </c>
      <c r="D12" s="260"/>
      <c r="E12" s="260"/>
      <c r="F12" s="260"/>
      <c r="G12" s="260"/>
      <c r="H12" s="260"/>
      <c r="I12" s="260"/>
      <c r="J12" s="260"/>
      <c r="K12" s="260"/>
      <c r="L12" s="261"/>
      <c r="M12" s="67"/>
      <c r="N12" s="38"/>
      <c r="P12" s="6"/>
      <c r="Q12" s="8"/>
      <c r="R12" s="8"/>
      <c r="S12" s="8"/>
      <c r="T12" s="8"/>
      <c r="U12" s="8"/>
    </row>
    <row r="13" spans="1:21" ht="15" customHeight="1" x14ac:dyDescent="0.45">
      <c r="A13" s="38"/>
      <c r="B13" s="67"/>
      <c r="C13" s="268"/>
      <c r="D13" s="269"/>
      <c r="E13" s="269"/>
      <c r="F13" s="269"/>
      <c r="G13" s="269"/>
      <c r="H13" s="269"/>
      <c r="I13" s="269"/>
      <c r="J13" s="269"/>
      <c r="K13" s="269"/>
      <c r="L13" s="270"/>
      <c r="M13" s="67"/>
      <c r="N13" s="38"/>
      <c r="P13" s="6"/>
      <c r="Q13" s="8"/>
      <c r="R13" s="8"/>
      <c r="S13" s="8"/>
      <c r="T13" s="8"/>
      <c r="U13" s="8"/>
    </row>
    <row r="14" spans="1:21" ht="15" customHeight="1" x14ac:dyDescent="0.45">
      <c r="A14" s="38"/>
      <c r="B14" s="67"/>
      <c r="C14" s="271"/>
      <c r="D14" s="272"/>
      <c r="E14" s="272"/>
      <c r="F14" s="272"/>
      <c r="G14" s="272"/>
      <c r="H14" s="272"/>
      <c r="I14" s="272"/>
      <c r="J14" s="272"/>
      <c r="K14" s="272"/>
      <c r="L14" s="273"/>
      <c r="M14" s="67"/>
      <c r="N14" s="38"/>
      <c r="P14" s="6"/>
      <c r="Q14" s="8"/>
      <c r="R14" s="8"/>
      <c r="S14" s="8"/>
      <c r="T14" s="8"/>
      <c r="U14" s="8"/>
    </row>
    <row r="15" spans="1:21" ht="15" customHeight="1" x14ac:dyDescent="0.45">
      <c r="A15" s="38"/>
      <c r="B15" s="67"/>
      <c r="C15" s="271"/>
      <c r="D15" s="272"/>
      <c r="E15" s="272"/>
      <c r="F15" s="272"/>
      <c r="G15" s="272"/>
      <c r="H15" s="272"/>
      <c r="I15" s="272"/>
      <c r="J15" s="272"/>
      <c r="K15" s="272"/>
      <c r="L15" s="273"/>
      <c r="M15" s="67"/>
      <c r="N15" s="38"/>
      <c r="P15" s="6"/>
      <c r="Q15" s="8"/>
      <c r="R15" s="8"/>
      <c r="S15" s="8"/>
      <c r="T15" s="8"/>
      <c r="U15" s="8"/>
    </row>
    <row r="16" spans="1:21" ht="15" customHeight="1" x14ac:dyDescent="0.45">
      <c r="A16" s="38"/>
      <c r="B16" s="67"/>
      <c r="C16" s="271"/>
      <c r="D16" s="272"/>
      <c r="E16" s="272"/>
      <c r="F16" s="272"/>
      <c r="G16" s="272"/>
      <c r="H16" s="272"/>
      <c r="I16" s="272"/>
      <c r="J16" s="272"/>
      <c r="K16" s="272"/>
      <c r="L16" s="273"/>
      <c r="M16" s="67"/>
      <c r="N16" s="38"/>
      <c r="P16" s="6"/>
      <c r="Q16" s="8"/>
      <c r="R16" s="8"/>
      <c r="S16" s="8"/>
      <c r="T16" s="8"/>
      <c r="U16" s="8"/>
    </row>
    <row r="17" spans="1:23" ht="15" customHeight="1" x14ac:dyDescent="0.45">
      <c r="A17" s="38"/>
      <c r="B17" s="67"/>
      <c r="C17" s="271"/>
      <c r="D17" s="272"/>
      <c r="E17" s="272"/>
      <c r="F17" s="272"/>
      <c r="G17" s="272"/>
      <c r="H17" s="272"/>
      <c r="I17" s="272"/>
      <c r="J17" s="272"/>
      <c r="K17" s="272"/>
      <c r="L17" s="273"/>
      <c r="M17" s="67"/>
      <c r="N17" s="38"/>
      <c r="P17" s="6"/>
      <c r="Q17" s="8"/>
      <c r="R17" s="8"/>
      <c r="S17" s="8"/>
      <c r="T17" s="8"/>
      <c r="U17" s="8"/>
    </row>
    <row r="18" spans="1:23" ht="15" customHeight="1" x14ac:dyDescent="0.45">
      <c r="A18" s="38"/>
      <c r="B18" s="67"/>
      <c r="C18" s="271"/>
      <c r="D18" s="272"/>
      <c r="E18" s="272"/>
      <c r="F18" s="272"/>
      <c r="G18" s="272"/>
      <c r="H18" s="272"/>
      <c r="I18" s="272"/>
      <c r="J18" s="272"/>
      <c r="K18" s="272"/>
      <c r="L18" s="273"/>
      <c r="M18" s="67"/>
      <c r="N18" s="38"/>
      <c r="P18" s="6"/>
      <c r="Q18" s="8"/>
      <c r="R18" s="8"/>
      <c r="S18" s="8"/>
      <c r="T18" s="8"/>
      <c r="U18" s="8"/>
    </row>
    <row r="19" spans="1:23" ht="15" customHeight="1" x14ac:dyDescent="0.45">
      <c r="A19" s="38"/>
      <c r="B19" s="67"/>
      <c r="C19" s="271"/>
      <c r="D19" s="272"/>
      <c r="E19" s="272"/>
      <c r="F19" s="272"/>
      <c r="G19" s="272"/>
      <c r="H19" s="272"/>
      <c r="I19" s="272"/>
      <c r="J19" s="272"/>
      <c r="K19" s="272"/>
      <c r="L19" s="273"/>
      <c r="M19" s="67"/>
      <c r="N19" s="38"/>
      <c r="P19" s="6"/>
      <c r="Q19" s="8"/>
      <c r="R19" s="8"/>
      <c r="S19" s="8"/>
      <c r="T19" s="8"/>
      <c r="U19" s="8"/>
    </row>
    <row r="20" spans="1:23" ht="15" customHeight="1" x14ac:dyDescent="0.45">
      <c r="A20" s="38"/>
      <c r="B20" s="67"/>
      <c r="C20" s="271"/>
      <c r="D20" s="272"/>
      <c r="E20" s="272"/>
      <c r="F20" s="272"/>
      <c r="G20" s="272"/>
      <c r="H20" s="272"/>
      <c r="I20" s="272"/>
      <c r="J20" s="272"/>
      <c r="K20" s="272"/>
      <c r="L20" s="273"/>
      <c r="M20" s="67"/>
      <c r="N20" s="38"/>
      <c r="P20" s="6"/>
      <c r="Q20" s="8"/>
      <c r="R20" s="8"/>
      <c r="S20" s="8"/>
      <c r="T20" s="8"/>
      <c r="U20" s="8"/>
    </row>
    <row r="21" spans="1:23" ht="15" customHeight="1" x14ac:dyDescent="0.45">
      <c r="A21" s="38"/>
      <c r="B21" s="67"/>
      <c r="C21" s="271"/>
      <c r="D21" s="272"/>
      <c r="E21" s="272"/>
      <c r="F21" s="272"/>
      <c r="G21" s="272"/>
      <c r="H21" s="272"/>
      <c r="I21" s="272"/>
      <c r="J21" s="272"/>
      <c r="K21" s="272"/>
      <c r="L21" s="273"/>
      <c r="M21" s="67"/>
      <c r="N21" s="38"/>
      <c r="P21" s="6"/>
      <c r="Q21" s="8"/>
      <c r="R21" s="8"/>
      <c r="S21" s="8"/>
      <c r="T21" s="8"/>
      <c r="U21" s="8"/>
    </row>
    <row r="22" spans="1:23" ht="15" customHeight="1" x14ac:dyDescent="0.45">
      <c r="A22" s="38"/>
      <c r="B22" s="67"/>
      <c r="C22" s="271"/>
      <c r="D22" s="272"/>
      <c r="E22" s="272"/>
      <c r="F22" s="272"/>
      <c r="G22" s="272"/>
      <c r="H22" s="272"/>
      <c r="I22" s="272"/>
      <c r="J22" s="272"/>
      <c r="K22" s="272"/>
      <c r="L22" s="273"/>
      <c r="M22" s="67"/>
      <c r="N22" s="38"/>
      <c r="P22" s="6"/>
      <c r="Q22" s="8"/>
      <c r="R22" s="8"/>
      <c r="S22" s="8"/>
      <c r="T22" s="8"/>
      <c r="U22" s="8"/>
    </row>
    <row r="23" spans="1:23" ht="15" customHeight="1" x14ac:dyDescent="0.45">
      <c r="A23" s="38"/>
      <c r="B23" s="67"/>
      <c r="C23" s="271"/>
      <c r="D23" s="272"/>
      <c r="E23" s="272"/>
      <c r="F23" s="272"/>
      <c r="G23" s="272"/>
      <c r="H23" s="272"/>
      <c r="I23" s="272"/>
      <c r="J23" s="272"/>
      <c r="K23" s="272"/>
      <c r="L23" s="273"/>
      <c r="M23" s="67"/>
      <c r="N23" s="38"/>
      <c r="P23" s="6"/>
      <c r="Q23" s="8"/>
      <c r="R23" s="8"/>
      <c r="S23" s="8"/>
      <c r="T23" s="8"/>
      <c r="U23" s="8"/>
    </row>
    <row r="24" spans="1:23" ht="15" customHeight="1" x14ac:dyDescent="0.45">
      <c r="A24" s="38"/>
      <c r="B24" s="67"/>
      <c r="C24" s="274"/>
      <c r="D24" s="275"/>
      <c r="E24" s="275"/>
      <c r="F24" s="275"/>
      <c r="G24" s="275"/>
      <c r="H24" s="275"/>
      <c r="I24" s="275"/>
      <c r="J24" s="275"/>
      <c r="K24" s="275"/>
      <c r="L24" s="276"/>
      <c r="M24" s="67"/>
      <c r="N24" s="38"/>
      <c r="P24" s="6"/>
      <c r="Q24" s="8"/>
      <c r="R24" s="8"/>
      <c r="S24" s="8"/>
      <c r="T24" s="8"/>
      <c r="U24" s="8"/>
    </row>
    <row r="25" spans="1:23" ht="15" customHeight="1" x14ac:dyDescent="0.45">
      <c r="A25" s="38"/>
      <c r="B25" s="67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67"/>
      <c r="N25" s="38"/>
      <c r="P25" s="6"/>
      <c r="Q25" s="8"/>
      <c r="R25" s="8"/>
      <c r="S25" s="8"/>
      <c r="T25" s="8"/>
      <c r="U25" s="8"/>
    </row>
    <row r="26" spans="1:23" ht="15" customHeight="1" x14ac:dyDescent="0.45">
      <c r="A26" s="38"/>
      <c r="B26" s="67"/>
      <c r="C26" s="259" t="s">
        <v>453</v>
      </c>
      <c r="D26" s="260"/>
      <c r="E26" s="260"/>
      <c r="F26" s="260"/>
      <c r="G26" s="260"/>
      <c r="H26" s="260"/>
      <c r="I26" s="260"/>
      <c r="J26" s="260"/>
      <c r="K26" s="260"/>
      <c r="L26" s="261"/>
      <c r="M26" s="67"/>
      <c r="N26" s="38"/>
      <c r="P26" s="6"/>
      <c r="Q26" s="8"/>
      <c r="R26" s="8"/>
      <c r="S26" s="8"/>
      <c r="T26" s="8"/>
      <c r="U26" s="8"/>
    </row>
    <row r="27" spans="1:23" ht="15" customHeight="1" x14ac:dyDescent="0.45">
      <c r="A27" s="38"/>
      <c r="B27" s="81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81"/>
      <c r="N27" s="38"/>
      <c r="Q27" s="15" t="s">
        <v>148</v>
      </c>
      <c r="R27" s="15"/>
      <c r="S27" s="15"/>
      <c r="T27" s="15"/>
      <c r="U27" s="15"/>
      <c r="V27" s="15"/>
      <c r="W27" s="15"/>
    </row>
    <row r="28" spans="1:23" ht="13.5" customHeight="1" x14ac:dyDescent="0.45">
      <c r="A28" s="38"/>
      <c r="B28" s="81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81"/>
      <c r="N28" s="38"/>
      <c r="Q28" s="16"/>
      <c r="R28" s="16"/>
      <c r="S28" s="16"/>
      <c r="T28" s="16"/>
      <c r="U28" s="16"/>
      <c r="V28" s="16"/>
      <c r="W28" s="16"/>
    </row>
    <row r="29" spans="1:23" ht="13.5" customHeight="1" x14ac:dyDescent="0.45">
      <c r="A29" s="38"/>
      <c r="B29" s="81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81"/>
      <c r="N29" s="38"/>
      <c r="Q29" s="16"/>
      <c r="R29" s="16"/>
      <c r="S29" s="16"/>
      <c r="T29" s="16"/>
      <c r="U29" s="16"/>
      <c r="V29" s="16"/>
      <c r="W29" s="16"/>
    </row>
    <row r="30" spans="1:23" ht="13.5" customHeight="1" x14ac:dyDescent="0.45">
      <c r="A30" s="38"/>
      <c r="B30" s="81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81"/>
      <c r="N30" s="38"/>
      <c r="Q30" s="16"/>
      <c r="R30" s="16"/>
      <c r="S30" s="16"/>
      <c r="T30" s="16"/>
      <c r="U30" s="16"/>
      <c r="V30" s="16"/>
      <c r="W30" s="16"/>
    </row>
    <row r="31" spans="1:23" ht="13.5" customHeight="1" x14ac:dyDescent="0.45">
      <c r="A31" s="38"/>
      <c r="B31" s="81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81"/>
      <c r="N31" s="38"/>
      <c r="Q31" s="16"/>
      <c r="R31" s="16"/>
      <c r="S31" s="16"/>
      <c r="T31" s="16"/>
      <c r="U31" s="16"/>
      <c r="V31" s="16"/>
      <c r="W31" s="16"/>
    </row>
    <row r="32" spans="1:23" ht="13.5" customHeight="1" x14ac:dyDescent="0.45">
      <c r="A32" s="38"/>
      <c r="B32" s="81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81"/>
      <c r="N32" s="38"/>
      <c r="Q32" s="16"/>
      <c r="R32" s="16"/>
      <c r="S32" s="16"/>
      <c r="T32" s="16"/>
      <c r="U32" s="16"/>
      <c r="V32" s="16"/>
      <c r="W32" s="16"/>
    </row>
    <row r="33" spans="1:31" ht="13.5" customHeight="1" x14ac:dyDescent="0.45">
      <c r="A33" s="38"/>
      <c r="B33" s="81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81"/>
      <c r="N33" s="38"/>
      <c r="Q33" s="16"/>
      <c r="R33" s="16"/>
      <c r="S33" s="16"/>
      <c r="T33" s="16"/>
      <c r="U33" s="16"/>
      <c r="V33" s="16"/>
      <c r="W33" s="16"/>
    </row>
    <row r="34" spans="1:31" ht="13.5" customHeight="1" x14ac:dyDescent="0.45">
      <c r="A34" s="38"/>
      <c r="B34" s="81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81"/>
      <c r="N34" s="38"/>
      <c r="Q34" s="16"/>
      <c r="R34" s="16"/>
      <c r="S34" s="16"/>
      <c r="T34" s="16"/>
      <c r="U34" s="16"/>
      <c r="V34" s="16"/>
      <c r="W34" s="16"/>
    </row>
    <row r="35" spans="1:31" ht="13.5" customHeight="1" x14ac:dyDescent="0.45">
      <c r="A35" s="38"/>
      <c r="B35" s="81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81"/>
      <c r="N35" s="38"/>
      <c r="Q35" s="16"/>
      <c r="R35" s="16"/>
      <c r="S35" s="16"/>
      <c r="T35" s="16"/>
      <c r="U35" s="16"/>
      <c r="V35" s="16"/>
      <c r="W35" s="16"/>
    </row>
    <row r="36" spans="1:31" ht="13.5" customHeight="1" x14ac:dyDescent="0.45">
      <c r="A36" s="38"/>
      <c r="B36" s="81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81"/>
      <c r="N36" s="38"/>
      <c r="Q36" s="16"/>
      <c r="R36" s="16"/>
      <c r="S36" s="16"/>
      <c r="T36" s="16"/>
      <c r="U36" s="16"/>
      <c r="V36" s="16"/>
      <c r="W36" s="16"/>
    </row>
    <row r="37" spans="1:31" ht="13.5" customHeight="1" x14ac:dyDescent="0.45">
      <c r="A37" s="38"/>
      <c r="B37" s="81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81"/>
      <c r="N37" s="38"/>
      <c r="Q37" s="16"/>
      <c r="R37" s="16"/>
      <c r="S37" s="16"/>
      <c r="T37" s="16"/>
      <c r="U37" s="16"/>
      <c r="V37" s="16"/>
      <c r="W37" s="16"/>
    </row>
    <row r="38" spans="1:31" ht="13.5" customHeight="1" x14ac:dyDescent="0.45">
      <c r="A38" s="38"/>
      <c r="B38" s="81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81"/>
      <c r="N38" s="38"/>
      <c r="Q38" s="16"/>
      <c r="R38" s="16"/>
      <c r="S38" s="16"/>
      <c r="T38" s="16"/>
      <c r="U38" s="16"/>
      <c r="V38" s="16"/>
      <c r="W38" s="16"/>
    </row>
    <row r="39" spans="1:31" ht="13.5" customHeight="1" x14ac:dyDescent="0.45">
      <c r="A39" s="38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38"/>
      <c r="Q39" s="16"/>
      <c r="R39" s="16"/>
      <c r="S39" s="16"/>
      <c r="T39" s="16"/>
      <c r="U39" s="16"/>
      <c r="V39" s="16"/>
      <c r="W39" s="16"/>
    </row>
    <row r="40" spans="1:31" ht="13.5" customHeight="1" x14ac:dyDescent="0.45">
      <c r="A40" s="38"/>
      <c r="B40" s="81" t="s">
        <v>466</v>
      </c>
      <c r="C40" s="164"/>
      <c r="D40" s="81" t="s">
        <v>451</v>
      </c>
      <c r="E40" s="81"/>
      <c r="F40" s="81"/>
      <c r="G40" s="81"/>
      <c r="H40" s="81"/>
      <c r="I40" s="81"/>
      <c r="J40" s="272" t="s">
        <v>467</v>
      </c>
      <c r="K40" s="272"/>
      <c r="L40" s="164"/>
      <c r="M40" s="81" t="s">
        <v>451</v>
      </c>
      <c r="N40" s="38"/>
      <c r="Q40" s="16"/>
      <c r="R40" s="16"/>
      <c r="S40" s="16"/>
      <c r="T40" s="16"/>
      <c r="U40" s="16"/>
      <c r="V40" s="16"/>
      <c r="W40" s="16"/>
    </row>
    <row r="41" spans="1:31" ht="15" customHeight="1" x14ac:dyDescent="0.45">
      <c r="A41" s="38"/>
      <c r="B41" s="114" t="s">
        <v>464</v>
      </c>
      <c r="C41" s="102"/>
      <c r="D41" s="102"/>
      <c r="E41" s="102"/>
      <c r="F41" s="102"/>
      <c r="G41" s="102"/>
      <c r="H41" s="100"/>
      <c r="I41" s="100"/>
      <c r="J41" s="102"/>
      <c r="K41" s="102"/>
      <c r="L41" s="102"/>
      <c r="M41" s="102"/>
      <c r="N41" s="38"/>
    </row>
    <row r="42" spans="1:31" ht="15" customHeight="1" x14ac:dyDescent="0.45">
      <c r="A42" s="38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38"/>
      <c r="T42" s="1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" customHeight="1" x14ac:dyDescent="0.45">
      <c r="A43" s="38"/>
      <c r="B43" s="320" t="s">
        <v>457</v>
      </c>
      <c r="C43" s="320"/>
      <c r="D43" s="101"/>
      <c r="E43" s="101"/>
      <c r="F43" s="320"/>
      <c r="G43" s="320"/>
      <c r="H43" s="320"/>
      <c r="I43" s="320"/>
      <c r="J43" s="320"/>
      <c r="K43" s="101"/>
      <c r="L43" s="320" t="s">
        <v>459</v>
      </c>
      <c r="M43" s="320"/>
      <c r="N43" s="38"/>
    </row>
    <row r="44" spans="1:31" ht="15" customHeight="1" x14ac:dyDescent="0.45">
      <c r="A44" s="38"/>
      <c r="B44" s="329" t="s">
        <v>45</v>
      </c>
      <c r="C44" s="329"/>
      <c r="D44" s="102"/>
      <c r="E44" s="102"/>
      <c r="F44" s="329" t="s">
        <v>46</v>
      </c>
      <c r="G44" s="329"/>
      <c r="H44" s="329"/>
      <c r="I44" s="329"/>
      <c r="J44" s="329"/>
      <c r="K44" s="102"/>
      <c r="L44" s="329" t="s">
        <v>47</v>
      </c>
      <c r="M44" s="329"/>
      <c r="N44" s="38"/>
    </row>
    <row r="45" spans="1:31" ht="15" customHeight="1" x14ac:dyDescent="0.45">
      <c r="A45" s="38"/>
      <c r="B45" s="100"/>
      <c r="C45" s="155"/>
      <c r="D45" s="155"/>
      <c r="E45" s="155"/>
      <c r="F45" s="155"/>
      <c r="G45" s="100"/>
      <c r="H45" s="100"/>
      <c r="I45" s="155"/>
      <c r="J45" s="155"/>
      <c r="K45" s="155"/>
      <c r="L45" s="100"/>
      <c r="M45" s="100"/>
      <c r="N45" s="38"/>
    </row>
    <row r="46" spans="1:31" ht="18.75" x14ac:dyDescent="0.45">
      <c r="A46" s="38"/>
      <c r="B46" s="102"/>
      <c r="C46" s="81"/>
      <c r="D46" s="81"/>
      <c r="E46" s="81"/>
      <c r="F46" s="67"/>
      <c r="G46" s="67"/>
      <c r="H46" s="67"/>
      <c r="I46" s="67"/>
      <c r="J46" s="67"/>
      <c r="K46" s="67"/>
      <c r="L46" s="67"/>
      <c r="M46" s="67"/>
      <c r="N46" s="38"/>
    </row>
    <row r="47" spans="1:31" ht="15.75" customHeight="1" x14ac:dyDescent="0.45">
      <c r="A47" s="38"/>
      <c r="B47" s="327" t="s">
        <v>49</v>
      </c>
      <c r="C47" s="327"/>
      <c r="D47" s="67"/>
      <c r="E47" s="67"/>
      <c r="F47" s="272"/>
      <c r="G47" s="272"/>
      <c r="H47" s="272"/>
      <c r="I47" s="272"/>
      <c r="J47" s="330"/>
      <c r="K47" s="330"/>
      <c r="L47" s="67"/>
      <c r="M47" s="105" t="s">
        <v>173</v>
      </c>
      <c r="N47" s="38"/>
    </row>
    <row r="48" spans="1:31" ht="20.100000000000001" customHeight="1" x14ac:dyDescent="0.4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7:40" x14ac:dyDescent="0.2"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N49" s="12"/>
    </row>
    <row r="50" spans="17:40" x14ac:dyDescent="0.2"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7:40" x14ac:dyDescent="0.2"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13"/>
      <c r="AC51" s="13"/>
      <c r="AD51" s="13"/>
    </row>
  </sheetData>
  <mergeCells count="21">
    <mergeCell ref="C6:I6"/>
    <mergeCell ref="B2:B3"/>
    <mergeCell ref="C2:K3"/>
    <mergeCell ref="L2:M3"/>
    <mergeCell ref="C4:E4"/>
    <mergeCell ref="F4:J4"/>
    <mergeCell ref="B7:C7"/>
    <mergeCell ref="C12:L12"/>
    <mergeCell ref="C27:L38"/>
    <mergeCell ref="B43:C43"/>
    <mergeCell ref="F43:J43"/>
    <mergeCell ref="L43:M43"/>
    <mergeCell ref="C13:L24"/>
    <mergeCell ref="C26:L26"/>
    <mergeCell ref="J40:K40"/>
    <mergeCell ref="B44:C44"/>
    <mergeCell ref="F44:J44"/>
    <mergeCell ref="L44:M44"/>
    <mergeCell ref="B47:C47"/>
    <mergeCell ref="F47:I47"/>
    <mergeCell ref="J47:K47"/>
  </mergeCells>
  <pageMargins left="0.7" right="0.7" top="0.75" bottom="0.75" header="0.3" footer="0.3"/>
  <pageSetup paperSize="9" scale="78" orientation="portrait" r:id="rId1"/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8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9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0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1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2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3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3"/>
  <dimension ref="A1:AN40"/>
  <sheetViews>
    <sheetView view="pageBreakPreview" zoomScaleNormal="62" zoomScaleSheetLayoutView="100" workbookViewId="0">
      <selection activeCell="B2" sqref="B2:B3"/>
    </sheetView>
  </sheetViews>
  <sheetFormatPr baseColWidth="10" defaultColWidth="11.42578125" defaultRowHeight="12.75" x14ac:dyDescent="0.2"/>
  <cols>
    <col min="1" max="1" width="3.28515625" customWidth="1"/>
    <col min="2" max="2" width="19.140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14.7109375" customWidth="1"/>
    <col min="13" max="13" width="13.28515625" customWidth="1"/>
    <col min="14" max="14" width="3.28515625" customWidth="1"/>
  </cols>
  <sheetData>
    <row r="1" spans="1:23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23" ht="27.75" customHeight="1" x14ac:dyDescent="0.45">
      <c r="A2" s="38"/>
      <c r="B2" s="277"/>
      <c r="C2" s="283" t="s">
        <v>174</v>
      </c>
      <c r="D2" s="284"/>
      <c r="E2" s="284"/>
      <c r="F2" s="284"/>
      <c r="G2" s="284"/>
      <c r="H2" s="284"/>
      <c r="I2" s="284"/>
      <c r="J2" s="284"/>
      <c r="K2" s="284"/>
      <c r="L2" s="262" t="s">
        <v>52</v>
      </c>
      <c r="M2" s="264"/>
      <c r="N2" s="38"/>
    </row>
    <row r="3" spans="1:23" ht="27.75" customHeight="1" x14ac:dyDescent="0.45">
      <c r="A3" s="38"/>
      <c r="B3" s="278"/>
      <c r="C3" s="286"/>
      <c r="D3" s="287"/>
      <c r="E3" s="287"/>
      <c r="F3" s="287"/>
      <c r="G3" s="287"/>
      <c r="H3" s="287"/>
      <c r="I3" s="287"/>
      <c r="J3" s="287"/>
      <c r="K3" s="287"/>
      <c r="L3" s="265"/>
      <c r="M3" s="267"/>
      <c r="N3" s="38"/>
    </row>
    <row r="4" spans="1:23" ht="18.75" x14ac:dyDescent="0.45">
      <c r="A4" s="38"/>
      <c r="B4" s="61" t="s">
        <v>53</v>
      </c>
      <c r="C4" s="279"/>
      <c r="D4" s="279"/>
      <c r="E4" s="279"/>
      <c r="F4" s="282"/>
      <c r="G4" s="282"/>
      <c r="H4" s="282"/>
      <c r="I4" s="282"/>
      <c r="J4" s="282"/>
      <c r="K4" s="62" t="s">
        <v>48</v>
      </c>
      <c r="L4" s="63"/>
      <c r="M4" s="64"/>
      <c r="N4" s="38"/>
    </row>
    <row r="5" spans="1:23" ht="18.75" x14ac:dyDescent="0.45">
      <c r="A5" s="38"/>
      <c r="B5" s="65" t="s">
        <v>7</v>
      </c>
      <c r="C5" s="66">
        <f>DATOS!E9</f>
        <v>0</v>
      </c>
      <c r="D5" s="67"/>
      <c r="E5" s="67"/>
      <c r="F5" s="68"/>
      <c r="G5" s="68"/>
      <c r="H5" s="68"/>
      <c r="I5" s="68"/>
      <c r="J5" s="68"/>
      <c r="K5" s="68"/>
      <c r="L5" s="68"/>
      <c r="M5" s="69"/>
      <c r="N5" s="36"/>
      <c r="O5" s="14"/>
      <c r="P5" s="14"/>
      <c r="Q5" s="14"/>
    </row>
    <row r="6" spans="1:23" ht="18.75" x14ac:dyDescent="0.45">
      <c r="A6" s="38"/>
      <c r="B6" s="70" t="s">
        <v>54</v>
      </c>
      <c r="C6" s="280" t="s">
        <v>55</v>
      </c>
      <c r="D6" s="280"/>
      <c r="E6" s="280"/>
      <c r="F6" s="280"/>
      <c r="G6" s="280"/>
      <c r="H6" s="280"/>
      <c r="I6" s="280"/>
      <c r="J6" s="71"/>
      <c r="K6" s="72"/>
      <c r="L6" s="71"/>
      <c r="M6" s="94"/>
      <c r="N6" s="38"/>
      <c r="P6" s="6"/>
      <c r="Q6" s="8"/>
      <c r="R6" s="8"/>
      <c r="S6" s="8"/>
      <c r="T6" s="8"/>
      <c r="U6" s="8"/>
    </row>
    <row r="7" spans="1:23" ht="15" customHeight="1" x14ac:dyDescent="0.45">
      <c r="A7" s="38"/>
      <c r="B7" s="281" t="s">
        <v>56</v>
      </c>
      <c r="C7" s="282"/>
      <c r="D7" s="74"/>
      <c r="E7" s="79" t="s">
        <v>57</v>
      </c>
      <c r="F7" s="74"/>
      <c r="G7" s="74"/>
      <c r="H7" s="79"/>
      <c r="I7" s="79"/>
      <c r="J7" s="79"/>
      <c r="K7" s="79"/>
      <c r="L7" s="79" t="s">
        <v>58</v>
      </c>
      <c r="M7" s="75"/>
      <c r="N7" s="38"/>
      <c r="P7" s="6"/>
      <c r="Q7" s="8"/>
      <c r="R7" s="8"/>
      <c r="S7" s="8"/>
      <c r="T7" s="8"/>
      <c r="U7" s="8"/>
    </row>
    <row r="8" spans="1:23" ht="15" customHeight="1" x14ac:dyDescent="0.45">
      <c r="A8" s="38"/>
      <c r="B8" s="80"/>
      <c r="C8" s="81"/>
      <c r="D8" s="81"/>
      <c r="E8" s="67" t="s">
        <v>59</v>
      </c>
      <c r="F8" s="81"/>
      <c r="G8" s="81"/>
      <c r="H8" s="67"/>
      <c r="I8" s="67"/>
      <c r="J8" s="67"/>
      <c r="K8" s="67"/>
      <c r="L8" s="67" t="s">
        <v>60</v>
      </c>
      <c r="M8" s="82"/>
      <c r="N8" s="38"/>
      <c r="P8" s="6"/>
      <c r="Q8" s="8"/>
      <c r="R8" s="8"/>
      <c r="S8" s="8"/>
      <c r="T8" s="8"/>
      <c r="U8" s="8"/>
    </row>
    <row r="9" spans="1:23" ht="15" customHeight="1" x14ac:dyDescent="0.45">
      <c r="A9" s="38"/>
      <c r="B9" s="84"/>
      <c r="C9" s="67"/>
      <c r="D9" s="67"/>
      <c r="E9" s="67" t="s">
        <v>61</v>
      </c>
      <c r="F9" s="67"/>
      <c r="G9" s="67"/>
      <c r="H9" s="67"/>
      <c r="I9" s="67"/>
      <c r="J9" s="67"/>
      <c r="K9" s="67"/>
      <c r="L9" s="67" t="s">
        <v>62</v>
      </c>
      <c r="M9" s="82"/>
      <c r="N9" s="38"/>
      <c r="P9" s="6"/>
      <c r="Q9" s="8"/>
      <c r="R9" s="8"/>
      <c r="S9" s="8"/>
      <c r="T9" s="8"/>
      <c r="U9" s="8"/>
    </row>
    <row r="10" spans="1:23" ht="15" customHeight="1" x14ac:dyDescent="0.45">
      <c r="A10" s="38"/>
      <c r="B10" s="86"/>
      <c r="C10" s="87"/>
      <c r="D10" s="87"/>
      <c r="E10" s="87" t="s">
        <v>63</v>
      </c>
      <c r="F10" s="87"/>
      <c r="G10" s="87"/>
      <c r="H10" s="87"/>
      <c r="I10" s="87"/>
      <c r="J10" s="87"/>
      <c r="K10" s="87"/>
      <c r="L10" s="87"/>
      <c r="M10" s="88"/>
      <c r="N10" s="38"/>
      <c r="P10" s="6" t="s">
        <v>175</v>
      </c>
      <c r="Q10" s="8"/>
      <c r="R10" s="8"/>
      <c r="S10" s="8"/>
      <c r="T10" s="8"/>
      <c r="U10" s="8"/>
    </row>
    <row r="11" spans="1:23" ht="15" customHeight="1" x14ac:dyDescent="0.45">
      <c r="A11" s="38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38"/>
      <c r="P11" s="6"/>
      <c r="Q11" s="8"/>
      <c r="R11" s="8"/>
      <c r="S11" s="8"/>
      <c r="T11" s="8"/>
      <c r="U11" s="8"/>
    </row>
    <row r="12" spans="1:23" ht="15" customHeight="1" x14ac:dyDescent="0.45">
      <c r="A12" s="38"/>
      <c r="B12" s="67"/>
      <c r="C12" s="259" t="s">
        <v>169</v>
      </c>
      <c r="D12" s="260"/>
      <c r="E12" s="260"/>
      <c r="F12" s="260"/>
      <c r="G12" s="260"/>
      <c r="H12" s="260"/>
      <c r="I12" s="260"/>
      <c r="J12" s="260"/>
      <c r="K12" s="260"/>
      <c r="L12" s="261"/>
      <c r="M12" s="67"/>
      <c r="N12" s="38"/>
      <c r="P12" s="6"/>
      <c r="Q12" s="8"/>
      <c r="R12" s="8"/>
      <c r="S12" s="8"/>
      <c r="T12" s="8"/>
      <c r="U12" s="8"/>
    </row>
    <row r="13" spans="1:23" ht="15" customHeight="1" x14ac:dyDescent="0.45">
      <c r="A13" s="38"/>
      <c r="B13" s="114"/>
      <c r="C13" s="386"/>
      <c r="D13" s="385"/>
      <c r="E13" s="385"/>
      <c r="F13" s="385"/>
      <c r="G13" s="385"/>
      <c r="H13" s="385"/>
      <c r="I13" s="385"/>
      <c r="J13" s="385"/>
      <c r="K13" s="385"/>
      <c r="L13" s="387"/>
      <c r="M13" s="114"/>
      <c r="N13" s="38"/>
    </row>
    <row r="14" spans="1:23" ht="15" customHeight="1" x14ac:dyDescent="0.45">
      <c r="A14" s="38"/>
      <c r="B14" s="81"/>
      <c r="C14" s="388"/>
      <c r="D14" s="356"/>
      <c r="E14" s="356"/>
      <c r="F14" s="356"/>
      <c r="G14" s="356"/>
      <c r="H14" s="356"/>
      <c r="I14" s="356"/>
      <c r="J14" s="356"/>
      <c r="K14" s="356"/>
      <c r="L14" s="389"/>
      <c r="M14" s="81"/>
      <c r="N14" s="38"/>
      <c r="Q14" s="15" t="s">
        <v>148</v>
      </c>
      <c r="R14" s="15"/>
      <c r="S14" s="15"/>
      <c r="T14" s="15"/>
      <c r="U14" s="15"/>
      <c r="V14" s="15"/>
      <c r="W14" s="15"/>
    </row>
    <row r="15" spans="1:23" ht="13.5" customHeight="1" x14ac:dyDescent="0.45">
      <c r="A15" s="38"/>
      <c r="B15" s="81"/>
      <c r="C15" s="388"/>
      <c r="D15" s="356"/>
      <c r="E15" s="356"/>
      <c r="F15" s="356"/>
      <c r="G15" s="356"/>
      <c r="H15" s="356"/>
      <c r="I15" s="356"/>
      <c r="J15" s="356"/>
      <c r="K15" s="356"/>
      <c r="L15" s="389"/>
      <c r="M15" s="81"/>
      <c r="N15" s="38"/>
      <c r="Q15" s="16"/>
      <c r="R15" s="16"/>
      <c r="S15" s="16"/>
      <c r="T15" s="16"/>
      <c r="U15" s="16"/>
      <c r="V15" s="16"/>
      <c r="W15" s="16"/>
    </row>
    <row r="16" spans="1:23" ht="13.5" customHeight="1" x14ac:dyDescent="0.45">
      <c r="A16" s="38"/>
      <c r="B16" s="81"/>
      <c r="C16" s="388"/>
      <c r="D16" s="356"/>
      <c r="E16" s="356"/>
      <c r="F16" s="356"/>
      <c r="G16" s="356"/>
      <c r="H16" s="356"/>
      <c r="I16" s="356"/>
      <c r="J16" s="356"/>
      <c r="K16" s="356"/>
      <c r="L16" s="389"/>
      <c r="M16" s="81"/>
      <c r="N16" s="38"/>
      <c r="Q16" s="16"/>
      <c r="R16" s="16"/>
      <c r="S16" s="16"/>
      <c r="T16" s="16"/>
      <c r="U16" s="16"/>
      <c r="V16" s="16"/>
      <c r="W16" s="16"/>
    </row>
    <row r="17" spans="1:31" ht="13.5" customHeight="1" x14ac:dyDescent="0.45">
      <c r="A17" s="38"/>
      <c r="B17" s="81"/>
      <c r="C17" s="388"/>
      <c r="D17" s="356"/>
      <c r="E17" s="356"/>
      <c r="F17" s="356"/>
      <c r="G17" s="356"/>
      <c r="H17" s="356"/>
      <c r="I17" s="356"/>
      <c r="J17" s="356"/>
      <c r="K17" s="356"/>
      <c r="L17" s="389"/>
      <c r="M17" s="81"/>
      <c r="N17" s="38"/>
      <c r="Q17" s="16"/>
      <c r="R17" s="16"/>
      <c r="S17" s="16"/>
      <c r="T17" s="16"/>
      <c r="U17" s="16"/>
      <c r="V17" s="16"/>
      <c r="W17" s="16"/>
    </row>
    <row r="18" spans="1:31" ht="13.5" customHeight="1" x14ac:dyDescent="0.45">
      <c r="A18" s="38"/>
      <c r="B18" s="81"/>
      <c r="C18" s="388"/>
      <c r="D18" s="356"/>
      <c r="E18" s="356"/>
      <c r="F18" s="356"/>
      <c r="G18" s="356"/>
      <c r="H18" s="356"/>
      <c r="I18" s="356"/>
      <c r="J18" s="356"/>
      <c r="K18" s="356"/>
      <c r="L18" s="389"/>
      <c r="M18" s="81"/>
      <c r="N18" s="38"/>
      <c r="Q18" s="16"/>
      <c r="R18" s="16"/>
      <c r="S18" s="16"/>
      <c r="T18" s="16"/>
      <c r="U18" s="16"/>
      <c r="V18" s="16"/>
      <c r="W18" s="16"/>
    </row>
    <row r="19" spans="1:31" ht="13.5" customHeight="1" x14ac:dyDescent="0.45">
      <c r="A19" s="38"/>
      <c r="B19" s="81"/>
      <c r="C19" s="388"/>
      <c r="D19" s="356"/>
      <c r="E19" s="356"/>
      <c r="F19" s="356"/>
      <c r="G19" s="356"/>
      <c r="H19" s="356"/>
      <c r="I19" s="356"/>
      <c r="J19" s="356"/>
      <c r="K19" s="356"/>
      <c r="L19" s="389"/>
      <c r="M19" s="81"/>
      <c r="N19" s="38"/>
      <c r="Q19" s="16"/>
      <c r="R19" s="16"/>
      <c r="S19" s="16"/>
      <c r="T19" s="16"/>
      <c r="U19" s="16"/>
      <c r="V19" s="16"/>
      <c r="W19" s="16"/>
    </row>
    <row r="20" spans="1:31" ht="13.5" customHeight="1" x14ac:dyDescent="0.45">
      <c r="A20" s="38"/>
      <c r="B20" s="81"/>
      <c r="C20" s="388"/>
      <c r="D20" s="356"/>
      <c r="E20" s="356"/>
      <c r="F20" s="356"/>
      <c r="G20" s="356"/>
      <c r="H20" s="356"/>
      <c r="I20" s="356"/>
      <c r="J20" s="356"/>
      <c r="K20" s="356"/>
      <c r="L20" s="389"/>
      <c r="M20" s="81"/>
      <c r="N20" s="38"/>
      <c r="Q20" s="16"/>
      <c r="R20" s="16"/>
      <c r="S20" s="16"/>
      <c r="T20" s="16"/>
      <c r="U20" s="16"/>
      <c r="V20" s="16"/>
      <c r="W20" s="16"/>
    </row>
    <row r="21" spans="1:31" ht="13.5" customHeight="1" x14ac:dyDescent="0.45">
      <c r="A21" s="38"/>
      <c r="B21" s="81"/>
      <c r="C21" s="388"/>
      <c r="D21" s="356"/>
      <c r="E21" s="356"/>
      <c r="F21" s="356"/>
      <c r="G21" s="356"/>
      <c r="H21" s="356"/>
      <c r="I21" s="356"/>
      <c r="J21" s="356"/>
      <c r="K21" s="356"/>
      <c r="L21" s="389"/>
      <c r="M21" s="81"/>
      <c r="N21" s="38"/>
      <c r="Q21" s="16"/>
      <c r="R21" s="16"/>
      <c r="S21" s="16"/>
      <c r="T21" s="16"/>
      <c r="U21" s="16"/>
      <c r="V21" s="16"/>
      <c r="W21" s="16"/>
    </row>
    <row r="22" spans="1:31" ht="13.5" customHeight="1" x14ac:dyDescent="0.45">
      <c r="A22" s="38"/>
      <c r="B22" s="81"/>
      <c r="C22" s="388"/>
      <c r="D22" s="356"/>
      <c r="E22" s="356"/>
      <c r="F22" s="356"/>
      <c r="G22" s="356"/>
      <c r="H22" s="356"/>
      <c r="I22" s="356"/>
      <c r="J22" s="356"/>
      <c r="K22" s="356"/>
      <c r="L22" s="389"/>
      <c r="M22" s="81"/>
      <c r="N22" s="38"/>
      <c r="Q22" s="16"/>
      <c r="R22" s="16"/>
      <c r="S22" s="16"/>
      <c r="T22" s="16"/>
      <c r="U22" s="16"/>
      <c r="V22" s="16"/>
      <c r="W22" s="16"/>
    </row>
    <row r="23" spans="1:31" ht="13.5" customHeight="1" x14ac:dyDescent="0.45">
      <c r="A23" s="38"/>
      <c r="B23" s="81"/>
      <c r="C23" s="388"/>
      <c r="D23" s="356"/>
      <c r="E23" s="356"/>
      <c r="F23" s="356"/>
      <c r="G23" s="356"/>
      <c r="H23" s="356"/>
      <c r="I23" s="356"/>
      <c r="J23" s="356"/>
      <c r="K23" s="356"/>
      <c r="L23" s="389"/>
      <c r="M23" s="81"/>
      <c r="N23" s="38"/>
      <c r="Q23" s="16"/>
      <c r="R23" s="16"/>
      <c r="S23" s="16"/>
      <c r="T23" s="16"/>
      <c r="U23" s="16"/>
      <c r="V23" s="16"/>
      <c r="W23" s="16"/>
    </row>
    <row r="24" spans="1:31" ht="13.5" customHeight="1" x14ac:dyDescent="0.45">
      <c r="A24" s="38"/>
      <c r="B24" s="81"/>
      <c r="C24" s="388"/>
      <c r="D24" s="356"/>
      <c r="E24" s="356"/>
      <c r="F24" s="356"/>
      <c r="G24" s="356"/>
      <c r="H24" s="356"/>
      <c r="I24" s="356"/>
      <c r="J24" s="356"/>
      <c r="K24" s="356"/>
      <c r="L24" s="389"/>
      <c r="M24" s="81"/>
      <c r="N24" s="38"/>
      <c r="Q24" s="16"/>
      <c r="R24" s="16"/>
      <c r="S24" s="16"/>
      <c r="T24" s="16"/>
      <c r="U24" s="16"/>
      <c r="V24" s="16"/>
      <c r="W24" s="16"/>
    </row>
    <row r="25" spans="1:31" ht="13.5" customHeight="1" x14ac:dyDescent="0.45">
      <c r="A25" s="38"/>
      <c r="B25" s="81"/>
      <c r="C25" s="388"/>
      <c r="D25" s="356"/>
      <c r="E25" s="356"/>
      <c r="F25" s="356"/>
      <c r="G25" s="356"/>
      <c r="H25" s="356"/>
      <c r="I25" s="356"/>
      <c r="J25" s="356"/>
      <c r="K25" s="356"/>
      <c r="L25" s="389"/>
      <c r="M25" s="81"/>
      <c r="N25" s="38"/>
      <c r="Q25" s="16"/>
      <c r="R25" s="16"/>
      <c r="S25" s="16"/>
      <c r="T25" s="16"/>
      <c r="U25" s="16"/>
      <c r="V25" s="16"/>
      <c r="W25" s="16"/>
    </row>
    <row r="26" spans="1:31" ht="13.5" customHeight="1" x14ac:dyDescent="0.45">
      <c r="A26" s="38"/>
      <c r="B26" s="81"/>
      <c r="C26" s="388"/>
      <c r="D26" s="356"/>
      <c r="E26" s="356"/>
      <c r="F26" s="356"/>
      <c r="G26" s="356"/>
      <c r="H26" s="356"/>
      <c r="I26" s="356"/>
      <c r="J26" s="356"/>
      <c r="K26" s="356"/>
      <c r="L26" s="389"/>
      <c r="M26" s="81"/>
      <c r="N26" s="38"/>
      <c r="Q26" s="16"/>
      <c r="R26" s="16"/>
      <c r="S26" s="16"/>
      <c r="T26" s="16"/>
      <c r="U26" s="16"/>
      <c r="V26" s="16"/>
      <c r="W26" s="16"/>
    </row>
    <row r="27" spans="1:31" ht="13.5" customHeight="1" x14ac:dyDescent="0.45">
      <c r="A27" s="38"/>
      <c r="B27" s="81"/>
      <c r="C27" s="390"/>
      <c r="D27" s="391"/>
      <c r="E27" s="391"/>
      <c r="F27" s="391"/>
      <c r="G27" s="391"/>
      <c r="H27" s="391"/>
      <c r="I27" s="391"/>
      <c r="J27" s="391"/>
      <c r="K27" s="391"/>
      <c r="L27" s="392"/>
      <c r="M27" s="81"/>
      <c r="N27" s="38"/>
      <c r="Q27" s="16"/>
      <c r="R27" s="16"/>
      <c r="S27" s="16"/>
      <c r="T27" s="16"/>
      <c r="U27" s="16"/>
      <c r="V27" s="16"/>
      <c r="W27" s="16"/>
    </row>
    <row r="28" spans="1:31" ht="13.5" customHeight="1" x14ac:dyDescent="0.45">
      <c r="A28" s="38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38"/>
      <c r="Q28" s="16"/>
      <c r="R28" s="16"/>
      <c r="S28" s="16"/>
      <c r="T28" s="16"/>
      <c r="U28" s="16"/>
      <c r="V28" s="16"/>
      <c r="W28" s="16"/>
    </row>
    <row r="29" spans="1:31" ht="13.5" customHeight="1" x14ac:dyDescent="0.45">
      <c r="A29" s="38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38"/>
      <c r="Q29" s="16"/>
      <c r="R29" s="16"/>
      <c r="S29" s="16"/>
      <c r="T29" s="16"/>
      <c r="U29" s="16"/>
      <c r="V29" s="16"/>
      <c r="W29" s="16"/>
    </row>
    <row r="30" spans="1:31" ht="15" customHeight="1" x14ac:dyDescent="0.45">
      <c r="A30" s="38"/>
      <c r="B30" s="102"/>
      <c r="C30" s="102"/>
      <c r="D30" s="102"/>
      <c r="E30" s="102"/>
      <c r="F30" s="102"/>
      <c r="G30" s="102"/>
      <c r="H30" s="100"/>
      <c r="I30" s="100"/>
      <c r="J30" s="102"/>
      <c r="K30" s="102"/>
      <c r="L30" s="102"/>
      <c r="M30" s="102"/>
      <c r="N30" s="38"/>
    </row>
    <row r="31" spans="1:31" ht="15" customHeight="1" x14ac:dyDescent="0.45">
      <c r="A31" s="38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38"/>
      <c r="T31" s="1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" customHeight="1" x14ac:dyDescent="0.45">
      <c r="A32" s="38"/>
      <c r="B32" s="320" t="s">
        <v>457</v>
      </c>
      <c r="C32" s="320"/>
      <c r="D32" s="101"/>
      <c r="E32" s="101"/>
      <c r="F32" s="320"/>
      <c r="G32" s="320"/>
      <c r="H32" s="320"/>
      <c r="I32" s="320"/>
      <c r="J32" s="320"/>
      <c r="K32" s="101"/>
      <c r="L32" s="320" t="s">
        <v>456</v>
      </c>
      <c r="M32" s="320"/>
      <c r="N32" s="38"/>
    </row>
    <row r="33" spans="1:40" ht="15" customHeight="1" x14ac:dyDescent="0.45">
      <c r="A33" s="38"/>
      <c r="B33" s="329" t="s">
        <v>45</v>
      </c>
      <c r="C33" s="329"/>
      <c r="D33" s="102"/>
      <c r="E33" s="102"/>
      <c r="F33" s="329" t="s">
        <v>46</v>
      </c>
      <c r="G33" s="329"/>
      <c r="H33" s="329"/>
      <c r="I33" s="329"/>
      <c r="J33" s="329"/>
      <c r="K33" s="102"/>
      <c r="L33" s="329" t="s">
        <v>47</v>
      </c>
      <c r="M33" s="329"/>
      <c r="N33" s="38"/>
    </row>
    <row r="34" spans="1:40" ht="15" customHeight="1" x14ac:dyDescent="0.45">
      <c r="A34" s="38"/>
      <c r="B34" s="100"/>
      <c r="C34" s="155"/>
      <c r="D34" s="155"/>
      <c r="E34" s="155"/>
      <c r="F34" s="155"/>
      <c r="G34" s="100"/>
      <c r="H34" s="100"/>
      <c r="I34" s="155"/>
      <c r="J34" s="155"/>
      <c r="K34" s="155"/>
      <c r="L34" s="100"/>
      <c r="M34" s="100"/>
      <c r="N34" s="38"/>
    </row>
    <row r="35" spans="1:40" ht="18.75" x14ac:dyDescent="0.45">
      <c r="A35" s="38"/>
      <c r="B35" s="102"/>
      <c r="C35" s="81"/>
      <c r="D35" s="81"/>
      <c r="E35" s="81"/>
      <c r="F35" s="67"/>
      <c r="G35" s="67"/>
      <c r="H35" s="67"/>
      <c r="I35" s="67"/>
      <c r="J35" s="67"/>
      <c r="K35" s="67"/>
      <c r="L35" s="67"/>
      <c r="M35" s="67"/>
      <c r="N35" s="38"/>
    </row>
    <row r="36" spans="1:40" ht="15.75" customHeight="1" x14ac:dyDescent="0.45">
      <c r="A36" s="38"/>
      <c r="B36" s="327" t="s">
        <v>49</v>
      </c>
      <c r="C36" s="327"/>
      <c r="D36" s="67"/>
      <c r="E36" s="67"/>
      <c r="F36" s="272"/>
      <c r="G36" s="272"/>
      <c r="H36" s="272"/>
      <c r="I36" s="272"/>
      <c r="J36" s="330"/>
      <c r="K36" s="330"/>
      <c r="L36" s="67"/>
      <c r="M36" s="105" t="s">
        <v>176</v>
      </c>
      <c r="N36" s="38"/>
    </row>
    <row r="37" spans="1:40" ht="20.100000000000001" customHeight="1" x14ac:dyDescent="0.4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40" x14ac:dyDescent="0.2"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N38" s="12"/>
    </row>
    <row r="39" spans="1:40" x14ac:dyDescent="0.2"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40" x14ac:dyDescent="0.2"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13"/>
      <c r="AC40" s="13"/>
      <c r="AD40" s="13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9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0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1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/>
  <dimension ref="A1:AB121"/>
  <sheetViews>
    <sheetView zoomScaleNormal="100" workbookViewId="0">
      <selection activeCell="B8" sqref="B8"/>
    </sheetView>
  </sheetViews>
  <sheetFormatPr baseColWidth="10" defaultColWidth="11.42578125" defaultRowHeight="18.75" x14ac:dyDescent="0.45"/>
  <cols>
    <col min="1" max="1" width="7.85546875" style="165" customWidth="1"/>
    <col min="2" max="2" width="52.140625" style="38" customWidth="1"/>
    <col min="3" max="3" width="47.140625" style="38" bestFit="1" customWidth="1"/>
    <col min="4" max="16384" width="11.42578125" style="38"/>
  </cols>
  <sheetData>
    <row r="1" spans="1:3" x14ac:dyDescent="0.45">
      <c r="A1" s="166" t="s">
        <v>177</v>
      </c>
      <c r="B1" s="166"/>
      <c r="C1" s="166"/>
    </row>
    <row r="2" spans="1:3" x14ac:dyDescent="0.45">
      <c r="A2" s="166" t="s">
        <v>178</v>
      </c>
      <c r="B2" s="167" t="s">
        <v>179</v>
      </c>
      <c r="C2" s="167" t="s">
        <v>180</v>
      </c>
    </row>
    <row r="3" spans="1:3" x14ac:dyDescent="0.45">
      <c r="A3" s="123">
        <v>0</v>
      </c>
      <c r="B3" s="168" t="s">
        <v>86</v>
      </c>
      <c r="C3" s="168" t="s">
        <v>86</v>
      </c>
    </row>
    <row r="4" spans="1:3" x14ac:dyDescent="0.45">
      <c r="A4" s="123">
        <v>1</v>
      </c>
      <c r="B4" s="168" t="s">
        <v>181</v>
      </c>
      <c r="C4" s="168" t="s">
        <v>182</v>
      </c>
    </row>
    <row r="5" spans="1:3" x14ac:dyDescent="0.45">
      <c r="A5" s="123">
        <v>2</v>
      </c>
      <c r="B5" s="168" t="s">
        <v>183</v>
      </c>
      <c r="C5" s="168" t="s">
        <v>184</v>
      </c>
    </row>
    <row r="6" spans="1:3" x14ac:dyDescent="0.45">
      <c r="A6" s="123">
        <v>3</v>
      </c>
      <c r="B6" s="168" t="s">
        <v>185</v>
      </c>
      <c r="C6" s="168" t="s">
        <v>186</v>
      </c>
    </row>
    <row r="7" spans="1:3" x14ac:dyDescent="0.45">
      <c r="A7" s="123">
        <v>4</v>
      </c>
      <c r="B7" s="168" t="s">
        <v>187</v>
      </c>
      <c r="C7" s="168" t="s">
        <v>188</v>
      </c>
    </row>
    <row r="8" spans="1:3" x14ac:dyDescent="0.45">
      <c r="A8" s="123">
        <v>5</v>
      </c>
      <c r="B8" s="168" t="s">
        <v>189</v>
      </c>
      <c r="C8" s="168" t="s">
        <v>190</v>
      </c>
    </row>
    <row r="9" spans="1:3" x14ac:dyDescent="0.45">
      <c r="A9" s="123">
        <v>6</v>
      </c>
      <c r="B9" s="168" t="s">
        <v>191</v>
      </c>
      <c r="C9" s="168" t="s">
        <v>192</v>
      </c>
    </row>
    <row r="10" spans="1:3" x14ac:dyDescent="0.45">
      <c r="A10" s="123">
        <v>7</v>
      </c>
      <c r="B10" s="168" t="s">
        <v>193</v>
      </c>
      <c r="C10" s="168" t="s">
        <v>194</v>
      </c>
    </row>
    <row r="11" spans="1:3" x14ac:dyDescent="0.45">
      <c r="A11" s="123">
        <v>8</v>
      </c>
      <c r="B11" s="168" t="s">
        <v>195</v>
      </c>
      <c r="C11" s="168" t="s">
        <v>196</v>
      </c>
    </row>
    <row r="12" spans="1:3" x14ac:dyDescent="0.45">
      <c r="A12" s="123">
        <v>9</v>
      </c>
      <c r="B12" s="168" t="s">
        <v>197</v>
      </c>
      <c r="C12" s="168" t="s">
        <v>198</v>
      </c>
    </row>
    <row r="13" spans="1:3" x14ac:dyDescent="0.45">
      <c r="A13" s="123">
        <v>10</v>
      </c>
      <c r="B13" s="168" t="s">
        <v>199</v>
      </c>
      <c r="C13" s="168" t="s">
        <v>200</v>
      </c>
    </row>
    <row r="14" spans="1:3" x14ac:dyDescent="0.45">
      <c r="A14" s="123">
        <v>11</v>
      </c>
      <c r="B14" s="168" t="s">
        <v>201</v>
      </c>
      <c r="C14" s="168" t="s">
        <v>202</v>
      </c>
    </row>
    <row r="15" spans="1:3" x14ac:dyDescent="0.45">
      <c r="A15" s="123">
        <v>12</v>
      </c>
      <c r="B15" s="168" t="s">
        <v>203</v>
      </c>
      <c r="C15" s="168" t="s">
        <v>204</v>
      </c>
    </row>
    <row r="16" spans="1:3" x14ac:dyDescent="0.45">
      <c r="A16" s="123">
        <v>13</v>
      </c>
      <c r="B16" s="168" t="s">
        <v>205</v>
      </c>
      <c r="C16" s="168" t="s">
        <v>206</v>
      </c>
    </row>
    <row r="17" spans="1:3" x14ac:dyDescent="0.45">
      <c r="A17" s="123">
        <v>14</v>
      </c>
      <c r="B17" s="168" t="s">
        <v>207</v>
      </c>
      <c r="C17" s="168" t="s">
        <v>208</v>
      </c>
    </row>
    <row r="18" spans="1:3" x14ac:dyDescent="0.45">
      <c r="A18" s="123">
        <v>15</v>
      </c>
      <c r="B18" s="168" t="s">
        <v>209</v>
      </c>
      <c r="C18" s="168" t="s">
        <v>210</v>
      </c>
    </row>
    <row r="19" spans="1:3" x14ac:dyDescent="0.45">
      <c r="A19" s="123">
        <v>16</v>
      </c>
      <c r="B19" s="168" t="s">
        <v>211</v>
      </c>
      <c r="C19" s="168" t="s">
        <v>212</v>
      </c>
    </row>
    <row r="20" spans="1:3" x14ac:dyDescent="0.45">
      <c r="A20" s="123">
        <v>17</v>
      </c>
      <c r="B20" s="168" t="s">
        <v>213</v>
      </c>
      <c r="C20" s="168" t="s">
        <v>214</v>
      </c>
    </row>
    <row r="21" spans="1:3" x14ac:dyDescent="0.45">
      <c r="A21" s="123">
        <v>18</v>
      </c>
      <c r="B21" s="168" t="s">
        <v>215</v>
      </c>
      <c r="C21" s="168" t="s">
        <v>216</v>
      </c>
    </row>
    <row r="22" spans="1:3" x14ac:dyDescent="0.45">
      <c r="A22" s="123">
        <v>19</v>
      </c>
      <c r="B22" s="168" t="s">
        <v>217</v>
      </c>
      <c r="C22" s="168" t="s">
        <v>218</v>
      </c>
    </row>
    <row r="23" spans="1:3" x14ac:dyDescent="0.45">
      <c r="A23" s="123">
        <v>20</v>
      </c>
      <c r="B23" s="168" t="s">
        <v>219</v>
      </c>
      <c r="C23" s="168" t="s">
        <v>220</v>
      </c>
    </row>
    <row r="24" spans="1:3" x14ac:dyDescent="0.45">
      <c r="A24" s="123">
        <v>21</v>
      </c>
      <c r="B24" s="168" t="s">
        <v>221</v>
      </c>
      <c r="C24" s="168" t="s">
        <v>222</v>
      </c>
    </row>
    <row r="25" spans="1:3" x14ac:dyDescent="0.45">
      <c r="A25" s="123">
        <v>22</v>
      </c>
      <c r="B25" s="168" t="s">
        <v>223</v>
      </c>
      <c r="C25" s="168" t="s">
        <v>224</v>
      </c>
    </row>
    <row r="26" spans="1:3" x14ac:dyDescent="0.45">
      <c r="A26" s="123">
        <v>23</v>
      </c>
      <c r="B26" s="168" t="s">
        <v>225</v>
      </c>
      <c r="C26" s="168" t="s">
        <v>226</v>
      </c>
    </row>
    <row r="27" spans="1:3" x14ac:dyDescent="0.45">
      <c r="A27" s="123">
        <v>24</v>
      </c>
      <c r="B27" s="168" t="s">
        <v>227</v>
      </c>
      <c r="C27" s="168" t="s">
        <v>228</v>
      </c>
    </row>
    <row r="28" spans="1:3" x14ac:dyDescent="0.45">
      <c r="A28" s="123">
        <v>25</v>
      </c>
      <c r="B28" s="168" t="s">
        <v>229</v>
      </c>
      <c r="C28" s="168" t="s">
        <v>230</v>
      </c>
    </row>
    <row r="29" spans="1:3" x14ac:dyDescent="0.45">
      <c r="A29" s="123">
        <v>26</v>
      </c>
      <c r="B29" s="168" t="s">
        <v>231</v>
      </c>
      <c r="C29" s="168" t="s">
        <v>232</v>
      </c>
    </row>
    <row r="30" spans="1:3" x14ac:dyDescent="0.45">
      <c r="A30" s="123">
        <v>27</v>
      </c>
      <c r="B30" s="168" t="s">
        <v>233</v>
      </c>
      <c r="C30" s="168" t="s">
        <v>234</v>
      </c>
    </row>
    <row r="31" spans="1:3" x14ac:dyDescent="0.45">
      <c r="A31" s="123">
        <v>28</v>
      </c>
      <c r="B31" s="168" t="s">
        <v>235</v>
      </c>
      <c r="C31" s="168" t="s">
        <v>236</v>
      </c>
    </row>
    <row r="32" spans="1:3" x14ac:dyDescent="0.45">
      <c r="A32" s="123">
        <v>29</v>
      </c>
      <c r="B32" s="168" t="s">
        <v>237</v>
      </c>
      <c r="C32" s="168" t="s">
        <v>238</v>
      </c>
    </row>
    <row r="33" spans="1:3" x14ac:dyDescent="0.45">
      <c r="A33" s="123">
        <v>30</v>
      </c>
      <c r="B33" s="168" t="s">
        <v>239</v>
      </c>
      <c r="C33" s="168" t="s">
        <v>240</v>
      </c>
    </row>
    <row r="34" spans="1:3" x14ac:dyDescent="0.45">
      <c r="A34" s="123">
        <v>31</v>
      </c>
      <c r="B34" s="168" t="s">
        <v>241</v>
      </c>
      <c r="C34" s="168" t="s">
        <v>242</v>
      </c>
    </row>
    <row r="35" spans="1:3" x14ac:dyDescent="0.45">
      <c r="A35" s="123">
        <v>32</v>
      </c>
      <c r="B35" s="168" t="s">
        <v>243</v>
      </c>
      <c r="C35" s="168" t="s">
        <v>244</v>
      </c>
    </row>
    <row r="36" spans="1:3" x14ac:dyDescent="0.45">
      <c r="A36" s="123">
        <v>33</v>
      </c>
      <c r="B36" s="168" t="s">
        <v>245</v>
      </c>
      <c r="C36" s="168" t="s">
        <v>246</v>
      </c>
    </row>
    <row r="37" spans="1:3" x14ac:dyDescent="0.45">
      <c r="A37" s="123">
        <v>34</v>
      </c>
      <c r="B37" s="168" t="s">
        <v>247</v>
      </c>
      <c r="C37" s="168" t="s">
        <v>248</v>
      </c>
    </row>
    <row r="38" spans="1:3" x14ac:dyDescent="0.45">
      <c r="A38" s="123">
        <v>35</v>
      </c>
      <c r="B38" s="168" t="s">
        <v>249</v>
      </c>
      <c r="C38" s="168" t="s">
        <v>250</v>
      </c>
    </row>
    <row r="39" spans="1:3" x14ac:dyDescent="0.45">
      <c r="A39" s="123">
        <v>36</v>
      </c>
      <c r="B39" s="168" t="s">
        <v>251</v>
      </c>
      <c r="C39" s="168" t="s">
        <v>252</v>
      </c>
    </row>
    <row r="40" spans="1:3" x14ac:dyDescent="0.45">
      <c r="A40" s="123">
        <v>37</v>
      </c>
      <c r="B40" s="168" t="s">
        <v>253</v>
      </c>
      <c r="C40" s="168" t="s">
        <v>254</v>
      </c>
    </row>
    <row r="41" spans="1:3" x14ac:dyDescent="0.45">
      <c r="A41" s="123">
        <v>38</v>
      </c>
      <c r="B41" s="168" t="s">
        <v>255</v>
      </c>
      <c r="C41" s="168" t="s">
        <v>256</v>
      </c>
    </row>
    <row r="42" spans="1:3" x14ac:dyDescent="0.45">
      <c r="A42" s="123">
        <v>39</v>
      </c>
      <c r="B42" s="168" t="s">
        <v>257</v>
      </c>
      <c r="C42" s="168" t="s">
        <v>258</v>
      </c>
    </row>
    <row r="43" spans="1:3" x14ac:dyDescent="0.45">
      <c r="A43" s="123">
        <v>40</v>
      </c>
      <c r="B43" s="168" t="s">
        <v>259</v>
      </c>
      <c r="C43" s="168" t="s">
        <v>260</v>
      </c>
    </row>
    <row r="44" spans="1:3" x14ac:dyDescent="0.45">
      <c r="A44" s="123">
        <v>41</v>
      </c>
      <c r="B44" s="168" t="s">
        <v>261</v>
      </c>
      <c r="C44" s="168" t="s">
        <v>262</v>
      </c>
    </row>
    <row r="45" spans="1:3" x14ac:dyDescent="0.45">
      <c r="A45" s="123">
        <v>42</v>
      </c>
      <c r="B45" s="168" t="s">
        <v>263</v>
      </c>
      <c r="C45" s="168" t="s">
        <v>264</v>
      </c>
    </row>
    <row r="46" spans="1:3" x14ac:dyDescent="0.45">
      <c r="A46" s="123">
        <v>43</v>
      </c>
      <c r="B46" s="168" t="s">
        <v>265</v>
      </c>
      <c r="C46" s="168" t="s">
        <v>266</v>
      </c>
    </row>
    <row r="47" spans="1:3" x14ac:dyDescent="0.45">
      <c r="A47" s="123">
        <v>44</v>
      </c>
      <c r="B47" s="168" t="s">
        <v>267</v>
      </c>
      <c r="C47" s="168" t="s">
        <v>268</v>
      </c>
    </row>
    <row r="48" spans="1:3" x14ac:dyDescent="0.45">
      <c r="A48" s="123">
        <v>45</v>
      </c>
      <c r="B48" s="168" t="s">
        <v>269</v>
      </c>
      <c r="C48" s="168" t="s">
        <v>270</v>
      </c>
    </row>
    <row r="49" spans="1:28" x14ac:dyDescent="0.45">
      <c r="A49" s="123">
        <v>46</v>
      </c>
      <c r="B49" s="168" t="s">
        <v>271</v>
      </c>
      <c r="C49" s="168" t="s">
        <v>272</v>
      </c>
    </row>
    <row r="50" spans="1:28" x14ac:dyDescent="0.45">
      <c r="A50" s="123">
        <v>47</v>
      </c>
      <c r="B50" s="168" t="s">
        <v>273</v>
      </c>
      <c r="C50" s="168" t="s">
        <v>274</v>
      </c>
    </row>
    <row r="51" spans="1:28" x14ac:dyDescent="0.45">
      <c r="A51" s="123">
        <v>48</v>
      </c>
      <c r="B51" s="168" t="s">
        <v>241</v>
      </c>
      <c r="C51" s="168" t="s">
        <v>242</v>
      </c>
    </row>
    <row r="52" spans="1:28" x14ac:dyDescent="0.45">
      <c r="A52" s="123">
        <v>49</v>
      </c>
      <c r="B52" s="168" t="s">
        <v>275</v>
      </c>
      <c r="C52" s="168" t="s">
        <v>276</v>
      </c>
    </row>
    <row r="53" spans="1:28" x14ac:dyDescent="0.45">
      <c r="A53" s="123">
        <v>50</v>
      </c>
      <c r="B53" s="168" t="s">
        <v>277</v>
      </c>
      <c r="C53" s="168" t="s">
        <v>278</v>
      </c>
    </row>
    <row r="54" spans="1:28" x14ac:dyDescent="0.45">
      <c r="A54" s="123">
        <v>51</v>
      </c>
      <c r="B54" s="168" t="s">
        <v>279</v>
      </c>
      <c r="C54" s="168" t="s">
        <v>280</v>
      </c>
    </row>
    <row r="55" spans="1:28" x14ac:dyDescent="0.45">
      <c r="A55" s="123">
        <v>52</v>
      </c>
      <c r="B55" s="168" t="s">
        <v>281</v>
      </c>
      <c r="C55" s="168" t="s">
        <v>282</v>
      </c>
    </row>
    <row r="56" spans="1:28" x14ac:dyDescent="0.45">
      <c r="A56" s="123">
        <v>53</v>
      </c>
      <c r="B56" s="169" t="s">
        <v>283</v>
      </c>
      <c r="C56" s="168" t="s">
        <v>284</v>
      </c>
    </row>
    <row r="57" spans="1:28" x14ac:dyDescent="0.45">
      <c r="A57" s="123">
        <v>54</v>
      </c>
      <c r="B57" s="168" t="s">
        <v>285</v>
      </c>
      <c r="C57" s="168"/>
    </row>
    <row r="58" spans="1:28" x14ac:dyDescent="0.45">
      <c r="A58" s="123">
        <v>55</v>
      </c>
      <c r="B58" s="168" t="s">
        <v>286</v>
      </c>
      <c r="C58" s="168" t="s">
        <v>287</v>
      </c>
    </row>
    <row r="59" spans="1:28" x14ac:dyDescent="0.45">
      <c r="A59" s="123">
        <v>56</v>
      </c>
      <c r="B59" s="168" t="s">
        <v>288</v>
      </c>
      <c r="C59" s="168" t="s">
        <v>289</v>
      </c>
    </row>
    <row r="60" spans="1:28" x14ac:dyDescent="0.45">
      <c r="A60" s="123">
        <v>57</v>
      </c>
      <c r="B60" s="168" t="s">
        <v>290</v>
      </c>
      <c r="C60" s="168" t="s">
        <v>291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x14ac:dyDescent="0.45">
      <c r="A61" s="123">
        <v>58</v>
      </c>
      <c r="B61" s="168" t="s">
        <v>292</v>
      </c>
      <c r="C61" s="168" t="s">
        <v>293</v>
      </c>
    </row>
    <row r="62" spans="1:28" x14ac:dyDescent="0.45">
      <c r="A62" s="123">
        <v>59</v>
      </c>
      <c r="B62" s="168" t="s">
        <v>294</v>
      </c>
      <c r="C62" s="168" t="s">
        <v>295</v>
      </c>
    </row>
    <row r="63" spans="1:28" x14ac:dyDescent="0.45">
      <c r="A63" s="123">
        <v>60</v>
      </c>
      <c r="B63" s="168" t="s">
        <v>296</v>
      </c>
      <c r="C63" s="168" t="s">
        <v>297</v>
      </c>
    </row>
    <row r="64" spans="1:28" x14ac:dyDescent="0.45">
      <c r="A64" s="123">
        <v>61</v>
      </c>
      <c r="B64" s="168" t="s">
        <v>298</v>
      </c>
      <c r="C64" s="168" t="s">
        <v>299</v>
      </c>
    </row>
    <row r="65" spans="1:3" x14ac:dyDescent="0.45">
      <c r="A65" s="123">
        <v>62</v>
      </c>
      <c r="B65" s="169" t="s">
        <v>300</v>
      </c>
      <c r="C65" s="169" t="s">
        <v>301</v>
      </c>
    </row>
    <row r="66" spans="1:3" x14ac:dyDescent="0.45">
      <c r="A66" s="123">
        <v>63</v>
      </c>
      <c r="B66" s="169" t="s">
        <v>302</v>
      </c>
      <c r="C66" s="169" t="s">
        <v>303</v>
      </c>
    </row>
    <row r="67" spans="1:3" x14ac:dyDescent="0.45">
      <c r="A67" s="123">
        <v>64</v>
      </c>
      <c r="B67" s="168" t="s">
        <v>304</v>
      </c>
      <c r="C67" s="168" t="s">
        <v>305</v>
      </c>
    </row>
    <row r="68" spans="1:3" x14ac:dyDescent="0.45">
      <c r="A68" s="123">
        <v>65</v>
      </c>
      <c r="B68" s="168" t="s">
        <v>306</v>
      </c>
      <c r="C68" s="168" t="s">
        <v>307</v>
      </c>
    </row>
    <row r="69" spans="1:3" x14ac:dyDescent="0.45">
      <c r="A69" s="165">
        <v>66</v>
      </c>
      <c r="B69" s="169" t="s">
        <v>308</v>
      </c>
      <c r="C69" s="168" t="s">
        <v>309</v>
      </c>
    </row>
    <row r="70" spans="1:3" x14ac:dyDescent="0.45">
      <c r="A70" s="123">
        <v>67</v>
      </c>
      <c r="B70" s="168" t="s">
        <v>310</v>
      </c>
      <c r="C70" s="168" t="s">
        <v>311</v>
      </c>
    </row>
    <row r="71" spans="1:3" x14ac:dyDescent="0.45">
      <c r="A71" s="123">
        <v>68</v>
      </c>
      <c r="B71" s="168" t="s">
        <v>312</v>
      </c>
      <c r="C71" s="168" t="s">
        <v>313</v>
      </c>
    </row>
    <row r="72" spans="1:3" x14ac:dyDescent="0.45">
      <c r="A72" s="123">
        <v>69</v>
      </c>
      <c r="B72" s="168" t="s">
        <v>314</v>
      </c>
      <c r="C72" s="168" t="s">
        <v>315</v>
      </c>
    </row>
    <row r="73" spans="1:3" x14ac:dyDescent="0.45">
      <c r="A73" s="123">
        <v>70</v>
      </c>
      <c r="B73" s="168" t="s">
        <v>316</v>
      </c>
      <c r="C73" s="168" t="s">
        <v>317</v>
      </c>
    </row>
    <row r="74" spans="1:3" x14ac:dyDescent="0.45">
      <c r="A74" s="123">
        <v>71</v>
      </c>
      <c r="B74" s="168" t="s">
        <v>318</v>
      </c>
      <c r="C74" s="168" t="s">
        <v>319</v>
      </c>
    </row>
    <row r="75" spans="1:3" x14ac:dyDescent="0.45">
      <c r="A75" s="165">
        <v>72</v>
      </c>
      <c r="B75" s="168" t="s">
        <v>320</v>
      </c>
      <c r="C75" s="168" t="s">
        <v>321</v>
      </c>
    </row>
    <row r="76" spans="1:3" x14ac:dyDescent="0.45">
      <c r="A76" s="165">
        <v>73</v>
      </c>
      <c r="B76" s="168" t="s">
        <v>322</v>
      </c>
      <c r="C76" s="168" t="s">
        <v>323</v>
      </c>
    </row>
    <row r="77" spans="1:3" x14ac:dyDescent="0.45">
      <c r="A77" s="123">
        <v>74</v>
      </c>
      <c r="B77" s="168" t="s">
        <v>324</v>
      </c>
      <c r="C77" s="168" t="s">
        <v>325</v>
      </c>
    </row>
    <row r="78" spans="1:3" x14ac:dyDescent="0.45">
      <c r="A78" s="165">
        <v>75</v>
      </c>
      <c r="B78" s="169" t="s">
        <v>326</v>
      </c>
      <c r="C78" s="169" t="s">
        <v>327</v>
      </c>
    </row>
    <row r="79" spans="1:3" x14ac:dyDescent="0.45">
      <c r="A79" s="165">
        <v>76</v>
      </c>
      <c r="B79" s="38" t="s">
        <v>328</v>
      </c>
      <c r="C79" s="38" t="s">
        <v>329</v>
      </c>
    </row>
    <row r="80" spans="1:3" x14ac:dyDescent="0.45">
      <c r="A80" s="165">
        <v>77</v>
      </c>
      <c r="B80" s="38" t="s">
        <v>330</v>
      </c>
      <c r="C80" s="38" t="s">
        <v>331</v>
      </c>
    </row>
    <row r="81" spans="1:3" x14ac:dyDescent="0.45">
      <c r="A81" s="165">
        <v>78</v>
      </c>
      <c r="B81" s="38" t="s">
        <v>332</v>
      </c>
      <c r="C81" s="38" t="s">
        <v>333</v>
      </c>
    </row>
    <row r="82" spans="1:3" x14ac:dyDescent="0.45">
      <c r="A82" s="165">
        <v>79</v>
      </c>
      <c r="B82" s="38" t="s">
        <v>334</v>
      </c>
      <c r="C82" s="38" t="s">
        <v>335</v>
      </c>
    </row>
    <row r="83" spans="1:3" x14ac:dyDescent="0.45">
      <c r="A83" s="165">
        <v>80</v>
      </c>
      <c r="B83" s="38" t="s">
        <v>336</v>
      </c>
      <c r="C83" s="38" t="s">
        <v>337</v>
      </c>
    </row>
    <row r="84" spans="1:3" x14ac:dyDescent="0.45">
      <c r="A84" s="165">
        <v>81</v>
      </c>
      <c r="B84" s="38" t="s">
        <v>338</v>
      </c>
      <c r="C84" s="38" t="s">
        <v>339</v>
      </c>
    </row>
    <row r="85" spans="1:3" x14ac:dyDescent="0.45">
      <c r="A85" s="165">
        <v>82</v>
      </c>
      <c r="B85" s="168" t="s">
        <v>340</v>
      </c>
      <c r="C85" s="168" t="s">
        <v>341</v>
      </c>
    </row>
    <row r="86" spans="1:3" x14ac:dyDescent="0.45">
      <c r="A86" s="165">
        <v>83</v>
      </c>
      <c r="B86" s="38" t="s">
        <v>342</v>
      </c>
      <c r="C86" s="38" t="s">
        <v>343</v>
      </c>
    </row>
    <row r="87" spans="1:3" x14ac:dyDescent="0.45">
      <c r="A87" s="165">
        <v>84</v>
      </c>
      <c r="B87" s="38" t="s">
        <v>344</v>
      </c>
      <c r="C87" s="38" t="s">
        <v>345</v>
      </c>
    </row>
    <row r="88" spans="1:3" x14ac:dyDescent="0.45">
      <c r="A88" s="165">
        <v>85</v>
      </c>
      <c r="B88" s="38" t="s">
        <v>346</v>
      </c>
      <c r="C88" s="38" t="s">
        <v>347</v>
      </c>
    </row>
    <row r="89" spans="1:3" x14ac:dyDescent="0.45">
      <c r="A89" s="165">
        <v>86</v>
      </c>
      <c r="B89" s="38" t="s">
        <v>348</v>
      </c>
      <c r="C89" s="38" t="s">
        <v>349</v>
      </c>
    </row>
    <row r="90" spans="1:3" x14ac:dyDescent="0.45">
      <c r="A90" s="165">
        <v>87</v>
      </c>
      <c r="B90" s="38" t="s">
        <v>350</v>
      </c>
      <c r="C90" s="38" t="s">
        <v>295</v>
      </c>
    </row>
    <row r="91" spans="1:3" x14ac:dyDescent="0.45">
      <c r="A91" s="165">
        <v>88</v>
      </c>
      <c r="B91" s="38" t="s">
        <v>351</v>
      </c>
      <c r="C91" s="38" t="s">
        <v>352</v>
      </c>
    </row>
    <row r="92" spans="1:3" x14ac:dyDescent="0.45">
      <c r="A92" s="165">
        <v>89</v>
      </c>
      <c r="B92" s="38" t="s">
        <v>353</v>
      </c>
      <c r="C92" s="38" t="s">
        <v>354</v>
      </c>
    </row>
    <row r="93" spans="1:3" x14ac:dyDescent="0.45">
      <c r="A93" s="165">
        <v>90</v>
      </c>
      <c r="B93" s="38" t="s">
        <v>355</v>
      </c>
      <c r="C93" s="38" t="s">
        <v>356</v>
      </c>
    </row>
    <row r="94" spans="1:3" x14ac:dyDescent="0.45">
      <c r="A94" s="165">
        <v>91</v>
      </c>
      <c r="B94" s="38" t="s">
        <v>357</v>
      </c>
      <c r="C94" s="38" t="s">
        <v>358</v>
      </c>
    </row>
    <row r="95" spans="1:3" x14ac:dyDescent="0.45">
      <c r="A95" s="165">
        <v>92</v>
      </c>
      <c r="B95" s="38" t="s">
        <v>359</v>
      </c>
      <c r="C95" s="38" t="s">
        <v>360</v>
      </c>
    </row>
    <row r="96" spans="1:3" x14ac:dyDescent="0.45">
      <c r="A96" s="165">
        <v>93</v>
      </c>
      <c r="B96" s="38" t="s">
        <v>361</v>
      </c>
      <c r="C96" s="38" t="s">
        <v>362</v>
      </c>
    </row>
    <row r="97" spans="1:3" x14ac:dyDescent="0.45">
      <c r="A97" s="165">
        <v>94</v>
      </c>
      <c r="B97" s="38" t="s">
        <v>363</v>
      </c>
      <c r="C97" s="38" t="s">
        <v>364</v>
      </c>
    </row>
    <row r="98" spans="1:3" x14ac:dyDescent="0.45">
      <c r="A98" s="165">
        <v>95</v>
      </c>
      <c r="B98" s="38" t="s">
        <v>365</v>
      </c>
      <c r="C98" s="38" t="s">
        <v>366</v>
      </c>
    </row>
    <row r="99" spans="1:3" x14ac:dyDescent="0.45">
      <c r="A99" s="165">
        <v>96</v>
      </c>
      <c r="B99" s="38" t="s">
        <v>367</v>
      </c>
      <c r="C99" s="38" t="s">
        <v>368</v>
      </c>
    </row>
    <row r="100" spans="1:3" x14ac:dyDescent="0.45">
      <c r="A100" s="165">
        <v>97</v>
      </c>
      <c r="B100" s="38" t="s">
        <v>369</v>
      </c>
      <c r="C100" s="38" t="s">
        <v>370</v>
      </c>
    </row>
    <row r="101" spans="1:3" x14ac:dyDescent="0.45">
      <c r="A101" s="165">
        <v>98</v>
      </c>
      <c r="B101" s="38" t="s">
        <v>371</v>
      </c>
      <c r="C101" s="38" t="s">
        <v>372</v>
      </c>
    </row>
    <row r="102" spans="1:3" x14ac:dyDescent="0.45">
      <c r="A102" s="165">
        <v>99</v>
      </c>
      <c r="B102" s="38" t="s">
        <v>373</v>
      </c>
      <c r="C102" s="38" t="s">
        <v>374</v>
      </c>
    </row>
    <row r="103" spans="1:3" x14ac:dyDescent="0.45">
      <c r="A103" s="165">
        <v>100</v>
      </c>
      <c r="B103" s="38" t="s">
        <v>375</v>
      </c>
      <c r="C103" s="38" t="s">
        <v>376</v>
      </c>
    </row>
    <row r="104" spans="1:3" x14ac:dyDescent="0.45">
      <c r="A104" s="165">
        <v>101</v>
      </c>
      <c r="B104" s="38" t="s">
        <v>377</v>
      </c>
      <c r="C104" s="38" t="s">
        <v>378</v>
      </c>
    </row>
    <row r="105" spans="1:3" x14ac:dyDescent="0.45">
      <c r="A105" s="165">
        <v>102</v>
      </c>
      <c r="B105" s="38" t="s">
        <v>379</v>
      </c>
      <c r="C105" s="38" t="s">
        <v>380</v>
      </c>
    </row>
    <row r="106" spans="1:3" x14ac:dyDescent="0.45">
      <c r="A106" s="165">
        <v>103</v>
      </c>
      <c r="B106" s="38" t="s">
        <v>381</v>
      </c>
      <c r="C106" s="38" t="s">
        <v>382</v>
      </c>
    </row>
    <row r="107" spans="1:3" x14ac:dyDescent="0.45">
      <c r="A107" s="165">
        <v>104</v>
      </c>
      <c r="B107" s="38" t="s">
        <v>383</v>
      </c>
      <c r="C107" s="38" t="s">
        <v>384</v>
      </c>
    </row>
    <row r="108" spans="1:3" x14ac:dyDescent="0.45">
      <c r="A108" s="165">
        <v>105</v>
      </c>
      <c r="B108" s="38" t="s">
        <v>385</v>
      </c>
      <c r="C108" s="38" t="s">
        <v>386</v>
      </c>
    </row>
    <row r="109" spans="1:3" x14ac:dyDescent="0.45">
      <c r="A109" s="165">
        <v>106</v>
      </c>
      <c r="B109" s="38" t="s">
        <v>387</v>
      </c>
      <c r="C109" s="38" t="s">
        <v>388</v>
      </c>
    </row>
    <row r="110" spans="1:3" x14ac:dyDescent="0.45">
      <c r="A110" s="165">
        <v>107</v>
      </c>
      <c r="B110" s="38" t="s">
        <v>389</v>
      </c>
      <c r="C110" s="38" t="s">
        <v>390</v>
      </c>
    </row>
    <row r="111" spans="1:3" x14ac:dyDescent="0.45">
      <c r="A111" s="165">
        <v>108</v>
      </c>
      <c r="B111" s="38" t="s">
        <v>391</v>
      </c>
      <c r="C111" s="38" t="s">
        <v>392</v>
      </c>
    </row>
    <row r="112" spans="1:3" x14ac:dyDescent="0.45">
      <c r="A112" s="165">
        <v>109</v>
      </c>
      <c r="B112" s="38" t="s">
        <v>393</v>
      </c>
      <c r="C112" s="38" t="s">
        <v>394</v>
      </c>
    </row>
    <row r="113" spans="1:3" x14ac:dyDescent="0.45">
      <c r="A113" s="165">
        <v>110</v>
      </c>
      <c r="B113" s="38" t="s">
        <v>395</v>
      </c>
      <c r="C113" s="38" t="s">
        <v>396</v>
      </c>
    </row>
    <row r="114" spans="1:3" x14ac:dyDescent="0.45">
      <c r="A114" s="165">
        <v>111</v>
      </c>
      <c r="B114" s="38" t="s">
        <v>397</v>
      </c>
      <c r="C114" s="38" t="s">
        <v>398</v>
      </c>
    </row>
    <row r="115" spans="1:3" x14ac:dyDescent="0.45">
      <c r="A115" s="165">
        <v>112</v>
      </c>
      <c r="B115" s="38" t="s">
        <v>399</v>
      </c>
      <c r="C115" s="38" t="s">
        <v>400</v>
      </c>
    </row>
    <row r="116" spans="1:3" x14ac:dyDescent="0.45">
      <c r="A116" s="165">
        <v>113</v>
      </c>
      <c r="B116" s="38" t="s">
        <v>401</v>
      </c>
      <c r="C116" s="38" t="s">
        <v>402</v>
      </c>
    </row>
    <row r="117" spans="1:3" x14ac:dyDescent="0.45">
      <c r="A117" s="165">
        <v>114</v>
      </c>
      <c r="B117" s="38" t="s">
        <v>403</v>
      </c>
      <c r="C117" s="38" t="s">
        <v>404</v>
      </c>
    </row>
    <row r="118" spans="1:3" x14ac:dyDescent="0.45">
      <c r="A118" s="165">
        <v>115</v>
      </c>
      <c r="B118" s="38" t="s">
        <v>405</v>
      </c>
      <c r="C118" s="38" t="s">
        <v>406</v>
      </c>
    </row>
    <row r="119" spans="1:3" x14ac:dyDescent="0.45">
      <c r="A119" s="165">
        <v>116</v>
      </c>
      <c r="B119" s="38" t="s">
        <v>407</v>
      </c>
      <c r="C119" s="38" t="s">
        <v>408</v>
      </c>
    </row>
    <row r="120" spans="1:3" x14ac:dyDescent="0.45">
      <c r="A120" s="165">
        <v>117</v>
      </c>
      <c r="B120" s="38" t="s">
        <v>409</v>
      </c>
      <c r="C120" s="38" t="s">
        <v>410</v>
      </c>
    </row>
    <row r="121" spans="1:3" x14ac:dyDescent="0.45">
      <c r="A121" s="165">
        <v>118</v>
      </c>
      <c r="B121" s="38" t="s">
        <v>411</v>
      </c>
      <c r="C121" s="38" t="s">
        <v>412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"/>
  <dimension ref="A1:B2"/>
  <sheetViews>
    <sheetView workbookViewId="0">
      <selection activeCell="B2" sqref="B2"/>
    </sheetView>
  </sheetViews>
  <sheetFormatPr baseColWidth="10" defaultColWidth="11.42578125" defaultRowHeight="12.75" x14ac:dyDescent="0.2"/>
  <sheetData>
    <row r="1" spans="1:2" x14ac:dyDescent="0.2">
      <c r="A1" t="s">
        <v>413</v>
      </c>
      <c r="B1">
        <v>2</v>
      </c>
    </row>
    <row r="2" spans="1:2" x14ac:dyDescent="0.2">
      <c r="A2" t="s">
        <v>414</v>
      </c>
      <c r="B2">
        <f>COUNTA(DATOS!A:A)</f>
        <v>0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A1:A7"/>
  <sheetViews>
    <sheetView workbookViewId="0">
      <selection activeCell="B3" sqref="B3:E49"/>
    </sheetView>
  </sheetViews>
  <sheetFormatPr baseColWidth="10" defaultColWidth="11.42578125" defaultRowHeight="12.75" x14ac:dyDescent="0.2"/>
  <sheetData>
    <row r="1" spans="1:1" x14ac:dyDescent="0.2">
      <c r="A1" t="s">
        <v>415</v>
      </c>
    </row>
    <row r="2" spans="1:1" x14ac:dyDescent="0.2">
      <c r="A2" t="s">
        <v>416</v>
      </c>
    </row>
    <row r="3" spans="1:1" x14ac:dyDescent="0.2">
      <c r="A3" t="s">
        <v>417</v>
      </c>
    </row>
    <row r="4" spans="1:1" x14ac:dyDescent="0.2">
      <c r="A4" t="s">
        <v>418</v>
      </c>
    </row>
    <row r="5" spans="1:1" x14ac:dyDescent="0.2">
      <c r="A5" t="s">
        <v>419</v>
      </c>
    </row>
    <row r="6" spans="1:1" x14ac:dyDescent="0.2">
      <c r="A6" t="s">
        <v>420</v>
      </c>
    </row>
    <row r="7" spans="1:1" x14ac:dyDescent="0.2">
      <c r="A7" s="3" t="s">
        <v>421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"/>
  <dimension ref="A1:D10"/>
  <sheetViews>
    <sheetView workbookViewId="0">
      <selection activeCell="B49" sqref="B49"/>
    </sheetView>
  </sheetViews>
  <sheetFormatPr baseColWidth="10" defaultColWidth="11.42578125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422</v>
      </c>
      <c r="B1">
        <v>15</v>
      </c>
      <c r="C1" s="1" t="s">
        <v>423</v>
      </c>
      <c r="D1" t="s">
        <v>424</v>
      </c>
    </row>
    <row r="2" spans="1:4" x14ac:dyDescent="0.2">
      <c r="A2" s="1" t="s">
        <v>425</v>
      </c>
      <c r="B2">
        <v>4</v>
      </c>
      <c r="C2" s="1" t="s">
        <v>426</v>
      </c>
      <c r="D2" t="s">
        <v>427</v>
      </c>
    </row>
    <row r="3" spans="1:4" x14ac:dyDescent="0.2">
      <c r="A3" s="1" t="s">
        <v>428</v>
      </c>
      <c r="B3">
        <v>8</v>
      </c>
      <c r="C3" s="1" t="s">
        <v>429</v>
      </c>
      <c r="D3" t="s">
        <v>427</v>
      </c>
    </row>
    <row r="4" spans="1:4" x14ac:dyDescent="0.2">
      <c r="A4" s="1" t="s">
        <v>430</v>
      </c>
      <c r="B4">
        <v>65</v>
      </c>
      <c r="C4" s="1" t="s">
        <v>431</v>
      </c>
      <c r="D4" t="s">
        <v>432</v>
      </c>
    </row>
    <row r="5" spans="1:4" x14ac:dyDescent="0.2">
      <c r="A5" s="1" t="s">
        <v>433</v>
      </c>
      <c r="B5">
        <v>640</v>
      </c>
      <c r="C5" s="1" t="s">
        <v>434</v>
      </c>
      <c r="D5" t="s">
        <v>435</v>
      </c>
    </row>
    <row r="6" spans="1:4" x14ac:dyDescent="0.2">
      <c r="A6" s="1" t="s">
        <v>436</v>
      </c>
      <c r="B6">
        <v>40</v>
      </c>
      <c r="C6" s="1" t="s">
        <v>437</v>
      </c>
      <c r="D6" t="s">
        <v>438</v>
      </c>
    </row>
    <row r="7" spans="1:4" x14ac:dyDescent="0.2">
      <c r="A7" s="1" t="s">
        <v>439</v>
      </c>
      <c r="B7">
        <v>450</v>
      </c>
      <c r="C7" s="1" t="s">
        <v>440</v>
      </c>
      <c r="D7" t="s">
        <v>441</v>
      </c>
    </row>
    <row r="8" spans="1:4" x14ac:dyDescent="0.2">
      <c r="A8" s="1" t="s">
        <v>442</v>
      </c>
      <c r="B8" t="s">
        <v>443</v>
      </c>
      <c r="C8" s="1" t="s">
        <v>444</v>
      </c>
      <c r="D8" s="2" t="s">
        <v>445</v>
      </c>
    </row>
    <row r="9" spans="1:4" x14ac:dyDescent="0.2">
      <c r="C9" s="1" t="s">
        <v>446</v>
      </c>
      <c r="D9" t="s">
        <v>447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12</vt:i4>
      </vt:variant>
    </vt:vector>
  </HeadingPairs>
  <TitlesOfParts>
    <vt:vector size="27" baseType="lpstr">
      <vt:lpstr>DATOS</vt:lpstr>
      <vt:lpstr>TERMO</vt:lpstr>
      <vt:lpstr>DISTORSION</vt:lpstr>
      <vt:lpstr>DOBLE IMAGEN</vt:lpstr>
      <vt:lpstr>ACCESSORIES</vt:lpstr>
      <vt:lpstr>BN</vt:lpstr>
      <vt:lpstr>SERIGRAFIA</vt:lpstr>
      <vt:lpstr>TNT</vt:lpstr>
      <vt:lpstr>PC</vt:lpstr>
      <vt:lpstr>TORKER</vt:lpstr>
      <vt:lpstr>STICKER ADUANA</vt:lpstr>
      <vt:lpstr>Lista Defeitos</vt:lpstr>
      <vt:lpstr>VARIABLES</vt:lpstr>
      <vt:lpstr>POSICIONES</vt:lpstr>
      <vt:lpstr>parametros</vt:lpstr>
      <vt:lpstr>ACCESSORIES!Área_de_impresión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SERIGRAFIA!Área_de_impresión</vt:lpstr>
      <vt:lpstr>'STICKER ADUANA'!Área_de_impresión</vt:lpstr>
      <vt:lpstr>TERMO!Área_de_impresión</vt:lpstr>
      <vt:lpstr>TNT!Área_de_impresión</vt:lpstr>
      <vt:lpstr>TORKER!Área_de_impresión</vt:lpstr>
      <vt:lpstr>HOLA</vt:lpstr>
    </vt:vector>
  </TitlesOfParts>
  <Manager/>
  <Company>A.G.P. de Colombia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Giovani Kovalski</dc:creator>
  <cp:keywords/>
  <dc:description/>
  <cp:lastModifiedBy>Lina Tovar Bermudez</cp:lastModifiedBy>
  <cp:revision/>
  <dcterms:created xsi:type="dcterms:W3CDTF">2003-06-21T14:33:30Z</dcterms:created>
  <dcterms:modified xsi:type="dcterms:W3CDTF">2023-12-01T16:52:45Z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