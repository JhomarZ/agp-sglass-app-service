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drawings/drawing3.xml" ContentType="application/vnd.openxmlformats-officedocument.drawing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drawings/drawing4.xml" ContentType="application/vnd.openxmlformats-officedocument.drawing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drawings/drawing5.xml" ContentType="application/vnd.openxmlformats-officedocument.drawing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drawings/drawing6.xml" ContentType="application/vnd.openxmlformats-officedocument.drawing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drawings/drawing7.xml" ContentType="application/vnd.openxmlformats-officedocument.drawing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drawings/drawing8.xml" ContentType="application/vnd.openxmlformats-officedocument.drawing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drawings/drawing9.xml" ContentType="application/vnd.openxmlformats-officedocument.drawing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tovar\Downloads\"/>
    </mc:Choice>
  </mc:AlternateContent>
  <xr:revisionPtr revIDLastSave="0" documentId="13_ncr:1_{FF21DE0F-DF0E-4631-911B-45C3051AE5AA}" xr6:coauthVersionLast="47" xr6:coauthVersionMax="47" xr10:uidLastSave="{00000000-0000-0000-0000-000000000000}"/>
  <bookViews>
    <workbookView xWindow="20370" yWindow="-120" windowWidth="20730" windowHeight="11160" tabRatio="773" firstSheet="1" activeTab="9" xr2:uid="{00000000-000D-0000-FFFF-FFFF00000000}"/>
  </bookViews>
  <sheets>
    <sheet name="DATOS" sheetId="14" r:id="rId1"/>
    <sheet name="TERMOGRAFIA" sheetId="15" r:id="rId2"/>
    <sheet name="DISTORSION" sheetId="24" r:id="rId3"/>
    <sheet name="DOBLE IMAGEN" sheetId="18" r:id="rId4"/>
    <sheet name="ACCESORIOS" sheetId="17" r:id="rId5"/>
    <sheet name="BN" sheetId="20" r:id="rId6"/>
    <sheet name="SERIGRAPHY" sheetId="22" r:id="rId7"/>
    <sheet name="PC" sheetId="23" r:id="rId8"/>
    <sheet name="STICKER ADUANA" sheetId="25" r:id="rId9"/>
    <sheet name="Lista Defeitos" sheetId="10" r:id="rId10"/>
    <sheet name="VARIABLES" sheetId="5" state="hidden" r:id="rId11"/>
    <sheet name="POSICIONES" sheetId="6" state="hidden" r:id="rId12"/>
    <sheet name="parametros" sheetId="3" state="hidden" r:id="rId13"/>
    <sheet name="BN EDITABLE" sheetId="21" r:id="rId14"/>
  </sheets>
  <definedNames>
    <definedName name="_xlnm.Print_Area" localSheetId="4">ACCESORIOS!$A$1:$P$63</definedName>
    <definedName name="_xlnm.Print_Area" localSheetId="5">BN!$A$1:$P$53</definedName>
    <definedName name="_xlnm.Print_Area" localSheetId="0">DATOS!$A$1:$AW$89</definedName>
    <definedName name="_xlnm.Print_Area" localSheetId="2">DISTORSION!$A$1:$J$81</definedName>
    <definedName name="_xlnm.Print_Area" localSheetId="3">'DOBLE IMAGEN'!$A$1:$I$51</definedName>
    <definedName name="_xlnm.Print_Area" localSheetId="7">PC!$A$1:$N$53</definedName>
    <definedName name="_xlnm.Print_Area" localSheetId="6">SERIGRAPHY!$A$1:$P$53</definedName>
    <definedName name="_xlnm.Print_Area" localSheetId="8">'STICKER ADUANA'!$A$1:$N$36</definedName>
    <definedName name="_xlnm.Print_Area" localSheetId="1">TERMOGRAFIA!$A$1:$P$42</definedName>
    <definedName name="G">#REF!</definedName>
    <definedName name="H">#REF!</definedName>
    <definedName name="HOLA">POSICIONES!$C$10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25" l="1"/>
  <c r="M4" i="23"/>
  <c r="M4" i="22"/>
  <c r="M4" i="20"/>
  <c r="M4" i="17"/>
  <c r="G6" i="18"/>
  <c r="H6" i="24"/>
  <c r="C4" i="25"/>
  <c r="C4" i="23"/>
  <c r="C4" i="22"/>
  <c r="C4" i="20"/>
  <c r="C4" i="17"/>
  <c r="C6" i="18"/>
  <c r="D6" i="24"/>
  <c r="C4" i="15"/>
  <c r="H34" i="24"/>
  <c r="H35" i="24"/>
  <c r="G34" i="24"/>
  <c r="G35" i="24" s="1"/>
  <c r="F34" i="24"/>
  <c r="F35" i="24"/>
  <c r="E34" i="24"/>
  <c r="E35" i="24" s="1"/>
  <c r="E36" i="24" s="1"/>
  <c r="E37" i="24" s="1"/>
  <c r="H28" i="24"/>
  <c r="H36" i="24" s="1"/>
  <c r="H37" i="24" s="1"/>
  <c r="G28" i="24"/>
  <c r="F28" i="24"/>
  <c r="F36" i="24" s="1"/>
  <c r="F37" i="24" s="1"/>
  <c r="E28" i="24"/>
  <c r="K56" i="14"/>
  <c r="K57" i="14"/>
  <c r="K58" i="14"/>
  <c r="K59" i="14"/>
  <c r="K60" i="14"/>
  <c r="L15" i="15"/>
  <c r="H15" i="15"/>
  <c r="B2" i="5"/>
  <c r="G36" i="24" l="1"/>
  <c r="G37" i="2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tc={22C54599-1014-45EF-998A-4B13A3FF9097}</author>
    <author>tc={9C998782-6D7A-4322-8FB9-9C2DECCB983F}</author>
    <author>tc={866AF449-42B3-401A-A0ED-CD8AC29E221B}</author>
    <author>tc={BAE64095-0E85-4416-A05F-D5BCB5DC5872}</author>
    <author>tc={BC53E4F8-C78E-48F2-B352-0D269D07AA49}</author>
    <author>tc={E22E4B4F-47B6-42B6-BF25-05097F089242}</author>
    <author>tc={7909B476-160A-45D3-BF27-0F80D211C641}</author>
    <author>tc={B3B18F9F-A4C8-4D9D-9C5B-103E0C428C25}</author>
    <author>Laura Daniela Lagos</author>
  </authors>
  <commentList>
    <comment ref="E7" authorId="0" shapeId="0" xr:uid="{22C54599-1014-45EF-998A-4B13A3FF90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AE7" authorId="1" shapeId="0" xr:uid="{9C998782-6D7A-4322-8FB9-9C2DECCB983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AR7" authorId="2" shapeId="0" xr:uid="{866AF449-42B3-401A-A0ED-CD8AC29E221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E8" authorId="3" shapeId="0" xr:uid="{BAE64095-0E85-4416-A05F-D5BCB5DC587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AE8" authorId="4" shapeId="0" xr:uid="{BC53E4F8-C78E-48F2-B352-0D269D07AA4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AR8" authorId="5" shapeId="0" xr:uid="{E22E4B4F-47B6-42B6-BF25-05097F0892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E9" authorId="6" shapeId="0" xr:uid="{7909B476-160A-45D3-BF27-0F80D211C64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AR9" authorId="7" shapeId="0" xr:uid="{B3B18F9F-A4C8-4D9D-9C5B-103E0C428C2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GORDON
</t>
      </text>
    </comment>
    <comment ref="B11" authorId="8" shapeId="0" xr:uid="{00000000-0006-0000-0000-000002000000}">
      <text>
        <r>
          <rPr>
            <b/>
            <sz val="9"/>
            <color indexed="81"/>
            <rFont val="Tahoma"/>
            <family val="2"/>
          </rPr>
          <t>Laura Daniela Lagos:</t>
        </r>
        <r>
          <rPr>
            <sz val="9"/>
            <color indexed="81"/>
            <rFont val="Tahoma"/>
            <family val="2"/>
          </rPr>
          <t xml:space="preserve">
IMAGEN TÉCNICA</t>
        </r>
      </text>
    </comment>
  </commentList>
</comments>
</file>

<file path=xl/sharedStrings.xml><?xml version="1.0" encoding="utf-8"?>
<sst xmlns="http://schemas.openxmlformats.org/spreadsheetml/2006/main" count="614" uniqueCount="435">
  <si>
    <t>ARRIBA</t>
  </si>
  <si>
    <t>ABAJO</t>
  </si>
  <si>
    <t>IZQUIERDA</t>
  </si>
  <si>
    <t>DERECHA</t>
  </si>
  <si>
    <t>SIN</t>
  </si>
  <si>
    <t>ancho rectangulo</t>
  </si>
  <si>
    <t>ancho circulo</t>
  </si>
  <si>
    <t>FACTOR ESCALA RECTANGULO</t>
  </si>
  <si>
    <t>POSICION ESCALA IZQUIERDA</t>
  </si>
  <si>
    <t>POSICION ESCALA DERECHA</t>
  </si>
  <si>
    <t>POSICION ESCALA INFERIOR</t>
  </si>
  <si>
    <t>POSICION ESCALA SUPERIOR</t>
  </si>
  <si>
    <t>CLIENTE</t>
  </si>
  <si>
    <t>MODELO</t>
  </si>
  <si>
    <t>NUMERO DE PARTE</t>
  </si>
  <si>
    <t>DESCRIPCION</t>
  </si>
  <si>
    <t>OPERADOR</t>
  </si>
  <si>
    <t>TITULO</t>
  </si>
  <si>
    <t xml:space="preserve">OP </t>
  </si>
  <si>
    <t>FECHA</t>
  </si>
  <si>
    <t>UNIDADES</t>
  </si>
  <si>
    <t>mm</t>
  </si>
  <si>
    <t>INDICE</t>
  </si>
  <si>
    <t>PUNTOS</t>
  </si>
  <si>
    <t>-0.1</t>
  </si>
  <si>
    <t>DIRECTORIO REPORTES</t>
  </si>
  <si>
    <t>LIBRE</t>
  </si>
  <si>
    <t>OFFSET</t>
  </si>
  <si>
    <t>Epifanio Pereira</t>
  </si>
  <si>
    <t>MBZ</t>
  </si>
  <si>
    <t>W166</t>
  </si>
  <si>
    <t>00/00/2012</t>
  </si>
  <si>
    <t>FRONT DOOR RIGHT</t>
  </si>
  <si>
    <t>PRODUCT CERTIFICATION</t>
  </si>
  <si>
    <t>QUALITY CONTROL DEPARTMENT</t>
  </si>
  <si>
    <t xml:space="preserve">COLOR: </t>
  </si>
  <si>
    <t>VEHICLE:</t>
  </si>
  <si>
    <t>COMPOSITION:</t>
  </si>
  <si>
    <t>PART NUMBER:</t>
  </si>
  <si>
    <t>OUTER GLASS FINISH:</t>
  </si>
  <si>
    <t>ITEM</t>
  </si>
  <si>
    <t>ZONE</t>
  </si>
  <si>
    <t>DESCRIPTION</t>
  </si>
  <si>
    <t>SIZE</t>
  </si>
  <si>
    <t>QUANTITY OF DEFECTS</t>
  </si>
  <si>
    <t>Following Standard</t>
  </si>
  <si>
    <t>FINISHING</t>
  </si>
  <si>
    <t>COMMENTS</t>
  </si>
  <si>
    <t xml:space="preserve">B = WIDTH (mm) </t>
  </si>
  <si>
    <t>L = LENGTH (mm)</t>
  </si>
  <si>
    <t>D = DIAMETER (mm)</t>
  </si>
  <si>
    <t>A = DISTANCE (mm)</t>
  </si>
  <si>
    <t>IT = INSIDE TOLERANCE</t>
  </si>
  <si>
    <t>OT = OUT OF TOLERANCE</t>
  </si>
  <si>
    <t>Z = ZONE</t>
  </si>
  <si>
    <t>N/A = NOT APPLICABLE</t>
  </si>
  <si>
    <t>AUTHORIZED BY</t>
  </si>
  <si>
    <t>DATE:</t>
  </si>
  <si>
    <t>DEFECTOS CERTIFICADOS EN INGLES</t>
  </si>
  <si>
    <t xml:space="preserve">Codigo </t>
  </si>
  <si>
    <t>Espanol / Portugues</t>
  </si>
  <si>
    <t>Ingles</t>
  </si>
  <si>
    <t>-</t>
  </si>
  <si>
    <t>Impurity</t>
  </si>
  <si>
    <t>Bubble</t>
  </si>
  <si>
    <t>Inclusion</t>
  </si>
  <si>
    <t>Porosity</t>
  </si>
  <si>
    <t>Color dot</t>
  </si>
  <si>
    <t>Perceptible Scratch</t>
  </si>
  <si>
    <t>Unperceptible Scratch</t>
  </si>
  <si>
    <t>Intern Scratch</t>
  </si>
  <si>
    <t>Conchoidal Defect</t>
  </si>
  <si>
    <t>Interna Hair</t>
  </si>
  <si>
    <t>Internal Eyelash</t>
  </si>
  <si>
    <t>Fluff</t>
  </si>
  <si>
    <t>Circular Depression</t>
  </si>
  <si>
    <t>Elongated Depression</t>
  </si>
  <si>
    <t>Unperceptible Scratch in AL</t>
  </si>
  <si>
    <t>Bull eye in glass</t>
  </si>
  <si>
    <t>Distortion</t>
  </si>
  <si>
    <t>Delamination</t>
  </si>
  <si>
    <t>Cloud of Dots</t>
  </si>
  <si>
    <t>Puncture</t>
  </si>
  <si>
    <t>Depressions at the edge of the package</t>
  </si>
  <si>
    <t>Oxidation SP</t>
  </si>
  <si>
    <t>Sealing edge defect</t>
  </si>
  <si>
    <t>Puncture in PC</t>
  </si>
  <si>
    <t>Dent (tool trace)</t>
  </si>
  <si>
    <t xml:space="preserve">Degradee diffuse point </t>
  </si>
  <si>
    <t>Not visible stain Day Light</t>
  </si>
  <si>
    <t>White internal stain in BN</t>
  </si>
  <si>
    <t>Not visible stain Light day in AL</t>
  </si>
  <si>
    <t>Bearing not visible in PC</t>
  </si>
  <si>
    <t>Brilliant points in AL o PCHT</t>
  </si>
  <si>
    <t>Points of defroster</t>
  </si>
  <si>
    <t>Bearing not visible in AL</t>
  </si>
  <si>
    <t>PC Smalll in the edge</t>
  </si>
  <si>
    <t>White external stain in AL</t>
  </si>
  <si>
    <t>White external dot not visible</t>
  </si>
  <si>
    <t>Defects depressions and bumps between PU and PET</t>
  </si>
  <si>
    <t>Hairs / fluff between PU and PET</t>
  </si>
  <si>
    <t>Internal stain in defroster</t>
  </si>
  <si>
    <t>Transparency external BN</t>
  </si>
  <si>
    <t xml:space="preserve">Scratch adjustment  BN </t>
  </si>
  <si>
    <t>Defroster with broken wire</t>
  </si>
  <si>
    <t>White internal stain in PC edge</t>
  </si>
  <si>
    <t>Stain between laminate not visible after installation</t>
  </si>
  <si>
    <t>Scratch in Black band</t>
  </si>
  <si>
    <t>Black band dot</t>
  </si>
  <si>
    <t>Transparency internal BN</t>
  </si>
  <si>
    <t>Brilliant points in PCHT</t>
  </si>
  <si>
    <t>Hilos de tungsteno separados</t>
  </si>
  <si>
    <t>Tungsten wires separated</t>
  </si>
  <si>
    <t>Antena visible parte externa</t>
  </si>
  <si>
    <t>Visible out side antennas</t>
  </si>
  <si>
    <t>Antena visible parte interna</t>
  </si>
  <si>
    <t>Visible in side antennas</t>
  </si>
  <si>
    <t>Displacement between internal and external black band</t>
  </si>
  <si>
    <t>Liberado conforme norma</t>
  </si>
  <si>
    <t>No afecta la dirigibilidad</t>
  </si>
  <si>
    <t>No problem to the driver</t>
  </si>
  <si>
    <t>BB12G</t>
  </si>
  <si>
    <t>T:\Qualidade\Projetos\Projeto W212\Relatórios de Inspeção final - APROVADAS\Blindado\W166</t>
  </si>
  <si>
    <t xml:space="preserve">CONTROL  CHECK </t>
  </si>
  <si>
    <t>CODE OF DEFEC</t>
  </si>
  <si>
    <t xml:space="preserve">CERTIFICATE OF CONFORMANCE </t>
  </si>
  <si>
    <t>Contamination</t>
  </si>
  <si>
    <t>Scratch in PC</t>
  </si>
  <si>
    <t>Bearing in PC</t>
  </si>
  <si>
    <t>Scratch</t>
  </si>
  <si>
    <t xml:space="preserve">QUALITY CONTROL </t>
  </si>
  <si>
    <t>CUSTOMER:</t>
  </si>
  <si>
    <t>REASON FOR SUBMISSION</t>
  </si>
  <si>
    <t xml:space="preserve">Report Evaluation of Quality </t>
  </si>
  <si>
    <t>First Production Shipment</t>
  </si>
  <si>
    <t>QUALITY TEST</t>
  </si>
  <si>
    <t>HEATING ZONE</t>
  </si>
  <si>
    <t>CONCLUSION</t>
  </si>
  <si>
    <t>BENTELER lightweight Protection GmbH</t>
  </si>
  <si>
    <t>QUALITY CONTROL</t>
  </si>
  <si>
    <t>PROJECT:</t>
  </si>
  <si>
    <t>Part Submission warrant</t>
  </si>
  <si>
    <t>Special Sample</t>
  </si>
  <si>
    <t>Re-submission</t>
  </si>
  <si>
    <t>Other</t>
  </si>
  <si>
    <t>Engineering change</t>
  </si>
  <si>
    <t>Refractive Power</t>
  </si>
  <si>
    <t>STANDARD</t>
  </si>
  <si>
    <t>DESCRIPTION OF TEST</t>
  </si>
  <si>
    <t>CONDITIONS</t>
  </si>
  <si>
    <t>EVALUATION</t>
  </si>
  <si>
    <t>ZONE A</t>
  </si>
  <si>
    <t>ZONE B</t>
  </si>
  <si>
    <t>MEASUREMENT 1</t>
  </si>
  <si>
    <t>MEASUREMENT 2</t>
  </si>
  <si>
    <t>Max</t>
  </si>
  <si>
    <t>Min</t>
  </si>
  <si>
    <t>L1</t>
  </si>
  <si>
    <t>L2</t>
  </si>
  <si>
    <t>b</t>
  </si>
  <si>
    <t>n</t>
  </si>
  <si>
    <t>e</t>
  </si>
  <si>
    <t>rad</t>
  </si>
  <si>
    <t>Do</t>
  </si>
  <si>
    <t>mdop</t>
  </si>
  <si>
    <t>REPORT THERMOGRAPHY</t>
  </si>
  <si>
    <t>Stain in Black band</t>
  </si>
  <si>
    <t xml:space="preserve">Defect in Black band </t>
  </si>
  <si>
    <t>defecto en banda negra</t>
  </si>
  <si>
    <t>Stain Glassjet</t>
  </si>
  <si>
    <t>Brilliant points</t>
  </si>
  <si>
    <t>Stain in PBV</t>
  </si>
  <si>
    <t>SOURCE POWER [V]</t>
  </si>
  <si>
    <t>POWER [W]</t>
  </si>
  <si>
    <t>RESISTANCE [Ohm]</t>
  </si>
  <si>
    <t>RESISTANCE RIGHT (HFS 4)</t>
  </si>
  <si>
    <t>Nube de puntos en PBV</t>
  </si>
  <si>
    <t xml:space="preserve">Mancha de PBV tejido </t>
  </si>
  <si>
    <t xml:space="preserve">Transparencia borde BN </t>
  </si>
  <si>
    <t>Mark on PCHT</t>
  </si>
  <si>
    <t>Transparency in Black Enamel</t>
  </si>
  <si>
    <t>Cloud of point in PBV</t>
  </si>
  <si>
    <t>MIN</t>
  </si>
  <si>
    <t>MAX</t>
  </si>
  <si>
    <t>FRONT DOOR LEFT /SEITENSCHEIBE LI</t>
  </si>
  <si>
    <t>OK</t>
  </si>
  <si>
    <t>Not OK</t>
  </si>
  <si>
    <t>REFLECTION</t>
  </si>
  <si>
    <t>MIRROR BRACKET</t>
  </si>
  <si>
    <t>FRONT SIDE</t>
  </si>
  <si>
    <t>TERMINALS</t>
  </si>
  <si>
    <t>LOGO (INTERNAL BLACK)</t>
  </si>
  <si>
    <t>BENTELER</t>
  </si>
  <si>
    <t>CLIENT:</t>
  </si>
  <si>
    <t>PART:</t>
  </si>
  <si>
    <t>ACCORDING TO DRAWING</t>
  </si>
  <si>
    <t xml:space="preserve"> SUPERFICIAL AND INTERNAL  APPEARANCE VISUAL DEFECTS CHART</t>
  </si>
  <si>
    <t>ACCORDING TO QV0008
2.3.2</t>
  </si>
  <si>
    <t>TERMINALS INSULATION</t>
  </si>
  <si>
    <t>ANNEXES</t>
  </si>
  <si>
    <t>See attached the geometric report</t>
  </si>
  <si>
    <t>PART NUMBER AGP:</t>
  </si>
  <si>
    <t>CURRENT [A]</t>
  </si>
  <si>
    <t>ELECTRIC TERMINALS</t>
  </si>
  <si>
    <t xml:space="preserve">DIN 52305 </t>
  </si>
  <si>
    <t xml:space="preserve"> Db</t>
  </si>
  <si>
    <t>f(e)</t>
  </si>
  <si>
    <t>DISTORTION IMAGE AT 0°</t>
  </si>
  <si>
    <t>DISTORTION IMAGE AT 45°</t>
  </si>
  <si>
    <t>REFLECTION 1</t>
  </si>
  <si>
    <t>REFLECTION 2</t>
  </si>
  <si>
    <t>Requirement: Without interruption of  grid lines</t>
  </si>
  <si>
    <t>BRILLIANT ROUNDED</t>
  </si>
  <si>
    <t>ACCESSORIES</t>
  </si>
  <si>
    <t>STEELS 1</t>
  </si>
  <si>
    <t>STEELS 2</t>
  </si>
  <si>
    <t>STEELS 3</t>
  </si>
  <si>
    <t>SECONDARY IMAGE SEPARATION</t>
  </si>
  <si>
    <t>BENTELER lightweight</t>
  </si>
  <si>
    <t>Secondary Image Separation</t>
  </si>
  <si>
    <t>ISO 3538</t>
  </si>
  <si>
    <t>RESULTS</t>
  </si>
  <si>
    <t>HR:</t>
  </si>
  <si>
    <t>T (ºC):</t>
  </si>
  <si>
    <t>23°C</t>
  </si>
  <si>
    <t xml:space="preserve"> Thermograph</t>
  </si>
  <si>
    <t xml:space="preserve">VIEW FROM THE INSIDE     </t>
  </si>
  <si>
    <t>CONTROL  CHECK</t>
  </si>
  <si>
    <t>Burbujas en cristal</t>
  </si>
  <si>
    <t>Bubbles in glass</t>
  </si>
  <si>
    <t>Internal stain in black band no visible in installation</t>
  </si>
  <si>
    <t>Diente de sierra leve</t>
  </si>
  <si>
    <t>Saw tooth slight</t>
  </si>
  <si>
    <t>Contaminación Fuerte</t>
  </si>
  <si>
    <t>Strong contamination</t>
  </si>
  <si>
    <t>Transparencia</t>
  </si>
  <si>
    <t>Transparency</t>
  </si>
  <si>
    <t>Contaminación Interna Fuerte</t>
  </si>
  <si>
    <t>Strong Internal Contamination</t>
  </si>
  <si>
    <t>Mancha</t>
  </si>
  <si>
    <t>Stain</t>
  </si>
  <si>
    <t>CONVENTIONS</t>
  </si>
  <si>
    <t>&lt; 85</t>
  </si>
  <si>
    <t>&lt; 150</t>
  </si>
  <si>
    <t>Impureza</t>
  </si>
  <si>
    <t>Burbuja</t>
  </si>
  <si>
    <t>Inclusión</t>
  </si>
  <si>
    <t>Porosidad</t>
  </si>
  <si>
    <t>Punto de Color</t>
  </si>
  <si>
    <t>Raya sensible a uña</t>
  </si>
  <si>
    <t>Raya no sensible a la uña</t>
  </si>
  <si>
    <t>Raya Interna</t>
  </si>
  <si>
    <t>Escalla</t>
  </si>
  <si>
    <t>Cabello</t>
  </si>
  <si>
    <t>Pestaña</t>
  </si>
  <si>
    <t>Pelusa</t>
  </si>
  <si>
    <t>Depresión Circular</t>
  </si>
  <si>
    <t>Depresión Alargada</t>
  </si>
  <si>
    <t>Rayas sensibles a las una en PC</t>
  </si>
  <si>
    <t>Ojo en Cristal</t>
  </si>
  <si>
    <t>Distorsión</t>
  </si>
  <si>
    <t>Delaminación</t>
  </si>
  <si>
    <t>Nube de Puntos</t>
  </si>
  <si>
    <t>Picadura</t>
  </si>
  <si>
    <t>Depresión en borde Paquete</t>
  </si>
  <si>
    <t>Oxidación SP</t>
  </si>
  <si>
    <t>Defecto en sello de Paquete</t>
  </si>
  <si>
    <t>Picadura en PC</t>
  </si>
  <si>
    <t>Huellas de Molde</t>
  </si>
  <si>
    <t>Puntos Difusos en Degrade</t>
  </si>
  <si>
    <t>Mancha no visible a luz día</t>
  </si>
  <si>
    <t>Mancha blanca interna en BN</t>
  </si>
  <si>
    <t>Mancha en AL no visible a luz día</t>
  </si>
  <si>
    <t>Marcaciones en PC no visibles</t>
  </si>
  <si>
    <t>Transparencia en BN interna</t>
  </si>
  <si>
    <t>Puntos brillantes en AL o PCHT</t>
  </si>
  <si>
    <t>Puntos de Defroster</t>
  </si>
  <si>
    <t>Marcación en AL no visible</t>
  </si>
  <si>
    <t>PC pequeño en el borde</t>
  </si>
  <si>
    <t>Mancha blanca externa en AL</t>
  </si>
  <si>
    <t>Punto Blanco vidrio externo</t>
  </si>
  <si>
    <t>Defectos circulares bajo AL</t>
  </si>
  <si>
    <t>Pelos o pelusas bajo AL</t>
  </si>
  <si>
    <t>Mancha en defroster</t>
  </si>
  <si>
    <t>Transparencia en BN externa</t>
  </si>
  <si>
    <t>Raya en BN retocada</t>
  </si>
  <si>
    <t>Defroster con hilo roto</t>
  </si>
  <si>
    <t>Mancha blanca interna en borde PC</t>
  </si>
  <si>
    <t>Mancha entre laminado no visible en instalación</t>
  </si>
  <si>
    <t>Raya en BN</t>
  </si>
  <si>
    <t>Punto en BN</t>
  </si>
  <si>
    <t>Puntos brillantes en PCHT</t>
  </si>
  <si>
    <t>Desplazamiento entre BN interna y externa</t>
  </si>
  <si>
    <t>Borde BN no uniforme</t>
  </si>
  <si>
    <t>Contaminación</t>
  </si>
  <si>
    <t>Raya en PC</t>
  </si>
  <si>
    <t>Marcaciones en PC</t>
  </si>
  <si>
    <t>Raya</t>
  </si>
  <si>
    <t>Mancha en BN</t>
  </si>
  <si>
    <t>Mancha por Glassjet</t>
  </si>
  <si>
    <t>Puntos brillantes</t>
  </si>
  <si>
    <t>Marcación en PCHT</t>
  </si>
  <si>
    <t>Mancha en bn interna not visible en instalacion</t>
  </si>
  <si>
    <t>Contaminación leve</t>
  </si>
  <si>
    <t>Slight contamination</t>
  </si>
  <si>
    <t>Punto</t>
  </si>
  <si>
    <t>Dot</t>
  </si>
  <si>
    <t>Picadura Interna</t>
  </si>
  <si>
    <t>Internal puncture</t>
  </si>
  <si>
    <t>Puntos</t>
  </si>
  <si>
    <t>Dots</t>
  </si>
  <si>
    <t>Ojo</t>
  </si>
  <si>
    <t>Eye</t>
  </si>
  <si>
    <t xml:space="preserve"> </t>
  </si>
  <si>
    <t>BLACK BAND INTERNAL</t>
  </si>
  <si>
    <t>BLACK BAND EXTERNAL</t>
  </si>
  <si>
    <t>DOUBLE IMAGE</t>
  </si>
  <si>
    <t>BLACK BAND MEASUREMET</t>
  </si>
  <si>
    <t>FRONT DOOR LEFT</t>
  </si>
  <si>
    <t>Marcación externa</t>
  </si>
  <si>
    <t>External marking</t>
  </si>
  <si>
    <t>Raya en PC no visible luz dia</t>
  </si>
  <si>
    <t>Scratch in PC not visible day light</t>
  </si>
  <si>
    <t>Depresion en PC</t>
  </si>
  <si>
    <t>Depression in PC</t>
  </si>
  <si>
    <t>Mancha interna</t>
  </si>
  <si>
    <t>Internal stain</t>
  </si>
  <si>
    <t>Mancha en banda negra (cara externa)</t>
  </si>
  <si>
    <t>Stain in black band (outer face)</t>
  </si>
  <si>
    <t>Punto brillante</t>
  </si>
  <si>
    <t>Brilliant point</t>
  </si>
  <si>
    <t>Marcación en PC</t>
  </si>
  <si>
    <t>Mancha Leve</t>
  </si>
  <si>
    <t>Slight stain</t>
  </si>
  <si>
    <t>Marcación</t>
  </si>
  <si>
    <t>Bearing</t>
  </si>
  <si>
    <t>Contaminación general no visible luz día</t>
  </si>
  <si>
    <t>General contamination not visible daylight</t>
  </si>
  <si>
    <t xml:space="preserve">Rayas en PCHT </t>
  </si>
  <si>
    <t>Scratch in PCHT</t>
  </si>
  <si>
    <t>Nido de puntos no visible luz dia</t>
  </si>
  <si>
    <t>Nest of points not visible daylight</t>
  </si>
  <si>
    <t>Contaminación poco visible luz dia</t>
  </si>
  <si>
    <t>Contamination few visible daylight</t>
  </si>
  <si>
    <t>Contaminación no visible luz dia</t>
  </si>
  <si>
    <t>Contamination not visible daylight</t>
  </si>
  <si>
    <t>REQUIREMENT:  &lt; 20 arcmin</t>
  </si>
  <si>
    <t>SERIGRAPHY</t>
  </si>
  <si>
    <t>Image 1</t>
  </si>
  <si>
    <t>Image 2</t>
  </si>
  <si>
    <t>Image 3</t>
  </si>
  <si>
    <t>Image 4</t>
  </si>
  <si>
    <t>Mancha en banda negra no visible en instalación</t>
  </si>
  <si>
    <t>Stain in black band not visible installation</t>
  </si>
  <si>
    <t>Depresion en PC poco visible</t>
  </si>
  <si>
    <t>Depression in PC few visible</t>
  </si>
  <si>
    <t>Raya en banda negra no visible en instalación</t>
  </si>
  <si>
    <t>Scratch in black band not visible in installation</t>
  </si>
  <si>
    <t>Mancha interna poco visible</t>
  </si>
  <si>
    <t>Internal stain few visible</t>
  </si>
  <si>
    <t>Mancha en zona oculta</t>
  </si>
  <si>
    <t>Stain in hidden area</t>
  </si>
  <si>
    <t>Contaminación interna no visible luz dia</t>
  </si>
  <si>
    <t>Internal contamination not visible daylight</t>
  </si>
  <si>
    <t>Mancha no visible en instalación</t>
  </si>
  <si>
    <t>Stain not visible in installation</t>
  </si>
  <si>
    <t>Contaminación no visible en instalación</t>
  </si>
  <si>
    <t>Contamination not visible in installation</t>
  </si>
  <si>
    <t>Raya en banda negra interna</t>
  </si>
  <si>
    <t>Scratch in internal black band</t>
  </si>
  <si>
    <t>Marcación en VP</t>
  </si>
  <si>
    <t>Marking in glass painting</t>
  </si>
  <si>
    <t>Marcación brillante</t>
  </si>
  <si>
    <t>Bright mark</t>
  </si>
  <si>
    <t>Mancha poco visible</t>
  </si>
  <si>
    <t>Stain few visible</t>
  </si>
  <si>
    <t>Raya interna poco visible</t>
  </si>
  <si>
    <t>Internal scratch few visible</t>
  </si>
  <si>
    <t>Mancha poco visible luz dia</t>
  </si>
  <si>
    <t>Stain few visible daylight</t>
  </si>
  <si>
    <t>Mancha en banda negra interna no visible luz dia</t>
  </si>
  <si>
    <t>Stain in internal black band not visible daylight</t>
  </si>
  <si>
    <t>Pelo en banda negra interna</t>
  </si>
  <si>
    <t>Hair in internal black band</t>
  </si>
  <si>
    <t>Depresion en PC no visible en instalación</t>
  </si>
  <si>
    <t>Depression in PC not visible in installation</t>
  </si>
  <si>
    <t>Puntos brillantes no visibles luz dia</t>
  </si>
  <si>
    <t>Brilliant points not visible daylight</t>
  </si>
  <si>
    <t>Marcación interna</t>
  </si>
  <si>
    <t>Internal branding</t>
  </si>
  <si>
    <t>Mancha alargada</t>
  </si>
  <si>
    <t>Elongated stain</t>
  </si>
  <si>
    <t>IMAGE PC</t>
  </si>
  <si>
    <t>IMAGE 2</t>
  </si>
  <si>
    <t>IMAGE 1</t>
  </si>
  <si>
    <t>REVIEWED BY</t>
  </si>
  <si>
    <t>REASON FOR SUBMISSION:</t>
  </si>
  <si>
    <t>Determination of Refractive Power is according to AZDIN 52305 for Zones 1 and 2.</t>
  </si>
  <si>
    <t>RESULT</t>
  </si>
  <si>
    <t>REQUERIMENT</t>
  </si>
  <si>
    <t xml:space="preserve">Reflective defect on the outer glass surface in lower right corner (Reflection 1), the lines of the grid intersect each other in the mentioned zone. </t>
  </si>
  <si>
    <t>Pliegue en tecoflex</t>
  </si>
  <si>
    <t>Fold in tecoflex</t>
  </si>
  <si>
    <t>Mancha interna no visible luz dia</t>
  </si>
  <si>
    <t>Internal stain not visible daylight</t>
  </si>
  <si>
    <t>Raya blanca en BN</t>
  </si>
  <si>
    <t>White scratch in black band</t>
  </si>
  <si>
    <t>Mancha en banda negra interna</t>
  </si>
  <si>
    <t>Internal stain in black band</t>
  </si>
  <si>
    <t>CUSTOMS STICKER</t>
  </si>
  <si>
    <t>751-28-03A-15-F01 V.4</t>
  </si>
  <si>
    <t>Pag 1 of 9</t>
  </si>
  <si>
    <t>Pag 2 of 9</t>
  </si>
  <si>
    <t>Pag 3 of 9</t>
  </si>
  <si>
    <t>Pag 4 of 9</t>
  </si>
  <si>
    <t>Pag 5 of 9</t>
  </si>
  <si>
    <t>Pag 6 of 9</t>
  </si>
  <si>
    <t>Pag 7 of 9</t>
  </si>
  <si>
    <t>Pag 8 of 9</t>
  </si>
  <si>
    <t>Pag 9 of 9</t>
  </si>
  <si>
    <t>THICKNESS (31,1 - 34,1) mm</t>
  </si>
  <si>
    <t>BMW G05 X5 4D U 2020</t>
  </si>
  <si>
    <t>Hernan Rodriguez</t>
  </si>
  <si>
    <t>4</t>
  </si>
  <si>
    <t>2</t>
  </si>
  <si>
    <t>2021</t>
  </si>
  <si>
    <t>4/2/2021</t>
  </si>
  <si>
    <t>LINA TOVAR</t>
  </si>
  <si>
    <t>ELENA BEJARANO</t>
  </si>
  <si>
    <t>PRODUCTION LOT:</t>
  </si>
  <si>
    <t>PACKAGE EDGE TYPE:</t>
  </si>
  <si>
    <r>
      <t xml:space="preserve">REFRACTIVE POWER
</t>
    </r>
    <r>
      <rPr>
        <b/>
        <sz val="9"/>
        <color theme="1" tint="0.249977111117893"/>
        <rFont val="Plus Jakarta Sans"/>
      </rPr>
      <t>According to QV0008 - 2.2.3.</t>
    </r>
  </si>
  <si>
    <r>
      <t xml:space="preserve">HR:       </t>
    </r>
    <r>
      <rPr>
        <sz val="10"/>
        <color theme="1" tint="0.249977111117893"/>
        <rFont val="Plus Jakarta Sans"/>
      </rPr>
      <t>60%</t>
    </r>
  </si>
  <si>
    <r>
      <t xml:space="preserve">T (ºC):   </t>
    </r>
    <r>
      <rPr>
        <sz val="10"/>
        <color theme="1" tint="0.249977111117893"/>
        <rFont val="Plus Jakarta Sans"/>
      </rPr>
      <t>23°C</t>
    </r>
  </si>
  <si>
    <r>
      <t xml:space="preserve">CONCLUSION: </t>
    </r>
    <r>
      <rPr>
        <sz val="10"/>
        <color theme="1" tint="0.249977111117893"/>
        <rFont val="Plus Jakarta Sans"/>
      </rPr>
      <t>This part fullfill with requirements.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</si>
</sst>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.mm\.yy"/>
    <numFmt numFmtId="165" formatCode="00"/>
    <numFmt numFmtId="166" formatCode="0.0"/>
    <numFmt numFmtId="167" formatCode="0.0000000"/>
  </numFmts>
  <fonts count="21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 tint="0.249977111117893"/>
      <name val="Plus Jakarta Sans"/>
    </font>
    <font>
      <b/>
      <sz val="10"/>
      <color theme="1" tint="0.249977111117893"/>
      <name val="Plus Jakarta Sans"/>
    </font>
    <font>
      <b/>
      <sz val="16"/>
      <color theme="1" tint="0.249977111117893"/>
      <name val="Plus Jakarta Sans"/>
    </font>
    <font>
      <b/>
      <sz val="7"/>
      <color theme="1" tint="0.249977111117893"/>
      <name val="Plus Jakarta Sans"/>
    </font>
    <font>
      <sz val="9"/>
      <color theme="1" tint="0.249977111117893"/>
      <name val="Plus Jakarta Sans"/>
    </font>
    <font>
      <sz val="12"/>
      <color theme="1" tint="0.249977111117893"/>
      <name val="Plus Jakarta Sans"/>
    </font>
    <font>
      <b/>
      <sz val="12"/>
      <color theme="1" tint="0.249977111117893"/>
      <name val="Plus Jakarta Sans"/>
    </font>
    <font>
      <sz val="11"/>
      <color theme="1" tint="0.249977111117893"/>
      <name val="Plus Jakarta Sans"/>
    </font>
    <font>
      <b/>
      <sz val="8"/>
      <color theme="1" tint="0.249977111117893"/>
      <name val="Plus Jakarta Sans"/>
    </font>
    <font>
      <b/>
      <sz val="18"/>
      <color theme="1" tint="0.249977111117893"/>
      <name val="Plus Jakarta Sans"/>
    </font>
    <font>
      <b/>
      <sz val="9"/>
      <color theme="1" tint="0.249977111117893"/>
      <name val="Plus Jakarta Sans"/>
    </font>
    <font>
      <b/>
      <sz val="14"/>
      <color theme="1" tint="0.249977111117893"/>
      <name val="Plus Jakarta Sans"/>
    </font>
    <font>
      <sz val="22"/>
      <color theme="1" tint="0.249977111117893"/>
      <name val="Plus Jakarta Sans"/>
    </font>
    <font>
      <sz val="14"/>
      <color theme="1" tint="0.249977111117893"/>
      <name val="Plus Jakarta Sans"/>
    </font>
    <font>
      <b/>
      <sz val="11"/>
      <color theme="1" tint="0.249977111117893"/>
      <name val="Plus Jakarta Sans"/>
    </font>
  </fonts>
  <fills count="8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6C1C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390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6" fillId="4" borderId="2" xfId="1" applyFont="1" applyFill="1" applyBorder="1" applyAlignment="1">
      <alignment horizontal="center" vertical="center"/>
    </xf>
    <xf numFmtId="0" fontId="6" fillId="4" borderId="0" xfId="1" applyFont="1" applyFill="1" applyAlignment="1">
      <alignment horizontal="right" vertical="center"/>
    </xf>
    <xf numFmtId="49" fontId="6" fillId="5" borderId="2" xfId="1" applyNumberFormat="1" applyFont="1" applyFill="1" applyBorder="1" applyAlignment="1" applyProtection="1">
      <alignment horizontal="center" vertical="center"/>
      <protection locked="0"/>
    </xf>
    <xf numFmtId="0" fontId="6" fillId="4" borderId="2" xfId="1" applyFont="1" applyFill="1" applyBorder="1" applyAlignment="1">
      <alignment horizontal="center"/>
    </xf>
    <xf numFmtId="0" fontId="6" fillId="4" borderId="7" xfId="1" applyFont="1" applyFill="1" applyBorder="1" applyAlignment="1">
      <alignment horizontal="center"/>
    </xf>
    <xf numFmtId="0" fontId="6" fillId="4" borderId="12" xfId="1" applyFont="1" applyFill="1" applyBorder="1" applyAlignment="1">
      <alignment horizontal="center" vertical="center"/>
    </xf>
    <xf numFmtId="0" fontId="6" fillId="3" borderId="0" xfId="1" applyFont="1" applyFill="1" applyAlignment="1">
      <alignment horizontal="right" vertical="center"/>
    </xf>
    <xf numFmtId="0" fontId="6" fillId="4" borderId="12" xfId="1" applyFont="1" applyFill="1" applyBorder="1" applyAlignment="1">
      <alignment horizontal="center"/>
    </xf>
    <xf numFmtId="0" fontId="6" fillId="4" borderId="13" xfId="1" applyFont="1" applyFill="1" applyBorder="1" applyAlignment="1">
      <alignment horizontal="center"/>
    </xf>
    <xf numFmtId="0" fontId="7" fillId="0" borderId="16" xfId="1" applyFont="1" applyBorder="1" applyAlignment="1" applyProtection="1">
      <alignment horizontal="center"/>
      <protection locked="0"/>
    </xf>
    <xf numFmtId="0" fontId="7" fillId="0" borderId="15" xfId="1" applyFont="1" applyBorder="1" applyAlignment="1" applyProtection="1">
      <alignment horizontal="center"/>
      <protection locked="0"/>
    </xf>
    <xf numFmtId="0" fontId="7" fillId="0" borderId="17" xfId="1" applyFont="1" applyBorder="1" applyAlignment="1" applyProtection="1">
      <alignment horizontal="center"/>
      <protection locked="0"/>
    </xf>
    <xf numFmtId="0" fontId="7" fillId="0" borderId="18" xfId="1" applyFont="1" applyBorder="1" applyAlignment="1" applyProtection="1">
      <alignment horizontal="center"/>
      <protection locked="0"/>
    </xf>
    <xf numFmtId="0" fontId="7" fillId="0" borderId="0" xfId="1" applyFont="1" applyAlignment="1" applyProtection="1">
      <alignment horizontal="center"/>
      <protection locked="0"/>
    </xf>
    <xf numFmtId="0" fontId="7" fillId="0" borderId="19" xfId="1" applyFont="1" applyBorder="1" applyAlignment="1" applyProtection="1">
      <alignment horizontal="center"/>
      <protection locked="0"/>
    </xf>
    <xf numFmtId="0" fontId="6" fillId="3" borderId="0" xfId="1" applyFont="1" applyFill="1"/>
    <xf numFmtId="0" fontId="6" fillId="4" borderId="2" xfId="1" applyFont="1" applyFill="1" applyBorder="1"/>
    <xf numFmtId="0" fontId="6" fillId="4" borderId="2" xfId="1" applyFont="1" applyFill="1" applyBorder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3" borderId="3" xfId="1" applyFont="1" applyFill="1" applyBorder="1"/>
    <xf numFmtId="0" fontId="6" fillId="4" borderId="0" xfId="1" applyFont="1" applyFill="1"/>
    <xf numFmtId="0" fontId="8" fillId="4" borderId="0" xfId="1" applyFont="1" applyFill="1" applyAlignment="1">
      <alignment horizontal="center"/>
    </xf>
    <xf numFmtId="0" fontId="9" fillId="0" borderId="0" xfId="0" applyFont="1" applyAlignment="1">
      <alignment horizontal="left" readingOrder="1"/>
    </xf>
    <xf numFmtId="0" fontId="10" fillId="4" borderId="0" xfId="1" applyFont="1" applyFill="1" applyAlignment="1">
      <alignment horizontal="left" vertical="center"/>
    </xf>
    <xf numFmtId="0" fontId="10" fillId="4" borderId="4" xfId="1" applyFont="1" applyFill="1" applyBorder="1" applyAlignment="1">
      <alignment vertical="center"/>
    </xf>
    <xf numFmtId="0" fontId="11" fillId="4" borderId="0" xfId="1" applyFont="1" applyFill="1" applyAlignment="1">
      <alignment horizontal="center"/>
    </xf>
    <xf numFmtId="165" fontId="10" fillId="4" borderId="3" xfId="1" applyNumberFormat="1" applyFont="1" applyFill="1" applyBorder="1" applyAlignment="1">
      <alignment horizontal="left" vertical="center"/>
    </xf>
    <xf numFmtId="14" fontId="10" fillId="4" borderId="3" xfId="1" applyNumberFormat="1" applyFont="1" applyFill="1" applyBorder="1" applyAlignment="1">
      <alignment horizontal="left" vertical="center"/>
    </xf>
    <xf numFmtId="0" fontId="7" fillId="4" borderId="0" xfId="1" applyFont="1" applyFill="1" applyAlignment="1">
      <alignment horizontal="center"/>
    </xf>
    <xf numFmtId="0" fontId="6" fillId="4" borderId="3" xfId="1" applyFont="1" applyFill="1" applyBorder="1"/>
    <xf numFmtId="0" fontId="12" fillId="4" borderId="0" xfId="1" applyFont="1" applyFill="1" applyAlignment="1">
      <alignment horizontal="center"/>
    </xf>
    <xf numFmtId="0" fontId="12" fillId="4" borderId="3" xfId="1" applyFont="1" applyFill="1" applyBorder="1" applyAlignment="1">
      <alignment horizontal="center"/>
    </xf>
    <xf numFmtId="0" fontId="6" fillId="4" borderId="5" xfId="1" applyFont="1" applyFill="1" applyBorder="1" applyAlignment="1">
      <alignment horizontal="right" vertical="center"/>
    </xf>
    <xf numFmtId="0" fontId="7" fillId="4" borderId="0" xfId="1" applyFont="1" applyFill="1"/>
    <xf numFmtId="0" fontId="7" fillId="4" borderId="0" xfId="1" applyFont="1" applyFill="1" applyAlignment="1">
      <alignment horizontal="left"/>
    </xf>
    <xf numFmtId="0" fontId="6" fillId="4" borderId="0" xfId="1" applyFont="1" applyFill="1" applyAlignment="1">
      <alignment horizontal="center"/>
    </xf>
    <xf numFmtId="0" fontId="7" fillId="4" borderId="3" xfId="1" applyFont="1" applyFill="1" applyBorder="1" applyAlignment="1">
      <alignment horizontal="center"/>
    </xf>
    <xf numFmtId="0" fontId="6" fillId="3" borderId="20" xfId="0" applyFont="1" applyFill="1" applyBorder="1" applyAlignment="1" applyProtection="1">
      <alignment horizontal="right" vertical="center"/>
      <protection locked="0"/>
    </xf>
    <xf numFmtId="0" fontId="6" fillId="3" borderId="21" xfId="0" applyFont="1" applyFill="1" applyBorder="1" applyAlignment="1" applyProtection="1">
      <alignment horizontal="right" vertical="center"/>
      <protection locked="0"/>
    </xf>
    <xf numFmtId="0" fontId="6" fillId="3" borderId="22" xfId="0" applyFont="1" applyFill="1" applyBorder="1" applyAlignment="1" applyProtection="1">
      <alignment horizontal="right" vertical="center"/>
      <protection locked="0"/>
    </xf>
    <xf numFmtId="49" fontId="6" fillId="4" borderId="0" xfId="1" applyNumberFormat="1" applyFont="1" applyFill="1" applyAlignment="1">
      <alignment horizontal="center"/>
    </xf>
    <xf numFmtId="49" fontId="7" fillId="4" borderId="0" xfId="1" applyNumberFormat="1" applyFont="1" applyFill="1" applyAlignment="1">
      <alignment horizontal="center"/>
    </xf>
    <xf numFmtId="49" fontId="6" fillId="4" borderId="15" xfId="1" applyNumberFormat="1" applyFont="1" applyFill="1" applyBorder="1" applyAlignment="1">
      <alignment horizontal="center" vertical="center" wrapText="1"/>
    </xf>
    <xf numFmtId="49" fontId="6" fillId="4" borderId="15" xfId="1" applyNumberFormat="1" applyFont="1" applyFill="1" applyBorder="1" applyAlignment="1">
      <alignment horizontal="center" wrapText="1"/>
    </xf>
    <xf numFmtId="0" fontId="7" fillId="4" borderId="0" xfId="1" applyFont="1" applyFill="1" applyAlignment="1">
      <alignment horizontal="center"/>
    </xf>
    <xf numFmtId="0" fontId="7" fillId="4" borderId="11" xfId="1" applyFont="1" applyFill="1" applyBorder="1" applyAlignment="1">
      <alignment horizontal="center" vertical="center"/>
    </xf>
    <xf numFmtId="0" fontId="7" fillId="4" borderId="12" xfId="1" applyFont="1" applyFill="1" applyBorder="1" applyAlignment="1">
      <alignment horizontal="center" vertical="center"/>
    </xf>
    <xf numFmtId="0" fontId="7" fillId="4" borderId="13" xfId="1" applyFont="1" applyFill="1" applyBorder="1" applyAlignment="1">
      <alignment horizontal="center" vertical="center"/>
    </xf>
    <xf numFmtId="0" fontId="7" fillId="4" borderId="11" xfId="1" applyFont="1" applyFill="1" applyBorder="1" applyAlignment="1">
      <alignment horizontal="center" vertical="center" wrapText="1"/>
    </xf>
    <xf numFmtId="0" fontId="7" fillId="4" borderId="12" xfId="1" applyFont="1" applyFill="1" applyBorder="1" applyAlignment="1">
      <alignment horizontal="center" vertical="center" wrapText="1"/>
    </xf>
    <xf numFmtId="0" fontId="7" fillId="4" borderId="13" xfId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7" fillId="7" borderId="11" xfId="1" applyFont="1" applyFill="1" applyBorder="1" applyAlignment="1">
      <alignment horizontal="center"/>
    </xf>
    <xf numFmtId="0" fontId="7" fillId="7" borderId="12" xfId="1" applyFont="1" applyFill="1" applyBorder="1" applyAlignment="1">
      <alignment horizontal="center"/>
    </xf>
    <xf numFmtId="0" fontId="7" fillId="7" borderId="13" xfId="1" applyFont="1" applyFill="1" applyBorder="1" applyAlignment="1">
      <alignment horizontal="center"/>
    </xf>
    <xf numFmtId="0" fontId="6" fillId="5" borderId="11" xfId="1" applyFont="1" applyFill="1" applyBorder="1" applyAlignment="1" applyProtection="1">
      <alignment horizontal="center"/>
      <protection locked="0"/>
    </xf>
    <xf numFmtId="0" fontId="6" fillId="5" borderId="12" xfId="1" applyFont="1" applyFill="1" applyBorder="1" applyAlignment="1" applyProtection="1">
      <alignment horizontal="center"/>
      <protection locked="0"/>
    </xf>
    <xf numFmtId="0" fontId="6" fillId="5" borderId="13" xfId="1" applyFont="1" applyFill="1" applyBorder="1" applyAlignment="1" applyProtection="1">
      <alignment horizontal="center"/>
      <protection locked="0"/>
    </xf>
    <xf numFmtId="0" fontId="6" fillId="4" borderId="11" xfId="1" applyFont="1" applyFill="1" applyBorder="1" applyAlignment="1" applyProtection="1">
      <alignment horizontal="center"/>
      <protection locked="0"/>
    </xf>
    <xf numFmtId="0" fontId="6" fillId="4" borderId="12" xfId="1" applyFont="1" applyFill="1" applyBorder="1" applyAlignment="1" applyProtection="1">
      <alignment horizontal="center"/>
      <protection locked="0"/>
    </xf>
    <xf numFmtId="0" fontId="6" fillId="4" borderId="13" xfId="1" applyFont="1" applyFill="1" applyBorder="1" applyAlignment="1" applyProtection="1">
      <alignment horizontal="center"/>
      <protection locked="0"/>
    </xf>
    <xf numFmtId="0" fontId="6" fillId="5" borderId="11" xfId="1" applyFont="1" applyFill="1" applyBorder="1" applyAlignment="1">
      <alignment horizontal="center"/>
    </xf>
    <xf numFmtId="0" fontId="6" fillId="5" borderId="12" xfId="1" applyFont="1" applyFill="1" applyBorder="1" applyAlignment="1">
      <alignment horizontal="center"/>
    </xf>
    <xf numFmtId="0" fontId="6" fillId="5" borderId="13" xfId="1" applyFont="1" applyFill="1" applyBorder="1" applyAlignment="1">
      <alignment horizontal="center"/>
    </xf>
    <xf numFmtId="0" fontId="6" fillId="5" borderId="11" xfId="1" applyFont="1" applyFill="1" applyBorder="1" applyAlignment="1" applyProtection="1">
      <alignment horizontal="center" vertical="center"/>
      <protection locked="0"/>
    </xf>
    <xf numFmtId="0" fontId="6" fillId="5" borderId="12" xfId="1" applyFont="1" applyFill="1" applyBorder="1" applyAlignment="1" applyProtection="1">
      <alignment horizontal="center" vertical="center"/>
      <protection locked="0"/>
    </xf>
    <xf numFmtId="0" fontId="6" fillId="5" borderId="13" xfId="1" applyFont="1" applyFill="1" applyBorder="1" applyAlignment="1" applyProtection="1">
      <alignment horizontal="center" vertical="center"/>
      <protection locked="0"/>
    </xf>
    <xf numFmtId="0" fontId="6" fillId="4" borderId="11" xfId="1" applyFont="1" applyFill="1" applyBorder="1" applyAlignment="1" applyProtection="1">
      <alignment horizontal="center" vertical="center"/>
      <protection locked="0"/>
    </xf>
    <xf numFmtId="0" fontId="6" fillId="4" borderId="13" xfId="1" applyFont="1" applyFill="1" applyBorder="1" applyAlignment="1" applyProtection="1">
      <alignment horizontal="center" vertical="center"/>
      <protection locked="0"/>
    </xf>
    <xf numFmtId="0" fontId="6" fillId="5" borderId="1" xfId="1" applyFont="1" applyFill="1" applyBorder="1" applyAlignment="1" applyProtection="1">
      <alignment horizontal="center"/>
      <protection locked="0"/>
    </xf>
    <xf numFmtId="0" fontId="6" fillId="5" borderId="13" xfId="1" applyFont="1" applyFill="1" applyBorder="1" applyProtection="1">
      <protection locked="0"/>
    </xf>
    <xf numFmtId="0" fontId="13" fillId="0" borderId="0" xfId="0" applyFont="1"/>
    <xf numFmtId="0" fontId="7" fillId="3" borderId="0" xfId="1" applyFont="1" applyFill="1" applyAlignment="1">
      <alignment horizontal="center"/>
    </xf>
    <xf numFmtId="0" fontId="7" fillId="5" borderId="0" xfId="1" applyFont="1" applyFill="1" applyAlignment="1">
      <alignment horizontal="center" vertical="center"/>
    </xf>
    <xf numFmtId="0" fontId="6" fillId="4" borderId="0" xfId="1" applyFont="1" applyFill="1" applyAlignment="1">
      <alignment horizontal="center" vertical="center"/>
    </xf>
    <xf numFmtId="0" fontId="7" fillId="4" borderId="1" xfId="1" applyFont="1" applyFill="1" applyBorder="1" applyAlignment="1">
      <alignment horizontal="center" vertical="center"/>
    </xf>
    <xf numFmtId="0" fontId="7" fillId="4" borderId="1" xfId="1" applyFont="1" applyFill="1" applyBorder="1" applyAlignment="1" applyProtection="1">
      <alignment horizontal="center" vertical="center"/>
      <protection locked="0"/>
    </xf>
    <xf numFmtId="0" fontId="7" fillId="4" borderId="12" xfId="1" applyFont="1" applyFill="1" applyBorder="1" applyAlignment="1">
      <alignment horizontal="center" vertical="center"/>
    </xf>
    <xf numFmtId="0" fontId="7" fillId="7" borderId="11" xfId="1" applyFont="1" applyFill="1" applyBorder="1" applyAlignment="1">
      <alignment horizontal="center" vertical="center"/>
    </xf>
    <xf numFmtId="0" fontId="7" fillId="7" borderId="12" xfId="1" applyFont="1" applyFill="1" applyBorder="1" applyAlignment="1">
      <alignment horizontal="center" vertical="center"/>
    </xf>
    <xf numFmtId="0" fontId="7" fillId="7" borderId="13" xfId="1" applyFont="1" applyFill="1" applyBorder="1" applyAlignment="1">
      <alignment horizontal="center" vertical="center"/>
    </xf>
    <xf numFmtId="0" fontId="14" fillId="7" borderId="11" xfId="1" applyFont="1" applyFill="1" applyBorder="1" applyAlignment="1">
      <alignment horizontal="center" vertical="center"/>
    </xf>
    <xf numFmtId="0" fontId="14" fillId="7" borderId="12" xfId="1" applyFont="1" applyFill="1" applyBorder="1" applyAlignment="1">
      <alignment horizontal="center" vertical="center"/>
    </xf>
    <xf numFmtId="0" fontId="14" fillId="7" borderId="13" xfId="1" applyFont="1" applyFill="1" applyBorder="1" applyAlignment="1">
      <alignment horizontal="center" vertical="center"/>
    </xf>
    <xf numFmtId="0" fontId="6" fillId="4" borderId="9" xfId="1" applyFont="1" applyFill="1" applyBorder="1" applyAlignment="1" applyProtection="1">
      <alignment horizontal="center" vertical="center"/>
      <protection locked="0"/>
    </xf>
    <xf numFmtId="0" fontId="6" fillId="4" borderId="12" xfId="1" applyFont="1" applyFill="1" applyBorder="1" applyAlignment="1" applyProtection="1">
      <alignment horizontal="center" vertical="center"/>
      <protection locked="0"/>
    </xf>
    <xf numFmtId="0" fontId="6" fillId="5" borderId="1" xfId="1" applyFont="1" applyFill="1" applyBorder="1" applyAlignment="1" applyProtection="1">
      <alignment horizontal="center" vertical="center"/>
      <protection locked="0"/>
    </xf>
    <xf numFmtId="0" fontId="6" fillId="5" borderId="6" xfId="1" applyFont="1" applyFill="1" applyBorder="1" applyAlignment="1" applyProtection="1">
      <alignment horizontal="center" vertical="center"/>
      <protection locked="0"/>
    </xf>
    <xf numFmtId="0" fontId="6" fillId="5" borderId="2" xfId="1" applyFont="1" applyFill="1" applyBorder="1" applyAlignment="1" applyProtection="1">
      <alignment horizontal="center" vertical="center"/>
      <protection locked="0"/>
    </xf>
    <xf numFmtId="0" fontId="6" fillId="4" borderId="2" xfId="1" applyFont="1" applyFill="1" applyBorder="1" applyAlignment="1" applyProtection="1">
      <alignment horizontal="center" vertical="center"/>
      <protection locked="0"/>
    </xf>
    <xf numFmtId="0" fontId="6" fillId="4" borderId="6" xfId="1" applyFont="1" applyFill="1" applyBorder="1" applyAlignment="1" applyProtection="1">
      <alignment horizontal="center" vertical="center"/>
      <protection locked="0"/>
    </xf>
    <xf numFmtId="0" fontId="6" fillId="4" borderId="2" xfId="1" applyFont="1" applyFill="1" applyBorder="1" applyAlignment="1" applyProtection="1">
      <alignment horizontal="center" vertical="center"/>
      <protection locked="0"/>
    </xf>
    <xf numFmtId="0" fontId="6" fillId="4" borderId="7" xfId="1" applyFont="1" applyFill="1" applyBorder="1" applyAlignment="1" applyProtection="1">
      <alignment horizontal="center" vertical="center"/>
      <protection locked="0"/>
    </xf>
    <xf numFmtId="0" fontId="6" fillId="4" borderId="12" xfId="1" applyFont="1" applyFill="1" applyBorder="1" applyAlignment="1" applyProtection="1">
      <alignment horizontal="center" vertical="center"/>
      <protection locked="0"/>
    </xf>
    <xf numFmtId="0" fontId="6" fillId="4" borderId="1" xfId="1" applyFont="1" applyFill="1" applyBorder="1" applyAlignment="1" applyProtection="1">
      <alignment horizontal="center" vertical="center"/>
      <protection locked="0"/>
    </xf>
    <xf numFmtId="0" fontId="6" fillId="4" borderId="1" xfId="1" applyFont="1" applyFill="1" applyBorder="1" applyAlignment="1" applyProtection="1">
      <alignment horizontal="center" vertical="center"/>
      <protection locked="0"/>
    </xf>
    <xf numFmtId="0" fontId="7" fillId="4" borderId="11" xfId="1" applyFont="1" applyFill="1" applyBorder="1" applyAlignment="1" applyProtection="1">
      <alignment horizontal="center" vertical="center"/>
      <protection locked="0"/>
    </xf>
    <xf numFmtId="0" fontId="7" fillId="4" borderId="12" xfId="1" applyFont="1" applyFill="1" applyBorder="1" applyAlignment="1" applyProtection="1">
      <alignment horizontal="center" vertical="center"/>
      <protection locked="0"/>
    </xf>
    <xf numFmtId="0" fontId="7" fillId="4" borderId="13" xfId="1" applyFont="1" applyFill="1" applyBorder="1" applyAlignment="1" applyProtection="1">
      <alignment horizontal="center" vertical="center"/>
      <protection locked="0"/>
    </xf>
    <xf numFmtId="0" fontId="6" fillId="3" borderId="0" xfId="1" applyFont="1" applyFill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3" borderId="0" xfId="0" applyFont="1" applyFill="1" applyProtection="1">
      <protection locked="0"/>
    </xf>
    <xf numFmtId="0" fontId="6" fillId="4" borderId="0" xfId="1" applyFont="1" applyFill="1" applyProtection="1">
      <protection locked="0"/>
    </xf>
    <xf numFmtId="0" fontId="7" fillId="4" borderId="8" xfId="1" applyFont="1" applyFill="1" applyBorder="1" applyAlignment="1">
      <alignment horizontal="center"/>
    </xf>
    <xf numFmtId="0" fontId="7" fillId="4" borderId="9" xfId="1" applyFont="1" applyFill="1" applyBorder="1" applyAlignment="1">
      <alignment horizontal="center"/>
    </xf>
    <xf numFmtId="0" fontId="7" fillId="4" borderId="4" xfId="1" applyFont="1" applyFill="1" applyBorder="1" applyAlignment="1">
      <alignment horizontal="center"/>
    </xf>
    <xf numFmtId="0" fontId="6" fillId="4" borderId="11" xfId="1" applyFont="1" applyFill="1" applyBorder="1" applyAlignment="1" applyProtection="1">
      <alignment horizontal="left"/>
      <protection locked="0"/>
    </xf>
    <xf numFmtId="0" fontId="6" fillId="4" borderId="12" xfId="1" applyFont="1" applyFill="1" applyBorder="1" applyAlignment="1" applyProtection="1">
      <alignment horizontal="left"/>
      <protection locked="0"/>
    </xf>
    <xf numFmtId="0" fontId="6" fillId="4" borderId="13" xfId="1" applyFont="1" applyFill="1" applyBorder="1" applyAlignment="1" applyProtection="1">
      <alignment horizontal="left"/>
      <protection locked="0"/>
    </xf>
    <xf numFmtId="0" fontId="6" fillId="4" borderId="5" xfId="1" applyFont="1" applyFill="1" applyBorder="1"/>
    <xf numFmtId="0" fontId="6" fillId="4" borderId="0" xfId="1" applyFont="1" applyFill="1" applyAlignment="1" applyProtection="1">
      <alignment horizontal="left"/>
      <protection locked="0"/>
    </xf>
    <xf numFmtId="0" fontId="6" fillId="4" borderId="6" xfId="1" applyFont="1" applyFill="1" applyBorder="1"/>
    <xf numFmtId="0" fontId="6" fillId="4" borderId="7" xfId="1" applyFont="1" applyFill="1" applyBorder="1"/>
    <xf numFmtId="0" fontId="6" fillId="4" borderId="0" xfId="1" applyFont="1" applyFill="1" applyAlignment="1" applyProtection="1">
      <alignment horizontal="left"/>
      <protection locked="0"/>
    </xf>
    <xf numFmtId="0" fontId="6" fillId="5" borderId="0" xfId="1" applyFont="1" applyFill="1"/>
    <xf numFmtId="0" fontId="6" fillId="5" borderId="2" xfId="1" applyFont="1" applyFill="1" applyBorder="1" applyAlignment="1">
      <alignment horizontal="center"/>
    </xf>
    <xf numFmtId="0" fontId="7" fillId="5" borderId="0" xfId="1" applyFont="1" applyFill="1" applyAlignment="1">
      <alignment horizontal="center"/>
    </xf>
    <xf numFmtId="0" fontId="7" fillId="5" borderId="2" xfId="1" applyFont="1" applyFill="1" applyBorder="1" applyAlignment="1">
      <alignment horizontal="center"/>
    </xf>
    <xf numFmtId="0" fontId="6" fillId="5" borderId="0" xfId="0" applyFont="1" applyFill="1"/>
    <xf numFmtId="0" fontId="7" fillId="5" borderId="9" xfId="1" applyFont="1" applyFill="1" applyBorder="1" applyAlignment="1">
      <alignment horizontal="center"/>
    </xf>
    <xf numFmtId="0" fontId="7" fillId="5" borderId="0" xfId="1" applyFont="1" applyFill="1"/>
    <xf numFmtId="49" fontId="7" fillId="0" borderId="1" xfId="1" applyNumberFormat="1" applyFont="1" applyBorder="1" applyAlignment="1" applyProtection="1">
      <alignment horizontal="center" vertical="center"/>
      <protection locked="0"/>
    </xf>
    <xf numFmtId="0" fontId="6" fillId="5" borderId="0" xfId="1" applyFont="1" applyFill="1" applyAlignment="1">
      <alignment horizontal="center"/>
    </xf>
    <xf numFmtId="49" fontId="7" fillId="5" borderId="0" xfId="1" applyNumberFormat="1" applyFont="1" applyFill="1" applyAlignment="1" applyProtection="1">
      <alignment horizontal="center" vertical="center"/>
      <protection locked="0"/>
    </xf>
    <xf numFmtId="2" fontId="6" fillId="5" borderId="0" xfId="0" applyNumberFormat="1" applyFont="1" applyFill="1"/>
    <xf numFmtId="0" fontId="6" fillId="5" borderId="0" xfId="1" applyFont="1" applyFill="1" applyAlignment="1">
      <alignment horizontal="left" vertical="center"/>
    </xf>
    <xf numFmtId="0" fontId="7" fillId="5" borderId="0" xfId="1" applyFont="1" applyFill="1" applyAlignment="1">
      <alignment horizontal="center" vertical="center"/>
    </xf>
    <xf numFmtId="0" fontId="6" fillId="5" borderId="0" xfId="1" applyFont="1" applyFill="1" applyAlignment="1">
      <alignment horizontal="center" vertical="center"/>
    </xf>
    <xf numFmtId="0" fontId="6" fillId="5" borderId="0" xfId="1" applyFont="1" applyFill="1" applyAlignment="1">
      <alignment horizontal="center" vertical="center"/>
    </xf>
    <xf numFmtId="0" fontId="6" fillId="5" borderId="0" xfId="1" applyFont="1" applyFill="1" applyAlignment="1">
      <alignment vertical="center"/>
    </xf>
    <xf numFmtId="0" fontId="6" fillId="5" borderId="0" xfId="0" applyFont="1" applyFill="1" applyAlignment="1">
      <alignment horizontal="right" vertical="center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/>
    <xf numFmtId="2" fontId="6" fillId="0" borderId="0" xfId="0" applyNumberFormat="1" applyFont="1"/>
    <xf numFmtId="0" fontId="6" fillId="0" borderId="23" xfId="0" applyFont="1" applyBorder="1" applyAlignment="1">
      <alignment horizontal="center"/>
    </xf>
    <xf numFmtId="0" fontId="15" fillId="0" borderId="8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0" fontId="15" fillId="0" borderId="6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right" vertical="center"/>
    </xf>
    <xf numFmtId="0" fontId="6" fillId="5" borderId="9" xfId="0" applyFont="1" applyFill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9" xfId="0" applyFont="1" applyBorder="1" applyAlignment="1">
      <alignment horizontal="right" vertical="center"/>
    </xf>
    <xf numFmtId="49" fontId="6" fillId="0" borderId="9" xfId="0" applyNumberFormat="1" applyFont="1" applyBorder="1" applyAlignment="1">
      <alignment vertical="center"/>
    </xf>
    <xf numFmtId="49" fontId="6" fillId="0" borderId="4" xfId="0" applyNumberFormat="1" applyFont="1" applyBorder="1" applyAlignment="1">
      <alignment vertical="center"/>
    </xf>
    <xf numFmtId="0" fontId="7" fillId="0" borderId="5" xfId="0" applyFont="1" applyBorder="1" applyAlignment="1">
      <alignment horizontal="right" vertical="center"/>
    </xf>
    <xf numFmtId="0" fontId="6" fillId="4" borderId="0" xfId="1" applyFont="1" applyFill="1" applyAlignment="1">
      <alignment horizontal="left" vertical="center"/>
    </xf>
    <xf numFmtId="0" fontId="7" fillId="4" borderId="0" xfId="1" applyFont="1" applyFill="1" applyAlignment="1">
      <alignment vertical="center"/>
    </xf>
    <xf numFmtId="0" fontId="7" fillId="4" borderId="3" xfId="1" applyFont="1" applyFill="1" applyBorder="1" applyAlignment="1">
      <alignment vertical="center"/>
    </xf>
    <xf numFmtId="0" fontId="7" fillId="0" borderId="6" xfId="0" applyFont="1" applyBorder="1" applyAlignment="1">
      <alignment horizontal="right" vertical="center"/>
    </xf>
    <xf numFmtId="0" fontId="6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7" fillId="7" borderId="11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3" borderId="23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2" fontId="6" fillId="0" borderId="2" xfId="0" applyNumberFormat="1" applyFont="1" applyBorder="1" applyAlignment="1">
      <alignment horizontal="center" vertical="center" wrapText="1"/>
    </xf>
    <xf numFmtId="2" fontId="6" fillId="0" borderId="7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2" fontId="6" fillId="0" borderId="11" xfId="0" applyNumberFormat="1" applyFont="1" applyBorder="1" applyAlignment="1">
      <alignment horizontal="center" vertical="center"/>
    </xf>
    <xf numFmtId="2" fontId="6" fillId="0" borderId="13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166" fontId="6" fillId="5" borderId="11" xfId="0" applyNumberFormat="1" applyFont="1" applyFill="1" applyBorder="1" applyAlignment="1">
      <alignment horizontal="center" vertical="center"/>
    </xf>
    <xf numFmtId="166" fontId="6" fillId="5" borderId="12" xfId="0" applyNumberFormat="1" applyFont="1" applyFill="1" applyBorder="1" applyAlignment="1">
      <alignment horizontal="center" vertical="center"/>
    </xf>
    <xf numFmtId="166" fontId="6" fillId="5" borderId="13" xfId="0" applyNumberFormat="1" applyFont="1" applyFill="1" applyBorder="1" applyAlignment="1">
      <alignment horizontal="center" vertical="center"/>
    </xf>
    <xf numFmtId="166" fontId="6" fillId="0" borderId="10" xfId="0" applyNumberFormat="1" applyFont="1" applyBorder="1" applyAlignment="1">
      <alignment horizontal="center" vertical="center"/>
    </xf>
    <xf numFmtId="2" fontId="6" fillId="5" borderId="11" xfId="0" applyNumberFormat="1" applyFont="1" applyFill="1" applyBorder="1" applyAlignment="1" applyProtection="1">
      <alignment horizontal="center" vertical="center"/>
      <protection locked="0"/>
    </xf>
    <xf numFmtId="2" fontId="6" fillId="5" borderId="12" xfId="0" applyNumberFormat="1" applyFont="1" applyFill="1" applyBorder="1" applyAlignment="1" applyProtection="1">
      <alignment horizontal="center" vertical="center"/>
      <protection locked="0"/>
    </xf>
    <xf numFmtId="2" fontId="6" fillId="5" borderId="13" xfId="0" applyNumberFormat="1" applyFont="1" applyFill="1" applyBorder="1" applyAlignment="1" applyProtection="1">
      <alignment horizontal="center" vertical="center"/>
      <protection locked="0"/>
    </xf>
    <xf numFmtId="2" fontId="7" fillId="7" borderId="11" xfId="0" applyNumberFormat="1" applyFont="1" applyFill="1" applyBorder="1" applyAlignment="1">
      <alignment horizontal="center" vertical="center"/>
    </xf>
    <xf numFmtId="2" fontId="7" fillId="7" borderId="12" xfId="0" applyNumberFormat="1" applyFont="1" applyFill="1" applyBorder="1" applyAlignment="1">
      <alignment horizontal="center" vertical="center"/>
    </xf>
    <xf numFmtId="2" fontId="7" fillId="7" borderId="13" xfId="0" applyNumberFormat="1" applyFont="1" applyFill="1" applyBorder="1" applyAlignment="1">
      <alignment horizontal="center" vertical="center"/>
    </xf>
    <xf numFmtId="2" fontId="17" fillId="0" borderId="0" xfId="0" applyNumberFormat="1" applyFont="1" applyAlignment="1">
      <alignment horizontal="center" vertical="center"/>
    </xf>
    <xf numFmtId="2" fontId="6" fillId="5" borderId="8" xfId="0" applyNumberFormat="1" applyFont="1" applyFill="1" applyBorder="1" applyAlignment="1">
      <alignment horizontal="center" vertical="center"/>
    </xf>
    <xf numFmtId="2" fontId="6" fillId="5" borderId="9" xfId="0" applyNumberFormat="1" applyFont="1" applyFill="1" applyBorder="1" applyAlignment="1">
      <alignment horizontal="center" vertical="center"/>
    </xf>
    <xf numFmtId="2" fontId="6" fillId="5" borderId="4" xfId="0" applyNumberFormat="1" applyFont="1" applyFill="1" applyBorder="1" applyAlignment="1">
      <alignment horizontal="center" vertical="center"/>
    </xf>
    <xf numFmtId="2" fontId="18" fillId="0" borderId="0" xfId="0" applyNumberFormat="1" applyFont="1" applyAlignment="1">
      <alignment vertical="center"/>
    </xf>
    <xf numFmtId="2" fontId="6" fillId="5" borderId="5" xfId="0" applyNumberFormat="1" applyFont="1" applyFill="1" applyBorder="1" applyAlignment="1">
      <alignment horizontal="center" vertical="center"/>
    </xf>
    <xf numFmtId="2" fontId="6" fillId="5" borderId="0" xfId="0" applyNumberFormat="1" applyFont="1" applyFill="1" applyAlignment="1">
      <alignment horizontal="center" vertical="center"/>
    </xf>
    <xf numFmtId="2" fontId="6" fillId="5" borderId="3" xfId="0" applyNumberFormat="1" applyFont="1" applyFill="1" applyBorder="1" applyAlignment="1">
      <alignment horizontal="center" vertical="center"/>
    </xf>
    <xf numFmtId="2" fontId="6" fillId="5" borderId="6" xfId="0" applyNumberFormat="1" applyFont="1" applyFill="1" applyBorder="1" applyAlignment="1">
      <alignment horizontal="center" vertical="center"/>
    </xf>
    <xf numFmtId="2" fontId="6" fillId="5" borderId="2" xfId="0" applyNumberFormat="1" applyFont="1" applyFill="1" applyBorder="1" applyAlignment="1">
      <alignment horizontal="center" vertical="center"/>
    </xf>
    <xf numFmtId="2" fontId="6" fillId="5" borderId="7" xfId="0" applyNumberFormat="1" applyFont="1" applyFill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7" fillId="5" borderId="8" xfId="0" applyNumberFormat="1" applyFont="1" applyFill="1" applyBorder="1" applyAlignment="1">
      <alignment horizontal="center" vertical="center"/>
    </xf>
    <xf numFmtId="2" fontId="7" fillId="5" borderId="9" xfId="0" applyNumberFormat="1" applyFont="1" applyFill="1" applyBorder="1" applyAlignment="1">
      <alignment horizontal="center" vertical="center"/>
    </xf>
    <xf numFmtId="2" fontId="7" fillId="5" borderId="4" xfId="0" applyNumberFormat="1" applyFont="1" applyFill="1" applyBorder="1" applyAlignment="1">
      <alignment horizontal="center" vertical="center"/>
    </xf>
    <xf numFmtId="2" fontId="7" fillId="5" borderId="6" xfId="0" applyNumberFormat="1" applyFont="1" applyFill="1" applyBorder="1" applyAlignment="1">
      <alignment horizontal="center" vertical="center"/>
    </xf>
    <xf numFmtId="2" fontId="7" fillId="5" borderId="2" xfId="0" applyNumberFormat="1" applyFont="1" applyFill="1" applyBorder="1" applyAlignment="1">
      <alignment horizontal="center" vertical="center"/>
    </xf>
    <xf numFmtId="2" fontId="7" fillId="5" borderId="7" xfId="0" applyNumberFormat="1" applyFont="1" applyFill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2" fontId="6" fillId="0" borderId="12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2" fontId="7" fillId="0" borderId="9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vertical="center"/>
    </xf>
    <xf numFmtId="2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wrapText="1"/>
    </xf>
    <xf numFmtId="0" fontId="6" fillId="0" borderId="8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9" fillId="0" borderId="8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9" fillId="0" borderId="6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right" vertical="center"/>
    </xf>
    <xf numFmtId="0" fontId="7" fillId="0" borderId="9" xfId="0" applyFont="1" applyBorder="1" applyAlignment="1">
      <alignment horizontal="right" vertical="center"/>
    </xf>
    <xf numFmtId="49" fontId="7" fillId="5" borderId="9" xfId="0" applyNumberFormat="1" applyFont="1" applyFill="1" applyBorder="1" applyAlignment="1">
      <alignment vertical="center"/>
    </xf>
    <xf numFmtId="0" fontId="6" fillId="0" borderId="9" xfId="0" applyFont="1" applyBorder="1"/>
    <xf numFmtId="49" fontId="6" fillId="0" borderId="9" xfId="0" applyNumberFormat="1" applyFont="1" applyBorder="1" applyAlignment="1">
      <alignment horizontal="center"/>
    </xf>
    <xf numFmtId="0" fontId="7" fillId="0" borderId="6" xfId="0" applyFont="1" applyBorder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0" fontId="6" fillId="0" borderId="2" xfId="0" applyFont="1" applyBorder="1"/>
    <xf numFmtId="0" fontId="7" fillId="0" borderId="2" xfId="0" applyFont="1" applyBorder="1" applyAlignment="1">
      <alignment horizontal="right" vertical="center"/>
    </xf>
    <xf numFmtId="0" fontId="6" fillId="0" borderId="2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7" fillId="0" borderId="8" xfId="0" applyFont="1" applyBorder="1"/>
    <xf numFmtId="0" fontId="7" fillId="0" borderId="9" xfId="0" applyFont="1" applyBorder="1"/>
    <xf numFmtId="0" fontId="6" fillId="0" borderId="4" xfId="0" applyFont="1" applyBorder="1"/>
    <xf numFmtId="0" fontId="7" fillId="0" borderId="5" xfId="0" applyFont="1" applyBorder="1"/>
    <xf numFmtId="0" fontId="7" fillId="0" borderId="0" xfId="0" applyFont="1"/>
    <xf numFmtId="0" fontId="6" fillId="0" borderId="3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5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167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2" fontId="6" fillId="0" borderId="1" xfId="0" applyNumberFormat="1" applyFont="1" applyBorder="1" applyAlignment="1">
      <alignment horizontal="center" vertical="center"/>
    </xf>
    <xf numFmtId="2" fontId="6" fillId="6" borderId="1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7" fillId="7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6" fillId="0" borderId="2" xfId="0" applyFont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8" xfId="0" applyFont="1" applyBorder="1"/>
    <xf numFmtId="0" fontId="17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6" fillId="0" borderId="5" xfId="0" applyFont="1" applyBorder="1" applyAlignment="1">
      <alignment horizontal="right"/>
    </xf>
    <xf numFmtId="0" fontId="6" fillId="5" borderId="0" xfId="0" applyFont="1" applyFill="1" applyAlignment="1">
      <alignment horizontal="left" vertical="center"/>
    </xf>
    <xf numFmtId="0" fontId="7" fillId="0" borderId="0" xfId="0" applyFont="1" applyAlignment="1">
      <alignment horizontal="right"/>
    </xf>
    <xf numFmtId="0" fontId="7" fillId="0" borderId="5" xfId="0" applyFont="1" applyBorder="1" applyAlignment="1">
      <alignment horizontal="right"/>
    </xf>
    <xf numFmtId="0" fontId="6" fillId="0" borderId="0" xfId="0" applyFont="1" applyAlignment="1" applyProtection="1">
      <alignment horizontal="left" vertical="center"/>
      <protection locked="0"/>
    </xf>
    <xf numFmtId="0" fontId="6" fillId="0" borderId="7" xfId="0" applyFont="1" applyBorder="1" applyAlignment="1">
      <alignment horizontal="left" vertical="center"/>
    </xf>
    <xf numFmtId="0" fontId="13" fillId="0" borderId="9" xfId="0" applyFont="1" applyBorder="1"/>
    <xf numFmtId="0" fontId="13" fillId="0" borderId="2" xfId="0" applyFont="1" applyBorder="1"/>
    <xf numFmtId="0" fontId="7" fillId="0" borderId="11" xfId="0" applyFont="1" applyBorder="1" applyAlignment="1">
      <alignment vertical="center"/>
    </xf>
    <xf numFmtId="0" fontId="6" fillId="0" borderId="12" xfId="1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11" fillId="0" borderId="12" xfId="1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9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7" fillId="5" borderId="9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7" fillId="5" borderId="0" xfId="0" applyFont="1" applyFill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20" fillId="0" borderId="0" xfId="0" applyFont="1"/>
    <xf numFmtId="0" fontId="20" fillId="0" borderId="0" xfId="0" applyFont="1" applyAlignment="1">
      <alignment vertical="center"/>
    </xf>
    <xf numFmtId="0" fontId="7" fillId="5" borderId="6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Protection="1"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7" fillId="0" borderId="9" xfId="0" applyFont="1" applyBorder="1" applyAlignment="1">
      <alignment horizontal="center"/>
    </xf>
    <xf numFmtId="0" fontId="7" fillId="0" borderId="0" xfId="1" applyFont="1"/>
    <xf numFmtId="0" fontId="7" fillId="7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2" fontId="18" fillId="0" borderId="0" xfId="0" applyNumberFormat="1" applyFont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2" fontId="17" fillId="0" borderId="0" xfId="0" applyNumberFormat="1" applyFont="1" applyAlignment="1">
      <alignment vertical="center"/>
    </xf>
    <xf numFmtId="0" fontId="7" fillId="0" borderId="6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/>
    <xf numFmtId="0" fontId="6" fillId="0" borderId="1" xfId="0" applyFont="1" applyBorder="1"/>
    <xf numFmtId="0" fontId="6" fillId="0" borderId="14" xfId="0" applyFont="1" applyBorder="1"/>
    <xf numFmtId="0" fontId="6" fillId="0" borderId="0" xfId="0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CheckBox" checked="Checked" lockText="1"/>
</file>

<file path=xl/ctrlProps/ctrlProp2.xml><?xml version="1.0" encoding="utf-8"?>
<formControlPr xmlns="http://schemas.microsoft.com/office/spreadsheetml/2009/9/main" objectType="CheckBox" lockText="1"/>
</file>

<file path=xl/ctrlProps/ctrlProp3.xml><?xml version="1.0" encoding="utf-8"?>
<formControlPr xmlns="http://schemas.microsoft.com/office/spreadsheetml/2009/9/main" objectType="CheckBox" lockText="1"/>
</file>

<file path=xl/ctrlProps/ctrlProp4.xml><?xml version="1.0" encoding="utf-8"?>
<formControlPr xmlns="http://schemas.microsoft.com/office/spreadsheetml/2009/9/main" objectType="CheckBox" lockText="1"/>
</file>

<file path=xl/ctrlProps/ctrlProp5.xml><?xml version="1.0" encoding="utf-8"?>
<formControlPr xmlns="http://schemas.microsoft.com/office/spreadsheetml/2009/9/main" objectType="CheckBox" lockText="1"/>
</file>

<file path=xl/ctrlProps/ctrlProp6.xml><?xml version="1.0" encoding="utf-8"?>
<formControlPr xmlns="http://schemas.microsoft.com/office/spreadsheetml/2009/9/main" objectType="CheckBox" lockText="1"/>
</file>

<file path=xl/ctrlProps/ctrlProp7.xml><?xml version="1.0" encoding="utf-8"?>
<formControlPr xmlns="http://schemas.microsoft.com/office/spreadsheetml/2009/9/main" objectType="CheckBox" lockText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checked="Checked" lockText="1"/>
</file>

<file path=xl/ctrlProps/ctrlProp16.xml><?xml version="1.0" encoding="utf-8"?>
<formControlPr xmlns="http://schemas.microsoft.com/office/spreadsheetml/2009/9/main" objectType="CheckBox" lockText="1"/>
</file>

<file path=xl/ctrlProps/ctrlProp17.xml><?xml version="1.0" encoding="utf-8"?>
<formControlPr xmlns="http://schemas.microsoft.com/office/spreadsheetml/2009/9/main" objectType="CheckBox" lockText="1"/>
</file>

<file path=xl/ctrlProps/ctrlProp18.xml><?xml version="1.0" encoding="utf-8"?>
<formControlPr xmlns="http://schemas.microsoft.com/office/spreadsheetml/2009/9/main" objectType="CheckBox" lockText="1"/>
</file>

<file path=xl/ctrlProps/ctrlProp19.xml><?xml version="1.0" encoding="utf-8"?>
<formControlPr xmlns="http://schemas.microsoft.com/office/spreadsheetml/2009/9/main" objectType="CheckBox" lockText="1"/>
</file>

<file path=xl/ctrlProps/ctrlProp20.xml><?xml version="1.0" encoding="utf-8"?>
<formControlPr xmlns="http://schemas.microsoft.com/office/spreadsheetml/2009/9/main" objectType="CheckBox" lockText="1"/>
</file>

<file path=xl/ctrlProps/ctrlProp21.xml><?xml version="1.0" encoding="utf-8"?>
<formControlPr xmlns="http://schemas.microsoft.com/office/spreadsheetml/2009/9/main" objectType="CheckBox" lockText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checked="Checked" lockText="1"/>
</file>

<file path=xl/ctrlProps/ctrlProp30.xml><?xml version="1.0" encoding="utf-8"?>
<formControlPr xmlns="http://schemas.microsoft.com/office/spreadsheetml/2009/9/main" objectType="CheckBox" lockText="1"/>
</file>

<file path=xl/ctrlProps/ctrlProp31.xml><?xml version="1.0" encoding="utf-8"?>
<formControlPr xmlns="http://schemas.microsoft.com/office/spreadsheetml/2009/9/main" objectType="CheckBox" lockText="1"/>
</file>

<file path=xl/ctrlProps/ctrlProp32.xml><?xml version="1.0" encoding="utf-8"?>
<formControlPr xmlns="http://schemas.microsoft.com/office/spreadsheetml/2009/9/main" objectType="CheckBox" lockText="1"/>
</file>

<file path=xl/ctrlProps/ctrlProp33.xml><?xml version="1.0" encoding="utf-8"?>
<formControlPr xmlns="http://schemas.microsoft.com/office/spreadsheetml/2009/9/main" objectType="CheckBox" lockText="1"/>
</file>

<file path=xl/ctrlProps/ctrlProp34.xml><?xml version="1.0" encoding="utf-8"?>
<formControlPr xmlns="http://schemas.microsoft.com/office/spreadsheetml/2009/9/main" objectType="CheckBox" lockText="1"/>
</file>

<file path=xl/ctrlProps/ctrlProp35.xml><?xml version="1.0" encoding="utf-8"?>
<formControlPr xmlns="http://schemas.microsoft.com/office/spreadsheetml/2009/9/main" objectType="CheckBox" lockText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checked="Checked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21</xdr:row>
      <xdr:rowOff>160020</xdr:rowOff>
    </xdr:from>
    <xdr:to>
      <xdr:col>6</xdr:col>
      <xdr:colOff>0</xdr:colOff>
      <xdr:row>22</xdr:row>
      <xdr:rowOff>30480</xdr:rowOff>
    </xdr:to>
    <xdr:sp macro="" textlink="">
      <xdr:nvSpPr>
        <xdr:cNvPr id="227955" name="Text Box 11">
          <a:extLst>
            <a:ext uri="{FF2B5EF4-FFF2-40B4-BE49-F238E27FC236}">
              <a16:creationId xmlns:a16="http://schemas.microsoft.com/office/drawing/2014/main" id="{00000000-0008-0000-0000-0000737A0300}"/>
            </a:ext>
          </a:extLst>
        </xdr:cNvPr>
        <xdr:cNvSpPr txBox="1">
          <a:spLocks noChangeArrowheads="1"/>
        </xdr:cNvSpPr>
      </xdr:nvSpPr>
      <xdr:spPr bwMode="auto">
        <a:xfrm>
          <a:off x="533400" y="4290060"/>
          <a:ext cx="792480" cy="60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31</xdr:col>
      <xdr:colOff>160020</xdr:colOff>
      <xdr:row>35</xdr:row>
      <xdr:rowOff>83820</xdr:rowOff>
    </xdr:from>
    <xdr:to>
      <xdr:col>35</xdr:col>
      <xdr:colOff>114300</xdr:colOff>
      <xdr:row>36</xdr:row>
      <xdr:rowOff>45720</xdr:rowOff>
    </xdr:to>
    <xdr:sp macro="" textlink="">
      <xdr:nvSpPr>
        <xdr:cNvPr id="227956" name="Text Box 12">
          <a:extLst>
            <a:ext uri="{FF2B5EF4-FFF2-40B4-BE49-F238E27FC236}">
              <a16:creationId xmlns:a16="http://schemas.microsoft.com/office/drawing/2014/main" id="{00000000-0008-0000-0000-0000747A0300}"/>
            </a:ext>
          </a:extLst>
        </xdr:cNvPr>
        <xdr:cNvSpPr txBox="1">
          <a:spLocks noChangeArrowheads="1"/>
        </xdr:cNvSpPr>
      </xdr:nvSpPr>
      <xdr:spPr bwMode="auto">
        <a:xfrm>
          <a:off x="6118860" y="6880860"/>
          <a:ext cx="70866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236220</xdr:colOff>
      <xdr:row>35</xdr:row>
      <xdr:rowOff>83820</xdr:rowOff>
    </xdr:from>
    <xdr:to>
      <xdr:col>24</xdr:col>
      <xdr:colOff>99060</xdr:colOff>
      <xdr:row>36</xdr:row>
      <xdr:rowOff>45720</xdr:rowOff>
    </xdr:to>
    <xdr:sp macro="" textlink="">
      <xdr:nvSpPr>
        <xdr:cNvPr id="227957" name="Text Box 13">
          <a:extLst>
            <a:ext uri="{FF2B5EF4-FFF2-40B4-BE49-F238E27FC236}">
              <a16:creationId xmlns:a16="http://schemas.microsoft.com/office/drawing/2014/main" id="{00000000-0008-0000-0000-0000757A0300}"/>
            </a:ext>
          </a:extLst>
        </xdr:cNvPr>
        <xdr:cNvSpPr txBox="1">
          <a:spLocks noChangeArrowheads="1"/>
        </xdr:cNvSpPr>
      </xdr:nvSpPr>
      <xdr:spPr bwMode="auto">
        <a:xfrm>
          <a:off x="4023360" y="6880860"/>
          <a:ext cx="63246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35</xdr:col>
      <xdr:colOff>30480</xdr:colOff>
      <xdr:row>35</xdr:row>
      <xdr:rowOff>38100</xdr:rowOff>
    </xdr:from>
    <xdr:to>
      <xdr:col>37</xdr:col>
      <xdr:colOff>205740</xdr:colOff>
      <xdr:row>36</xdr:row>
      <xdr:rowOff>38100</xdr:rowOff>
    </xdr:to>
    <xdr:sp macro="" textlink="">
      <xdr:nvSpPr>
        <xdr:cNvPr id="227958" name="Text Box 14">
          <a:extLst>
            <a:ext uri="{FF2B5EF4-FFF2-40B4-BE49-F238E27FC236}">
              <a16:creationId xmlns:a16="http://schemas.microsoft.com/office/drawing/2014/main" id="{00000000-0008-0000-0000-0000767A0300}"/>
            </a:ext>
          </a:extLst>
        </xdr:cNvPr>
        <xdr:cNvSpPr txBox="1">
          <a:spLocks noChangeArrowheads="1"/>
        </xdr:cNvSpPr>
      </xdr:nvSpPr>
      <xdr:spPr bwMode="auto">
        <a:xfrm>
          <a:off x="6743700" y="6835140"/>
          <a:ext cx="58674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236220</xdr:colOff>
      <xdr:row>36</xdr:row>
      <xdr:rowOff>38100</xdr:rowOff>
    </xdr:from>
    <xdr:to>
      <xdr:col>37</xdr:col>
      <xdr:colOff>220980</xdr:colOff>
      <xdr:row>37</xdr:row>
      <xdr:rowOff>7620</xdr:rowOff>
    </xdr:to>
    <xdr:sp macro="" textlink="">
      <xdr:nvSpPr>
        <xdr:cNvPr id="227959" name="Text Box 15">
          <a:extLst>
            <a:ext uri="{FF2B5EF4-FFF2-40B4-BE49-F238E27FC236}">
              <a16:creationId xmlns:a16="http://schemas.microsoft.com/office/drawing/2014/main" id="{00000000-0008-0000-0000-0000777A0300}"/>
            </a:ext>
          </a:extLst>
        </xdr:cNvPr>
        <xdr:cNvSpPr txBox="1">
          <a:spLocks noChangeArrowheads="1"/>
        </xdr:cNvSpPr>
      </xdr:nvSpPr>
      <xdr:spPr bwMode="auto">
        <a:xfrm>
          <a:off x="6713220" y="7025640"/>
          <a:ext cx="63246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259080</xdr:colOff>
      <xdr:row>21</xdr:row>
      <xdr:rowOff>106680</xdr:rowOff>
    </xdr:from>
    <xdr:to>
      <xdr:col>5</xdr:col>
      <xdr:colOff>434340</xdr:colOff>
      <xdr:row>22</xdr:row>
      <xdr:rowOff>83820</xdr:rowOff>
    </xdr:to>
    <xdr:sp macro="" textlink="">
      <xdr:nvSpPr>
        <xdr:cNvPr id="227960" name="Text Box 1490">
          <a:extLst>
            <a:ext uri="{FF2B5EF4-FFF2-40B4-BE49-F238E27FC236}">
              <a16:creationId xmlns:a16="http://schemas.microsoft.com/office/drawing/2014/main" id="{00000000-0008-0000-0000-0000787A0300}"/>
            </a:ext>
          </a:extLst>
        </xdr:cNvPr>
        <xdr:cNvSpPr txBox="1">
          <a:spLocks noChangeArrowheads="1"/>
        </xdr:cNvSpPr>
      </xdr:nvSpPr>
      <xdr:spPr bwMode="auto">
        <a:xfrm>
          <a:off x="1325880" y="4236720"/>
          <a:ext cx="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236220</xdr:colOff>
      <xdr:row>39</xdr:row>
      <xdr:rowOff>45720</xdr:rowOff>
    </xdr:from>
    <xdr:to>
      <xdr:col>31</xdr:col>
      <xdr:colOff>91440</xdr:colOff>
      <xdr:row>40</xdr:row>
      <xdr:rowOff>30480</xdr:rowOff>
    </xdr:to>
    <xdr:sp macro="" textlink="">
      <xdr:nvSpPr>
        <xdr:cNvPr id="227961" name="Text Box 1494">
          <a:extLst>
            <a:ext uri="{FF2B5EF4-FFF2-40B4-BE49-F238E27FC236}">
              <a16:creationId xmlns:a16="http://schemas.microsoft.com/office/drawing/2014/main" id="{00000000-0008-0000-0000-0000797A0300}"/>
            </a:ext>
          </a:extLst>
        </xdr:cNvPr>
        <xdr:cNvSpPr txBox="1">
          <a:spLocks noChangeArrowheads="1"/>
        </xdr:cNvSpPr>
      </xdr:nvSpPr>
      <xdr:spPr bwMode="auto">
        <a:xfrm>
          <a:off x="5920740" y="7604760"/>
          <a:ext cx="12954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16</xdr:col>
      <xdr:colOff>96520</xdr:colOff>
      <xdr:row>18</xdr:row>
      <xdr:rowOff>38100</xdr:rowOff>
    </xdr:from>
    <xdr:to>
      <xdr:col>18</xdr:col>
      <xdr:colOff>69927</xdr:colOff>
      <xdr:row>20</xdr:row>
      <xdr:rowOff>38100</xdr:rowOff>
    </xdr:to>
    <xdr:sp macro="" textlink="">
      <xdr:nvSpPr>
        <xdr:cNvPr id="10" name="9 CuadroText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51200" y="3114675"/>
          <a:ext cx="2476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11</xdr:col>
      <xdr:colOff>106045</xdr:colOff>
      <xdr:row>11</xdr:row>
      <xdr:rowOff>133350</xdr:rowOff>
    </xdr:from>
    <xdr:to>
      <xdr:col>13</xdr:col>
      <xdr:colOff>79452</xdr:colOff>
      <xdr:row>13</xdr:row>
      <xdr:rowOff>111185</xdr:rowOff>
    </xdr:to>
    <xdr:sp macro="" textlink="">
      <xdr:nvSpPr>
        <xdr:cNvPr id="11" name="10 CuadroTex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2508250" y="2286000"/>
          <a:ext cx="247650" cy="2540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11</xdr:col>
      <xdr:colOff>44449</xdr:colOff>
      <xdr:row>17</xdr:row>
      <xdr:rowOff>92075</xdr:rowOff>
    </xdr:from>
    <xdr:to>
      <xdr:col>13</xdr:col>
      <xdr:colOff>38118</xdr:colOff>
      <xdr:row>20</xdr:row>
      <xdr:rowOff>38357</xdr:rowOff>
    </xdr:to>
    <xdr:sp macro="" textlink="">
      <xdr:nvSpPr>
        <xdr:cNvPr id="12" name="11 CuadroTexto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2454274" y="3044825"/>
          <a:ext cx="260369" cy="3463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16</xdr:col>
      <xdr:colOff>99695</xdr:colOff>
      <xdr:row>14</xdr:row>
      <xdr:rowOff>57150</xdr:rowOff>
    </xdr:from>
    <xdr:to>
      <xdr:col>18</xdr:col>
      <xdr:colOff>57478</xdr:colOff>
      <xdr:row>16</xdr:row>
      <xdr:rowOff>64854</xdr:rowOff>
    </xdr:to>
    <xdr:sp macro="" textlink="">
      <xdr:nvSpPr>
        <xdr:cNvPr id="13" name="12 CuadroText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3254375" y="2609850"/>
          <a:ext cx="232008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20</xdr:col>
      <xdr:colOff>88900</xdr:colOff>
      <xdr:row>17</xdr:row>
      <xdr:rowOff>73025</xdr:rowOff>
    </xdr:from>
    <xdr:to>
      <xdr:col>22</xdr:col>
      <xdr:colOff>38181</xdr:colOff>
      <xdr:row>19</xdr:row>
      <xdr:rowOff>73025</xdr:rowOff>
    </xdr:to>
    <xdr:sp macro="" textlink="">
      <xdr:nvSpPr>
        <xdr:cNvPr id="14" name="13 CuadroText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3784600" y="3025775"/>
          <a:ext cx="254081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28</xdr:col>
      <xdr:colOff>34925</xdr:colOff>
      <xdr:row>23</xdr:row>
      <xdr:rowOff>34925</xdr:rowOff>
    </xdr:from>
    <xdr:to>
      <xdr:col>29</xdr:col>
      <xdr:colOff>96448</xdr:colOff>
      <xdr:row>35</xdr:row>
      <xdr:rowOff>34925</xdr:rowOff>
    </xdr:to>
    <xdr:sp macro="" textlink="">
      <xdr:nvSpPr>
        <xdr:cNvPr id="15" name="14 CuadroTexto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5054600" y="3816350"/>
          <a:ext cx="27282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12</xdr:col>
      <xdr:colOff>73025</xdr:colOff>
      <xdr:row>14</xdr:row>
      <xdr:rowOff>0</xdr:rowOff>
    </xdr:from>
    <xdr:to>
      <xdr:col>14</xdr:col>
      <xdr:colOff>65124</xdr:colOff>
      <xdr:row>16</xdr:row>
      <xdr:rowOff>0</xdr:rowOff>
    </xdr:to>
    <xdr:sp macro="" textlink="">
      <xdr:nvSpPr>
        <xdr:cNvPr id="16" name="15 CuadroText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2616200" y="2552700"/>
          <a:ext cx="25091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26670</xdr:colOff>
      <xdr:row>23</xdr:row>
      <xdr:rowOff>76200</xdr:rowOff>
    </xdr:from>
    <xdr:to>
      <xdr:col>26</xdr:col>
      <xdr:colOff>57272</xdr:colOff>
      <xdr:row>35</xdr:row>
      <xdr:rowOff>76200</xdr:rowOff>
    </xdr:to>
    <xdr:sp macro="" textlink="">
      <xdr:nvSpPr>
        <xdr:cNvPr id="17" name="16 CuadroTexto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524375" y="385762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20</xdr:col>
      <xdr:colOff>88900</xdr:colOff>
      <xdr:row>23</xdr:row>
      <xdr:rowOff>111125</xdr:rowOff>
    </xdr:from>
    <xdr:to>
      <xdr:col>22</xdr:col>
      <xdr:colOff>19013</xdr:colOff>
      <xdr:row>35</xdr:row>
      <xdr:rowOff>111125</xdr:rowOff>
    </xdr:to>
    <xdr:sp macro="" textlink="">
      <xdr:nvSpPr>
        <xdr:cNvPr id="18" name="17 CuadroTexto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84600" y="3892550"/>
          <a:ext cx="234913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18</xdr:col>
      <xdr:colOff>19050</xdr:colOff>
      <xdr:row>22</xdr:row>
      <xdr:rowOff>102870</xdr:rowOff>
    </xdr:from>
    <xdr:to>
      <xdr:col>20</xdr:col>
      <xdr:colOff>0</xdr:colOff>
      <xdr:row>34</xdr:row>
      <xdr:rowOff>102870</xdr:rowOff>
    </xdr:to>
    <xdr:sp macro="" textlink="">
      <xdr:nvSpPr>
        <xdr:cNvPr id="19" name="18 CuadroTexto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448050" y="3724275"/>
          <a:ext cx="2476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0</xdr:colOff>
      <xdr:row>19</xdr:row>
      <xdr:rowOff>102870</xdr:rowOff>
    </xdr:from>
    <xdr:to>
      <xdr:col>26</xdr:col>
      <xdr:colOff>38100</xdr:colOff>
      <xdr:row>21</xdr:row>
      <xdr:rowOff>95317</xdr:rowOff>
    </xdr:to>
    <xdr:sp macro="" textlink="">
      <xdr:nvSpPr>
        <xdr:cNvPr id="20" name="19 CuadroTexto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4505325" y="3324225"/>
          <a:ext cx="2476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23</xdr:col>
      <xdr:colOff>0</xdr:colOff>
      <xdr:row>23</xdr:row>
      <xdr:rowOff>76200</xdr:rowOff>
    </xdr:from>
    <xdr:to>
      <xdr:col>24</xdr:col>
      <xdr:colOff>92149</xdr:colOff>
      <xdr:row>35</xdr:row>
      <xdr:rowOff>76200</xdr:rowOff>
    </xdr:to>
    <xdr:sp macro="" textlink="">
      <xdr:nvSpPr>
        <xdr:cNvPr id="21" name="20 CuadroTexto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152900" y="3857625"/>
          <a:ext cx="254074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13</xdr:col>
      <xdr:colOff>15875</xdr:colOff>
      <xdr:row>23</xdr:row>
      <xdr:rowOff>114300</xdr:rowOff>
    </xdr:from>
    <xdr:to>
      <xdr:col>14</xdr:col>
      <xdr:colOff>110833</xdr:colOff>
      <xdr:row>35</xdr:row>
      <xdr:rowOff>114300</xdr:rowOff>
    </xdr:to>
    <xdr:sp macro="" textlink="">
      <xdr:nvSpPr>
        <xdr:cNvPr id="22" name="21 CuadroTexto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2692400" y="3895725"/>
          <a:ext cx="228308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16</xdr:col>
      <xdr:colOff>101600</xdr:colOff>
      <xdr:row>23</xdr:row>
      <xdr:rowOff>111125</xdr:rowOff>
    </xdr:from>
    <xdr:to>
      <xdr:col>18</xdr:col>
      <xdr:colOff>73176</xdr:colOff>
      <xdr:row>35</xdr:row>
      <xdr:rowOff>111125</xdr:rowOff>
    </xdr:to>
    <xdr:sp macro="" textlink="">
      <xdr:nvSpPr>
        <xdr:cNvPr id="23" name="22 CuadroTexto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3263900" y="3892550"/>
          <a:ext cx="238276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26</xdr:col>
      <xdr:colOff>80645</xdr:colOff>
      <xdr:row>14</xdr:row>
      <xdr:rowOff>19050</xdr:rowOff>
    </xdr:from>
    <xdr:to>
      <xdr:col>28</xdr:col>
      <xdr:colOff>19529</xdr:colOff>
      <xdr:row>16</xdr:row>
      <xdr:rowOff>26754</xdr:rowOff>
    </xdr:to>
    <xdr:sp macro="" textlink="">
      <xdr:nvSpPr>
        <xdr:cNvPr id="24" name="23 CuadroTexto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4787900" y="2571750"/>
          <a:ext cx="25124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28</xdr:col>
      <xdr:colOff>15875</xdr:colOff>
      <xdr:row>18</xdr:row>
      <xdr:rowOff>0</xdr:rowOff>
    </xdr:from>
    <xdr:to>
      <xdr:col>29</xdr:col>
      <xdr:colOff>79189</xdr:colOff>
      <xdr:row>20</xdr:row>
      <xdr:rowOff>0</xdr:rowOff>
    </xdr:to>
    <xdr:sp macro="" textlink="">
      <xdr:nvSpPr>
        <xdr:cNvPr id="25" name="24 CuadroTexto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5035550" y="3076575"/>
          <a:ext cx="282389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27</xdr:col>
      <xdr:colOff>0</xdr:colOff>
      <xdr:row>20</xdr:row>
      <xdr:rowOff>26670</xdr:rowOff>
    </xdr:from>
    <xdr:to>
      <xdr:col>29</xdr:col>
      <xdr:colOff>34930</xdr:colOff>
      <xdr:row>22</xdr:row>
      <xdr:rowOff>65075</xdr:rowOff>
    </xdr:to>
    <xdr:sp macro="" textlink="">
      <xdr:nvSpPr>
        <xdr:cNvPr id="26" name="25 CuadroTexto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 flipH="1">
          <a:off x="4867275" y="3371850"/>
          <a:ext cx="406405" cy="3146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26</xdr:col>
      <xdr:colOff>19050</xdr:colOff>
      <xdr:row>34</xdr:row>
      <xdr:rowOff>64770</xdr:rowOff>
    </xdr:from>
    <xdr:to>
      <xdr:col>27</xdr:col>
      <xdr:colOff>125002</xdr:colOff>
      <xdr:row>36</xdr:row>
      <xdr:rowOff>67068</xdr:rowOff>
    </xdr:to>
    <xdr:sp macro="" textlink="">
      <xdr:nvSpPr>
        <xdr:cNvPr id="27" name="26 CuadroTexto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4733925" y="3962400"/>
          <a:ext cx="250556" cy="2575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146050</xdr:colOff>
      <xdr:row>38</xdr:row>
      <xdr:rowOff>0</xdr:rowOff>
    </xdr:from>
    <xdr:to>
      <xdr:col>27</xdr:col>
      <xdr:colOff>53689</xdr:colOff>
      <xdr:row>40</xdr:row>
      <xdr:rowOff>0</xdr:rowOff>
    </xdr:to>
    <xdr:sp macro="" textlink="">
      <xdr:nvSpPr>
        <xdr:cNvPr id="28" name="27 CuadroTexto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4651375" y="4400550"/>
          <a:ext cx="26958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169545</xdr:colOff>
      <xdr:row>36</xdr:row>
      <xdr:rowOff>95249</xdr:rowOff>
    </xdr:from>
    <xdr:to>
      <xdr:col>27</xdr:col>
      <xdr:colOff>16270</xdr:colOff>
      <xdr:row>38</xdr:row>
      <xdr:rowOff>38527</xdr:rowOff>
    </xdr:to>
    <xdr:sp macro="" textlink="">
      <xdr:nvSpPr>
        <xdr:cNvPr id="29" name="28 CuadroTexto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4667250" y="4248149"/>
          <a:ext cx="216094" cy="1909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13</xdr:col>
      <xdr:colOff>38100</xdr:colOff>
      <xdr:row>13</xdr:row>
      <xdr:rowOff>95249</xdr:rowOff>
    </xdr:from>
    <xdr:to>
      <xdr:col>14</xdr:col>
      <xdr:colOff>99647</xdr:colOff>
      <xdr:row>15</xdr:row>
      <xdr:rowOff>61713</xdr:rowOff>
    </xdr:to>
    <xdr:sp macro="" textlink="">
      <xdr:nvSpPr>
        <xdr:cNvPr id="30" name="29 CuadroTexto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2714625" y="2524124"/>
          <a:ext cx="187377" cy="2064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9</xdr:col>
      <xdr:colOff>134620</xdr:colOff>
      <xdr:row>36</xdr:row>
      <xdr:rowOff>19049</xdr:rowOff>
    </xdr:from>
    <xdr:to>
      <xdr:col>10</xdr:col>
      <xdr:colOff>54230</xdr:colOff>
      <xdr:row>37</xdr:row>
      <xdr:rowOff>102929</xdr:rowOff>
    </xdr:to>
    <xdr:sp macro="" textlink="">
      <xdr:nvSpPr>
        <xdr:cNvPr id="31" name="30 CuadroTexto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2022475" y="4171949"/>
          <a:ext cx="308044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24</xdr:col>
      <xdr:colOff>0</xdr:colOff>
      <xdr:row>37</xdr:row>
      <xdr:rowOff>64769</xdr:rowOff>
    </xdr:from>
    <xdr:to>
      <xdr:col>25</xdr:col>
      <xdr:colOff>236</xdr:colOff>
      <xdr:row>39</xdr:row>
      <xdr:rowOff>9472</xdr:rowOff>
    </xdr:to>
    <xdr:sp macro="" textlink="">
      <xdr:nvSpPr>
        <xdr:cNvPr id="32" name="31 CuadroTexto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4314825" y="4333874"/>
          <a:ext cx="190736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 editAs="oneCell">
    <xdr:from>
      <xdr:col>3</xdr:col>
      <xdr:colOff>219075</xdr:colOff>
      <xdr:row>1</xdr:row>
      <xdr:rowOff>76200</xdr:rowOff>
    </xdr:from>
    <xdr:to>
      <xdr:col>12</xdr:col>
      <xdr:colOff>93980</xdr:colOff>
      <xdr:row>4</xdr:row>
      <xdr:rowOff>134620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C6FD929-CCD0-08DA-8FBC-A3736C6ED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5" y="323850"/>
          <a:ext cx="1713230" cy="6584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1047750</xdr:colOff>
          <xdr:row>0</xdr:row>
          <xdr:rowOff>161925</xdr:rowOff>
        </xdr:from>
        <xdr:to>
          <xdr:col>1</xdr:col>
          <xdr:colOff>1047750</xdr:colOff>
          <xdr:row>0</xdr:row>
          <xdr:rowOff>171450</xdr:rowOff>
        </xdr:to>
        <xdr:sp macro="" textlink="">
          <xdr:nvSpPr>
            <xdr:cNvPr id="217089" name="Check Box 1" hidden="1">
              <a:extLst>
                <a:ext uri="{63B3BB69-23CF-44E3-9099-C40C66FF867C}">
                  <a14:compatExt spid="_x0000_s217089"/>
                </a:ext>
                <a:ext uri="{FF2B5EF4-FFF2-40B4-BE49-F238E27FC236}">
                  <a16:creationId xmlns:a16="http://schemas.microsoft.com/office/drawing/2014/main" id="{00000000-0008-0000-0100-000001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1047750</xdr:colOff>
          <xdr:row>0</xdr:row>
          <xdr:rowOff>180975</xdr:rowOff>
        </xdr:from>
        <xdr:to>
          <xdr:col>1</xdr:col>
          <xdr:colOff>1047750</xdr:colOff>
          <xdr:row>0</xdr:row>
          <xdr:rowOff>238125</xdr:rowOff>
        </xdr:to>
        <xdr:sp macro="" textlink="">
          <xdr:nvSpPr>
            <xdr:cNvPr id="217090" name="Check Box 2" hidden="1">
              <a:extLst>
                <a:ext uri="{63B3BB69-23CF-44E3-9099-C40C66FF867C}">
                  <a14:compatExt spid="_x0000_s217090"/>
                </a:ext>
                <a:ext uri="{FF2B5EF4-FFF2-40B4-BE49-F238E27FC236}">
                  <a16:creationId xmlns:a16="http://schemas.microsoft.com/office/drawing/2014/main" id="{00000000-0008-0000-0100-000002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1047750</xdr:colOff>
          <xdr:row>0</xdr:row>
          <xdr:rowOff>228600</xdr:rowOff>
        </xdr:from>
        <xdr:to>
          <xdr:col>1</xdr:col>
          <xdr:colOff>1047750</xdr:colOff>
          <xdr:row>1</xdr:row>
          <xdr:rowOff>0</xdr:rowOff>
        </xdr:to>
        <xdr:sp macro="" textlink="">
          <xdr:nvSpPr>
            <xdr:cNvPr id="217091" name="Check Box 3" hidden="1">
              <a:extLst>
                <a:ext uri="{63B3BB69-23CF-44E3-9099-C40C66FF867C}">
                  <a14:compatExt spid="_x0000_s217091"/>
                </a:ext>
                <a:ext uri="{FF2B5EF4-FFF2-40B4-BE49-F238E27FC236}">
                  <a16:creationId xmlns:a16="http://schemas.microsoft.com/office/drawing/2014/main" id="{00000000-0008-0000-0100-000003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1047750</xdr:colOff>
          <xdr:row>0</xdr:row>
          <xdr:rowOff>238125</xdr:rowOff>
        </xdr:from>
        <xdr:to>
          <xdr:col>1</xdr:col>
          <xdr:colOff>1047750</xdr:colOff>
          <xdr:row>1</xdr:row>
          <xdr:rowOff>0</xdr:rowOff>
        </xdr:to>
        <xdr:sp macro="" textlink="">
          <xdr:nvSpPr>
            <xdr:cNvPr id="217092" name="Check Box 4" hidden="1">
              <a:extLst>
                <a:ext uri="{63B3BB69-23CF-44E3-9099-C40C66FF867C}">
                  <a14:compatExt spid="_x0000_s217092"/>
                </a:ext>
                <a:ext uri="{FF2B5EF4-FFF2-40B4-BE49-F238E27FC236}">
                  <a16:creationId xmlns:a16="http://schemas.microsoft.com/office/drawing/2014/main" id="{00000000-0008-0000-0100-000004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1276350</xdr:colOff>
          <xdr:row>0</xdr:row>
          <xdr:rowOff>161925</xdr:rowOff>
        </xdr:from>
        <xdr:to>
          <xdr:col>2</xdr:col>
          <xdr:colOff>9525</xdr:colOff>
          <xdr:row>0</xdr:row>
          <xdr:rowOff>180975</xdr:rowOff>
        </xdr:to>
        <xdr:sp macro="" textlink="">
          <xdr:nvSpPr>
            <xdr:cNvPr id="217093" name="Check Box 5" hidden="1">
              <a:extLst>
                <a:ext uri="{63B3BB69-23CF-44E3-9099-C40C66FF867C}">
                  <a14:compatExt spid="_x0000_s217093"/>
                </a:ext>
                <a:ext uri="{FF2B5EF4-FFF2-40B4-BE49-F238E27FC236}">
                  <a16:creationId xmlns:a16="http://schemas.microsoft.com/office/drawing/2014/main" id="{00000000-0008-0000-0100-000005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1276350</xdr:colOff>
          <xdr:row>0</xdr:row>
          <xdr:rowOff>180975</xdr:rowOff>
        </xdr:from>
        <xdr:to>
          <xdr:col>2</xdr:col>
          <xdr:colOff>9525</xdr:colOff>
          <xdr:row>0</xdr:row>
          <xdr:rowOff>238125</xdr:rowOff>
        </xdr:to>
        <xdr:sp macro="" textlink="">
          <xdr:nvSpPr>
            <xdr:cNvPr id="217094" name="Check Box 6" hidden="1">
              <a:extLst>
                <a:ext uri="{63B3BB69-23CF-44E3-9099-C40C66FF867C}">
                  <a14:compatExt spid="_x0000_s217094"/>
                </a:ext>
                <a:ext uri="{FF2B5EF4-FFF2-40B4-BE49-F238E27FC236}">
                  <a16:creationId xmlns:a16="http://schemas.microsoft.com/office/drawing/2014/main" id="{00000000-0008-0000-0100-000006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1276350</xdr:colOff>
          <xdr:row>0</xdr:row>
          <xdr:rowOff>190500</xdr:rowOff>
        </xdr:from>
        <xdr:to>
          <xdr:col>2</xdr:col>
          <xdr:colOff>9525</xdr:colOff>
          <xdr:row>0</xdr:row>
          <xdr:rowOff>228600</xdr:rowOff>
        </xdr:to>
        <xdr:sp macro="" textlink="">
          <xdr:nvSpPr>
            <xdr:cNvPr id="217095" name="Check Box 7" hidden="1">
              <a:extLst>
                <a:ext uri="{63B3BB69-23CF-44E3-9099-C40C66FF867C}">
                  <a14:compatExt spid="_x0000_s217095"/>
                </a:ext>
                <a:ext uri="{FF2B5EF4-FFF2-40B4-BE49-F238E27FC236}">
                  <a16:creationId xmlns:a16="http://schemas.microsoft.com/office/drawing/2014/main" id="{00000000-0008-0000-0100-000007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6</xdr:row>
          <xdr:rowOff>9525</xdr:rowOff>
        </xdr:from>
        <xdr:to>
          <xdr:col>3</xdr:col>
          <xdr:colOff>409575</xdr:colOff>
          <xdr:row>7</xdr:row>
          <xdr:rowOff>0</xdr:rowOff>
        </xdr:to>
        <xdr:sp macro="" textlink="">
          <xdr:nvSpPr>
            <xdr:cNvPr id="217142" name="Check Box 54" hidden="1">
              <a:extLst>
                <a:ext uri="{63B3BB69-23CF-44E3-9099-C40C66FF867C}">
                  <a14:compatExt spid="_x0000_s217142"/>
                </a:ext>
                <a:ext uri="{FF2B5EF4-FFF2-40B4-BE49-F238E27FC236}">
                  <a16:creationId xmlns:a16="http://schemas.microsoft.com/office/drawing/2014/main" id="{00000000-0008-0000-0100-000036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7</xdr:row>
          <xdr:rowOff>9525</xdr:rowOff>
        </xdr:from>
        <xdr:to>
          <xdr:col>3</xdr:col>
          <xdr:colOff>409575</xdr:colOff>
          <xdr:row>8</xdr:row>
          <xdr:rowOff>0</xdr:rowOff>
        </xdr:to>
        <xdr:sp macro="" textlink="">
          <xdr:nvSpPr>
            <xdr:cNvPr id="217143" name="Check Box 55" hidden="1">
              <a:extLst>
                <a:ext uri="{63B3BB69-23CF-44E3-9099-C40C66FF867C}">
                  <a14:compatExt spid="_x0000_s217143"/>
                </a:ext>
                <a:ext uri="{FF2B5EF4-FFF2-40B4-BE49-F238E27FC236}">
                  <a16:creationId xmlns:a16="http://schemas.microsoft.com/office/drawing/2014/main" id="{00000000-0008-0000-0100-000037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8</xdr:row>
          <xdr:rowOff>9525</xdr:rowOff>
        </xdr:from>
        <xdr:to>
          <xdr:col>3</xdr:col>
          <xdr:colOff>409575</xdr:colOff>
          <xdr:row>9</xdr:row>
          <xdr:rowOff>0</xdr:rowOff>
        </xdr:to>
        <xdr:sp macro="" textlink="">
          <xdr:nvSpPr>
            <xdr:cNvPr id="217144" name="Check Box 56" hidden="1">
              <a:extLst>
                <a:ext uri="{63B3BB69-23CF-44E3-9099-C40C66FF867C}">
                  <a14:compatExt spid="_x0000_s217144"/>
                </a:ext>
                <a:ext uri="{FF2B5EF4-FFF2-40B4-BE49-F238E27FC236}">
                  <a16:creationId xmlns:a16="http://schemas.microsoft.com/office/drawing/2014/main" id="{00000000-0008-0000-0100-000038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9</xdr:row>
          <xdr:rowOff>9525</xdr:rowOff>
        </xdr:from>
        <xdr:to>
          <xdr:col>3</xdr:col>
          <xdr:colOff>409575</xdr:colOff>
          <xdr:row>10</xdr:row>
          <xdr:rowOff>0</xdr:rowOff>
        </xdr:to>
        <xdr:sp macro="" textlink="">
          <xdr:nvSpPr>
            <xdr:cNvPr id="217145" name="Check Box 57" hidden="1">
              <a:extLst>
                <a:ext uri="{63B3BB69-23CF-44E3-9099-C40C66FF867C}">
                  <a14:compatExt spid="_x0000_s217145"/>
                </a:ext>
                <a:ext uri="{FF2B5EF4-FFF2-40B4-BE49-F238E27FC236}">
                  <a16:creationId xmlns:a16="http://schemas.microsoft.com/office/drawing/2014/main" id="{00000000-0008-0000-0100-000039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781050</xdr:colOff>
          <xdr:row>6</xdr:row>
          <xdr:rowOff>9525</xdr:rowOff>
        </xdr:from>
        <xdr:to>
          <xdr:col>12</xdr:col>
          <xdr:colOff>1550</xdr:colOff>
          <xdr:row>7</xdr:row>
          <xdr:rowOff>0</xdr:rowOff>
        </xdr:to>
        <xdr:sp macro="" textlink="">
          <xdr:nvSpPr>
            <xdr:cNvPr id="217146" name="Check Box 58" hidden="1">
              <a:extLst>
                <a:ext uri="{63B3BB69-23CF-44E3-9099-C40C66FF867C}">
                  <a14:compatExt spid="_x0000_s217146"/>
                </a:ext>
                <a:ext uri="{FF2B5EF4-FFF2-40B4-BE49-F238E27FC236}">
                  <a16:creationId xmlns:a16="http://schemas.microsoft.com/office/drawing/2014/main" id="{00000000-0008-0000-0100-00003A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781050</xdr:colOff>
          <xdr:row>7</xdr:row>
          <xdr:rowOff>9525</xdr:rowOff>
        </xdr:from>
        <xdr:to>
          <xdr:col>12</xdr:col>
          <xdr:colOff>1550</xdr:colOff>
          <xdr:row>8</xdr:row>
          <xdr:rowOff>0</xdr:rowOff>
        </xdr:to>
        <xdr:sp macro="" textlink="">
          <xdr:nvSpPr>
            <xdr:cNvPr id="217147" name="Check Box 59" hidden="1">
              <a:extLst>
                <a:ext uri="{63B3BB69-23CF-44E3-9099-C40C66FF867C}">
                  <a14:compatExt spid="_x0000_s217147"/>
                </a:ext>
                <a:ext uri="{FF2B5EF4-FFF2-40B4-BE49-F238E27FC236}">
                  <a16:creationId xmlns:a16="http://schemas.microsoft.com/office/drawing/2014/main" id="{00000000-0008-0000-0100-00003B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781050</xdr:colOff>
          <xdr:row>8</xdr:row>
          <xdr:rowOff>9525</xdr:rowOff>
        </xdr:from>
        <xdr:to>
          <xdr:col>12</xdr:col>
          <xdr:colOff>1550</xdr:colOff>
          <xdr:row>9</xdr:row>
          <xdr:rowOff>0</xdr:rowOff>
        </xdr:to>
        <xdr:sp macro="" textlink="">
          <xdr:nvSpPr>
            <xdr:cNvPr id="217148" name="Check Box 60" hidden="1">
              <a:extLst>
                <a:ext uri="{63B3BB69-23CF-44E3-9099-C40C66FF867C}">
                  <a14:compatExt spid="_x0000_s217148"/>
                </a:ext>
                <a:ext uri="{FF2B5EF4-FFF2-40B4-BE49-F238E27FC236}">
                  <a16:creationId xmlns:a16="http://schemas.microsoft.com/office/drawing/2014/main" id="{00000000-0008-0000-0100-00003C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166134</xdr:colOff>
      <xdr:row>1</xdr:row>
      <xdr:rowOff>44302</xdr:rowOff>
    </xdr:from>
    <xdr:to>
      <xdr:col>2</xdr:col>
      <xdr:colOff>91722</xdr:colOff>
      <xdr:row>2</xdr:row>
      <xdr:rowOff>210436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BCE8FBE-9867-F5E3-BF2D-FAB08FABA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134" y="287965"/>
          <a:ext cx="1354338" cy="5205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742950</xdr:colOff>
          <xdr:row>8</xdr:row>
          <xdr:rowOff>47625</xdr:rowOff>
        </xdr:from>
        <xdr:to>
          <xdr:col>2</xdr:col>
          <xdr:colOff>923925</xdr:colOff>
          <xdr:row>9</xdr:row>
          <xdr:rowOff>182920</xdr:rowOff>
        </xdr:to>
        <xdr:sp macro="" textlink="">
          <xdr:nvSpPr>
            <xdr:cNvPr id="228360" name="Check Box 8" hidden="1">
              <a:extLst>
                <a:ext uri="{63B3BB69-23CF-44E3-9099-C40C66FF867C}">
                  <a14:compatExt spid="_x0000_s228360"/>
                </a:ext>
                <a:ext uri="{FF2B5EF4-FFF2-40B4-BE49-F238E27FC236}">
                  <a16:creationId xmlns:a16="http://schemas.microsoft.com/office/drawing/2014/main" id="{00000000-0008-0000-0200-0000087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742950</xdr:colOff>
          <xdr:row>9</xdr:row>
          <xdr:rowOff>161925</xdr:rowOff>
        </xdr:from>
        <xdr:to>
          <xdr:col>2</xdr:col>
          <xdr:colOff>923925</xdr:colOff>
          <xdr:row>10</xdr:row>
          <xdr:rowOff>90232</xdr:rowOff>
        </xdr:to>
        <xdr:sp macro="" textlink="">
          <xdr:nvSpPr>
            <xdr:cNvPr id="228361" name="Check Box 9" hidden="1">
              <a:extLst>
                <a:ext uri="{63B3BB69-23CF-44E3-9099-C40C66FF867C}">
                  <a14:compatExt spid="_x0000_s228361"/>
                </a:ext>
                <a:ext uri="{FF2B5EF4-FFF2-40B4-BE49-F238E27FC236}">
                  <a16:creationId xmlns:a16="http://schemas.microsoft.com/office/drawing/2014/main" id="{00000000-0008-0000-0200-0000097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742950</xdr:colOff>
          <xdr:row>10</xdr:row>
          <xdr:rowOff>161925</xdr:rowOff>
        </xdr:from>
        <xdr:to>
          <xdr:col>2</xdr:col>
          <xdr:colOff>923925</xdr:colOff>
          <xdr:row>11</xdr:row>
          <xdr:rowOff>101702</xdr:rowOff>
        </xdr:to>
        <xdr:sp macro="" textlink="">
          <xdr:nvSpPr>
            <xdr:cNvPr id="228362" name="Check Box 10" hidden="1">
              <a:extLst>
                <a:ext uri="{63B3BB69-23CF-44E3-9099-C40C66FF867C}">
                  <a14:compatExt spid="_x0000_s228362"/>
                </a:ext>
                <a:ext uri="{FF2B5EF4-FFF2-40B4-BE49-F238E27FC236}">
                  <a16:creationId xmlns:a16="http://schemas.microsoft.com/office/drawing/2014/main" id="{00000000-0008-0000-0200-00000A7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742950</xdr:colOff>
          <xdr:row>11</xdr:row>
          <xdr:rowOff>161925</xdr:rowOff>
        </xdr:from>
        <xdr:to>
          <xdr:col>2</xdr:col>
          <xdr:colOff>923925</xdr:colOff>
          <xdr:row>12</xdr:row>
          <xdr:rowOff>92178</xdr:rowOff>
        </xdr:to>
        <xdr:sp macro="" textlink="">
          <xdr:nvSpPr>
            <xdr:cNvPr id="228363" name="Check Box 11" hidden="1">
              <a:extLst>
                <a:ext uri="{63B3BB69-23CF-44E3-9099-C40C66FF867C}">
                  <a14:compatExt spid="_x0000_s228363"/>
                </a:ext>
                <a:ext uri="{FF2B5EF4-FFF2-40B4-BE49-F238E27FC236}">
                  <a16:creationId xmlns:a16="http://schemas.microsoft.com/office/drawing/2014/main" id="{00000000-0008-0000-0200-00000B7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723900</xdr:colOff>
          <xdr:row>8</xdr:row>
          <xdr:rowOff>57150</xdr:rowOff>
        </xdr:from>
        <xdr:to>
          <xdr:col>5</xdr:col>
          <xdr:colOff>914400</xdr:colOff>
          <xdr:row>9</xdr:row>
          <xdr:rowOff>173395</xdr:rowOff>
        </xdr:to>
        <xdr:sp macro="" textlink="">
          <xdr:nvSpPr>
            <xdr:cNvPr id="228364" name="Check Box 12" hidden="1">
              <a:extLst>
                <a:ext uri="{63B3BB69-23CF-44E3-9099-C40C66FF867C}">
                  <a14:compatExt spid="_x0000_s228364"/>
                </a:ext>
                <a:ext uri="{FF2B5EF4-FFF2-40B4-BE49-F238E27FC236}">
                  <a16:creationId xmlns:a16="http://schemas.microsoft.com/office/drawing/2014/main" id="{00000000-0008-0000-0200-00000C7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723900</xdr:colOff>
          <xdr:row>9</xdr:row>
          <xdr:rowOff>142875</xdr:rowOff>
        </xdr:from>
        <xdr:to>
          <xdr:col>5</xdr:col>
          <xdr:colOff>914400</xdr:colOff>
          <xdr:row>10</xdr:row>
          <xdr:rowOff>92178</xdr:rowOff>
        </xdr:to>
        <xdr:sp macro="" textlink="">
          <xdr:nvSpPr>
            <xdr:cNvPr id="228365" name="Check Box 13" hidden="1">
              <a:extLst>
                <a:ext uri="{63B3BB69-23CF-44E3-9099-C40C66FF867C}">
                  <a14:compatExt spid="_x0000_s228365"/>
                </a:ext>
                <a:ext uri="{FF2B5EF4-FFF2-40B4-BE49-F238E27FC236}">
                  <a16:creationId xmlns:a16="http://schemas.microsoft.com/office/drawing/2014/main" id="{00000000-0008-0000-0200-00000D7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723900</xdr:colOff>
          <xdr:row>10</xdr:row>
          <xdr:rowOff>171450</xdr:rowOff>
        </xdr:from>
        <xdr:to>
          <xdr:col>5</xdr:col>
          <xdr:colOff>914400</xdr:colOff>
          <xdr:row>11</xdr:row>
          <xdr:rowOff>111227</xdr:rowOff>
        </xdr:to>
        <xdr:sp macro="" textlink="">
          <xdr:nvSpPr>
            <xdr:cNvPr id="228366" name="Check Box 14" hidden="1">
              <a:extLst>
                <a:ext uri="{63B3BB69-23CF-44E3-9099-C40C66FF867C}">
                  <a14:compatExt spid="_x0000_s228366"/>
                </a:ext>
                <a:ext uri="{FF2B5EF4-FFF2-40B4-BE49-F238E27FC236}">
                  <a16:creationId xmlns:a16="http://schemas.microsoft.com/office/drawing/2014/main" id="{00000000-0008-0000-0200-00000E7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225323</xdr:colOff>
      <xdr:row>1</xdr:row>
      <xdr:rowOff>81935</xdr:rowOff>
    </xdr:from>
    <xdr:to>
      <xdr:col>2</xdr:col>
      <xdr:colOff>668129</xdr:colOff>
      <xdr:row>4</xdr:row>
      <xdr:rowOff>110874</xdr:rowOff>
    </xdr:to>
    <xdr:pic>
      <xdr:nvPicPr>
        <xdr:cNvPr id="2" name="Imagen 1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55388738-CD68-4406-AC7A-4BEC590E9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823" y="276532"/>
          <a:ext cx="1354338" cy="52055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800100</xdr:colOff>
      <xdr:row>12</xdr:row>
      <xdr:rowOff>99060</xdr:rowOff>
    </xdr:from>
    <xdr:to>
      <xdr:col>7</xdr:col>
      <xdr:colOff>716280</xdr:colOff>
      <xdr:row>15</xdr:row>
      <xdr:rowOff>199961</xdr:rowOff>
    </xdr:to>
    <xdr:pic>
      <xdr:nvPicPr>
        <xdr:cNvPr id="220467" name="Imagem 15" descr="Imagen que contiene dibujo&#10;&#10;Descripción generada automáticamente">
          <a:extLst>
            <a:ext uri="{FF2B5EF4-FFF2-40B4-BE49-F238E27FC236}">
              <a16:creationId xmlns:a16="http://schemas.microsoft.com/office/drawing/2014/main" id="{00000000-0008-0000-0300-0000335D0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6260" y="2194560"/>
          <a:ext cx="268986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832401</xdr:colOff>
      <xdr:row>18</xdr:row>
      <xdr:rowOff>7170</xdr:rowOff>
    </xdr:from>
    <xdr:to>
      <xdr:col>7</xdr:col>
      <xdr:colOff>667138</xdr:colOff>
      <xdr:row>18</xdr:row>
      <xdr:rowOff>157339</xdr:rowOff>
    </xdr:to>
    <xdr:sp macro="" textlink="">
      <xdr:nvSpPr>
        <xdr:cNvPr id="5" name="Retângulo 16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 bwMode="auto">
        <a:xfrm>
          <a:off x="4274129" y="3021675"/>
          <a:ext cx="2542850" cy="142661"/>
        </a:xfrm>
        <a:prstGeom prst="rect">
          <a:avLst/>
        </a:prstGeom>
        <a:gradFill flip="none" rotWithShape="1">
          <a:gsLst>
            <a:gs pos="76000">
              <a:schemeClr val="accent6">
                <a:lumMod val="60000"/>
                <a:lumOff val="40000"/>
              </a:schemeClr>
            </a:gs>
            <a:gs pos="100000">
              <a:srgbClr val="FF0000">
                <a:lumMod val="70000"/>
              </a:srgbClr>
            </a:gs>
            <a:gs pos="54000">
              <a:schemeClr val="accent1">
                <a:lumMod val="20000"/>
                <a:lumOff val="80000"/>
              </a:schemeClr>
            </a:gs>
          </a:gsLst>
          <a:lin ang="0" scaled="0"/>
          <a:tileRect/>
        </a:gra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pt-BR" sz="1100"/>
            <a:t>     </a:t>
          </a:r>
          <a:r>
            <a:rPr lang="pt-BR" sz="900"/>
            <a:t>OK</a:t>
          </a:r>
          <a:r>
            <a:rPr lang="pt-BR" sz="900" baseline="0"/>
            <a:t>                      OK                 OK Limit          Reproved</a:t>
          </a:r>
          <a:endParaRPr lang="pt-BR" sz="9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714375</xdr:colOff>
          <xdr:row>7</xdr:row>
          <xdr:rowOff>9525</xdr:rowOff>
        </xdr:from>
        <xdr:to>
          <xdr:col>2</xdr:col>
          <xdr:colOff>904875</xdr:colOff>
          <xdr:row>7</xdr:row>
          <xdr:rowOff>187464</xdr:rowOff>
        </xdr:to>
        <xdr:sp macro="" textlink="">
          <xdr:nvSpPr>
            <xdr:cNvPr id="220295" name="Check Box 135" hidden="1">
              <a:extLst>
                <a:ext uri="{63B3BB69-23CF-44E3-9099-C40C66FF867C}">
                  <a14:compatExt spid="_x0000_s220295"/>
                </a:ext>
                <a:ext uri="{FF2B5EF4-FFF2-40B4-BE49-F238E27FC236}">
                  <a16:creationId xmlns:a16="http://schemas.microsoft.com/office/drawing/2014/main" id="{00000000-0008-0000-0300-0000875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714375</xdr:colOff>
          <xdr:row>8</xdr:row>
          <xdr:rowOff>9525</xdr:rowOff>
        </xdr:from>
        <xdr:to>
          <xdr:col>2</xdr:col>
          <xdr:colOff>904875</xdr:colOff>
          <xdr:row>8</xdr:row>
          <xdr:rowOff>187465</xdr:rowOff>
        </xdr:to>
        <xdr:sp macro="" textlink="">
          <xdr:nvSpPr>
            <xdr:cNvPr id="220296" name="Check Box 136" hidden="1">
              <a:extLst>
                <a:ext uri="{63B3BB69-23CF-44E3-9099-C40C66FF867C}">
                  <a14:compatExt spid="_x0000_s220296"/>
                </a:ext>
                <a:ext uri="{FF2B5EF4-FFF2-40B4-BE49-F238E27FC236}">
                  <a16:creationId xmlns:a16="http://schemas.microsoft.com/office/drawing/2014/main" id="{00000000-0008-0000-0300-0000885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714375</xdr:colOff>
          <xdr:row>9</xdr:row>
          <xdr:rowOff>9525</xdr:rowOff>
        </xdr:from>
        <xdr:to>
          <xdr:col>2</xdr:col>
          <xdr:colOff>904875</xdr:colOff>
          <xdr:row>9</xdr:row>
          <xdr:rowOff>187464</xdr:rowOff>
        </xdr:to>
        <xdr:sp macro="" textlink="">
          <xdr:nvSpPr>
            <xdr:cNvPr id="220297" name="Check Box 137" hidden="1">
              <a:extLst>
                <a:ext uri="{63B3BB69-23CF-44E3-9099-C40C66FF867C}">
                  <a14:compatExt spid="_x0000_s220297"/>
                </a:ext>
                <a:ext uri="{FF2B5EF4-FFF2-40B4-BE49-F238E27FC236}">
                  <a16:creationId xmlns:a16="http://schemas.microsoft.com/office/drawing/2014/main" id="{00000000-0008-0000-0300-0000895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714375</xdr:colOff>
          <xdr:row>10</xdr:row>
          <xdr:rowOff>9525</xdr:rowOff>
        </xdr:from>
        <xdr:to>
          <xdr:col>2</xdr:col>
          <xdr:colOff>904875</xdr:colOff>
          <xdr:row>10</xdr:row>
          <xdr:rowOff>187465</xdr:rowOff>
        </xdr:to>
        <xdr:sp macro="" textlink="">
          <xdr:nvSpPr>
            <xdr:cNvPr id="220298" name="Check Box 138" hidden="1">
              <a:extLst>
                <a:ext uri="{63B3BB69-23CF-44E3-9099-C40C66FF867C}">
                  <a14:compatExt spid="_x0000_s220298"/>
                </a:ext>
                <a:ext uri="{FF2B5EF4-FFF2-40B4-BE49-F238E27FC236}">
                  <a16:creationId xmlns:a16="http://schemas.microsoft.com/office/drawing/2014/main" id="{00000000-0008-0000-0300-00008A5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781050</xdr:colOff>
          <xdr:row>7</xdr:row>
          <xdr:rowOff>0</xdr:rowOff>
        </xdr:from>
        <xdr:to>
          <xdr:col>5</xdr:col>
          <xdr:colOff>962025</xdr:colOff>
          <xdr:row>7</xdr:row>
          <xdr:rowOff>177939</xdr:rowOff>
        </xdr:to>
        <xdr:sp macro="" textlink="">
          <xdr:nvSpPr>
            <xdr:cNvPr id="220299" name="Check Box 139" hidden="1">
              <a:extLst>
                <a:ext uri="{63B3BB69-23CF-44E3-9099-C40C66FF867C}">
                  <a14:compatExt spid="_x0000_s220299"/>
                </a:ext>
                <a:ext uri="{FF2B5EF4-FFF2-40B4-BE49-F238E27FC236}">
                  <a16:creationId xmlns:a16="http://schemas.microsoft.com/office/drawing/2014/main" id="{00000000-0008-0000-0300-00008B5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781050</xdr:colOff>
          <xdr:row>7</xdr:row>
          <xdr:rowOff>171450</xdr:rowOff>
        </xdr:from>
        <xdr:to>
          <xdr:col>5</xdr:col>
          <xdr:colOff>962025</xdr:colOff>
          <xdr:row>8</xdr:row>
          <xdr:rowOff>94203</xdr:rowOff>
        </xdr:to>
        <xdr:sp macro="" textlink="">
          <xdr:nvSpPr>
            <xdr:cNvPr id="220300" name="Check Box 140" hidden="1">
              <a:extLst>
                <a:ext uri="{63B3BB69-23CF-44E3-9099-C40C66FF867C}">
                  <a14:compatExt spid="_x0000_s220300"/>
                </a:ext>
                <a:ext uri="{FF2B5EF4-FFF2-40B4-BE49-F238E27FC236}">
                  <a16:creationId xmlns:a16="http://schemas.microsoft.com/office/drawing/2014/main" id="{00000000-0008-0000-0300-00008C5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781050</xdr:colOff>
          <xdr:row>9</xdr:row>
          <xdr:rowOff>0</xdr:rowOff>
        </xdr:from>
        <xdr:to>
          <xdr:col>5</xdr:col>
          <xdr:colOff>962025</xdr:colOff>
          <xdr:row>9</xdr:row>
          <xdr:rowOff>177939</xdr:rowOff>
        </xdr:to>
        <xdr:sp macro="" textlink="">
          <xdr:nvSpPr>
            <xdr:cNvPr id="220301" name="Check Box 141" hidden="1">
              <a:extLst>
                <a:ext uri="{63B3BB69-23CF-44E3-9099-C40C66FF867C}">
                  <a14:compatExt spid="_x0000_s220301"/>
                </a:ext>
                <a:ext uri="{FF2B5EF4-FFF2-40B4-BE49-F238E27FC236}">
                  <a16:creationId xmlns:a16="http://schemas.microsoft.com/office/drawing/2014/main" id="{00000000-0008-0000-0300-00008D5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20934</xdr:colOff>
      <xdr:row>0</xdr:row>
      <xdr:rowOff>219808</xdr:rowOff>
    </xdr:from>
    <xdr:to>
      <xdr:col>2</xdr:col>
      <xdr:colOff>14558</xdr:colOff>
      <xdr:row>4</xdr:row>
      <xdr:rowOff>39069</xdr:rowOff>
    </xdr:to>
    <xdr:pic>
      <xdr:nvPicPr>
        <xdr:cNvPr id="2" name="Imagen 1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8D52411E-EF1F-4BAA-AFFB-37822D2A0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945" y="219808"/>
          <a:ext cx="1354338" cy="52055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400050</xdr:colOff>
          <xdr:row>0</xdr:row>
          <xdr:rowOff>76200</xdr:rowOff>
        </xdr:from>
        <xdr:to>
          <xdr:col>1</xdr:col>
          <xdr:colOff>409575</xdr:colOff>
          <xdr:row>0</xdr:row>
          <xdr:rowOff>95250</xdr:rowOff>
        </xdr:to>
        <xdr:sp macro="" textlink="">
          <xdr:nvSpPr>
            <xdr:cNvPr id="219137" name="Check Box 1" hidden="1">
              <a:extLst>
                <a:ext uri="{63B3BB69-23CF-44E3-9099-C40C66FF867C}">
                  <a14:compatExt spid="_x0000_s219137"/>
                </a:ext>
                <a:ext uri="{FF2B5EF4-FFF2-40B4-BE49-F238E27FC236}">
                  <a16:creationId xmlns:a16="http://schemas.microsoft.com/office/drawing/2014/main" id="{00000000-0008-0000-0400-000001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400050</xdr:colOff>
          <xdr:row>0</xdr:row>
          <xdr:rowOff>95250</xdr:rowOff>
        </xdr:from>
        <xdr:to>
          <xdr:col>1</xdr:col>
          <xdr:colOff>409575</xdr:colOff>
          <xdr:row>0</xdr:row>
          <xdr:rowOff>133350</xdr:rowOff>
        </xdr:to>
        <xdr:sp macro="" textlink="">
          <xdr:nvSpPr>
            <xdr:cNvPr id="219138" name="Check Box 2" hidden="1">
              <a:extLst>
                <a:ext uri="{63B3BB69-23CF-44E3-9099-C40C66FF867C}">
                  <a14:compatExt spid="_x0000_s219138"/>
                </a:ext>
                <a:ext uri="{FF2B5EF4-FFF2-40B4-BE49-F238E27FC236}">
                  <a16:creationId xmlns:a16="http://schemas.microsoft.com/office/drawing/2014/main" id="{00000000-0008-0000-0400-000002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400050</xdr:colOff>
          <xdr:row>0</xdr:row>
          <xdr:rowOff>114300</xdr:rowOff>
        </xdr:from>
        <xdr:to>
          <xdr:col>1</xdr:col>
          <xdr:colOff>409575</xdr:colOff>
          <xdr:row>0</xdr:row>
          <xdr:rowOff>152400</xdr:rowOff>
        </xdr:to>
        <xdr:sp macro="" textlink="">
          <xdr:nvSpPr>
            <xdr:cNvPr id="219139" name="Check Box 3" hidden="1">
              <a:extLst>
                <a:ext uri="{63B3BB69-23CF-44E3-9099-C40C66FF867C}">
                  <a14:compatExt spid="_x0000_s219139"/>
                </a:ext>
                <a:ext uri="{FF2B5EF4-FFF2-40B4-BE49-F238E27FC236}">
                  <a16:creationId xmlns:a16="http://schemas.microsoft.com/office/drawing/2014/main" id="{00000000-0008-0000-0400-000003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400050</xdr:colOff>
          <xdr:row>0</xdr:row>
          <xdr:rowOff>123825</xdr:rowOff>
        </xdr:from>
        <xdr:to>
          <xdr:col>1</xdr:col>
          <xdr:colOff>409575</xdr:colOff>
          <xdr:row>0</xdr:row>
          <xdr:rowOff>161925</xdr:rowOff>
        </xdr:to>
        <xdr:sp macro="" textlink="">
          <xdr:nvSpPr>
            <xdr:cNvPr id="219140" name="Check Box 4" hidden="1">
              <a:extLst>
                <a:ext uri="{63B3BB69-23CF-44E3-9099-C40C66FF867C}">
                  <a14:compatExt spid="_x0000_s219140"/>
                </a:ext>
                <a:ext uri="{FF2B5EF4-FFF2-40B4-BE49-F238E27FC236}">
                  <a16:creationId xmlns:a16="http://schemas.microsoft.com/office/drawing/2014/main" id="{00000000-0008-0000-0400-000004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219141" name="Check Box 5" hidden="1">
              <a:extLst>
                <a:ext uri="{63B3BB69-23CF-44E3-9099-C40C66FF867C}">
                  <a14:compatExt spid="_x0000_s219141"/>
                </a:ext>
                <a:ext uri="{FF2B5EF4-FFF2-40B4-BE49-F238E27FC236}">
                  <a16:creationId xmlns:a16="http://schemas.microsoft.com/office/drawing/2014/main" id="{00000000-0008-0000-0400-000005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219142" name="Check Box 6" hidden="1">
              <a:extLst>
                <a:ext uri="{63B3BB69-23CF-44E3-9099-C40C66FF867C}">
                  <a14:compatExt spid="_x0000_s219142"/>
                </a:ext>
                <a:ext uri="{FF2B5EF4-FFF2-40B4-BE49-F238E27FC236}">
                  <a16:creationId xmlns:a16="http://schemas.microsoft.com/office/drawing/2014/main" id="{00000000-0008-0000-0400-000006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219143" name="Check Box 7" hidden="1">
              <a:extLst>
                <a:ext uri="{63B3BB69-23CF-44E3-9099-C40C66FF867C}">
                  <a14:compatExt spid="_x0000_s219143"/>
                </a:ext>
                <a:ext uri="{FF2B5EF4-FFF2-40B4-BE49-F238E27FC236}">
                  <a16:creationId xmlns:a16="http://schemas.microsoft.com/office/drawing/2014/main" id="{00000000-0008-0000-0400-000007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6</xdr:row>
          <xdr:rowOff>9525</xdr:rowOff>
        </xdr:from>
        <xdr:to>
          <xdr:col>4</xdr:col>
          <xdr:colOff>0</xdr:colOff>
          <xdr:row>7</xdr:row>
          <xdr:rowOff>0</xdr:rowOff>
        </xdr:to>
        <xdr:sp macro="" textlink="">
          <xdr:nvSpPr>
            <xdr:cNvPr id="219208" name="Check Box 72" hidden="1">
              <a:extLst>
                <a:ext uri="{63B3BB69-23CF-44E3-9099-C40C66FF867C}">
                  <a14:compatExt spid="_x0000_s219208"/>
                </a:ext>
                <a:ext uri="{FF2B5EF4-FFF2-40B4-BE49-F238E27FC236}">
                  <a16:creationId xmlns:a16="http://schemas.microsoft.com/office/drawing/2014/main" id="{00000000-0008-0000-0400-000048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7</xdr:row>
          <xdr:rowOff>9525</xdr:rowOff>
        </xdr:from>
        <xdr:to>
          <xdr:col>4</xdr:col>
          <xdr:colOff>0</xdr:colOff>
          <xdr:row>8</xdr:row>
          <xdr:rowOff>0</xdr:rowOff>
        </xdr:to>
        <xdr:sp macro="" textlink="">
          <xdr:nvSpPr>
            <xdr:cNvPr id="219211" name="Check Box 75" hidden="1">
              <a:extLst>
                <a:ext uri="{63B3BB69-23CF-44E3-9099-C40C66FF867C}">
                  <a14:compatExt spid="_x0000_s219211"/>
                </a:ext>
                <a:ext uri="{FF2B5EF4-FFF2-40B4-BE49-F238E27FC236}">
                  <a16:creationId xmlns:a16="http://schemas.microsoft.com/office/drawing/2014/main" id="{00000000-0008-0000-0400-00004B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8</xdr:row>
          <xdr:rowOff>9525</xdr:rowOff>
        </xdr:from>
        <xdr:to>
          <xdr:col>4</xdr:col>
          <xdr:colOff>0</xdr:colOff>
          <xdr:row>9</xdr:row>
          <xdr:rowOff>0</xdr:rowOff>
        </xdr:to>
        <xdr:sp macro="" textlink="">
          <xdr:nvSpPr>
            <xdr:cNvPr id="219212" name="Check Box 76" hidden="1">
              <a:extLst>
                <a:ext uri="{63B3BB69-23CF-44E3-9099-C40C66FF867C}">
                  <a14:compatExt spid="_x0000_s219212"/>
                </a:ext>
                <a:ext uri="{FF2B5EF4-FFF2-40B4-BE49-F238E27FC236}">
                  <a16:creationId xmlns:a16="http://schemas.microsoft.com/office/drawing/2014/main" id="{00000000-0008-0000-0400-00004C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9</xdr:row>
          <xdr:rowOff>9525</xdr:rowOff>
        </xdr:from>
        <xdr:to>
          <xdr:col>4</xdr:col>
          <xdr:colOff>0</xdr:colOff>
          <xdr:row>10</xdr:row>
          <xdr:rowOff>0</xdr:rowOff>
        </xdr:to>
        <xdr:sp macro="" textlink="">
          <xdr:nvSpPr>
            <xdr:cNvPr id="219213" name="Check Box 77" hidden="1">
              <a:extLst>
                <a:ext uri="{63B3BB69-23CF-44E3-9099-C40C66FF867C}">
                  <a14:compatExt spid="_x0000_s219213"/>
                </a:ext>
                <a:ext uri="{FF2B5EF4-FFF2-40B4-BE49-F238E27FC236}">
                  <a16:creationId xmlns:a16="http://schemas.microsoft.com/office/drawing/2014/main" id="{00000000-0008-0000-0400-00004D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657225</xdr:colOff>
          <xdr:row>6</xdr:row>
          <xdr:rowOff>9525</xdr:rowOff>
        </xdr:from>
        <xdr:to>
          <xdr:col>12</xdr:col>
          <xdr:colOff>0</xdr:colOff>
          <xdr:row>7</xdr:row>
          <xdr:rowOff>0</xdr:rowOff>
        </xdr:to>
        <xdr:sp macro="" textlink="">
          <xdr:nvSpPr>
            <xdr:cNvPr id="219214" name="Check Box 78" hidden="1">
              <a:extLst>
                <a:ext uri="{63B3BB69-23CF-44E3-9099-C40C66FF867C}">
                  <a14:compatExt spid="_x0000_s219214"/>
                </a:ext>
                <a:ext uri="{FF2B5EF4-FFF2-40B4-BE49-F238E27FC236}">
                  <a16:creationId xmlns:a16="http://schemas.microsoft.com/office/drawing/2014/main" id="{00000000-0008-0000-0400-00004E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657225</xdr:colOff>
          <xdr:row>7</xdr:row>
          <xdr:rowOff>9525</xdr:rowOff>
        </xdr:from>
        <xdr:to>
          <xdr:col>12</xdr:col>
          <xdr:colOff>0</xdr:colOff>
          <xdr:row>8</xdr:row>
          <xdr:rowOff>0</xdr:rowOff>
        </xdr:to>
        <xdr:sp macro="" textlink="">
          <xdr:nvSpPr>
            <xdr:cNvPr id="219215" name="Check Box 79" hidden="1">
              <a:extLst>
                <a:ext uri="{63B3BB69-23CF-44E3-9099-C40C66FF867C}">
                  <a14:compatExt spid="_x0000_s219215"/>
                </a:ext>
                <a:ext uri="{FF2B5EF4-FFF2-40B4-BE49-F238E27FC236}">
                  <a16:creationId xmlns:a16="http://schemas.microsoft.com/office/drawing/2014/main" id="{00000000-0008-0000-0400-00004F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657225</xdr:colOff>
          <xdr:row>8</xdr:row>
          <xdr:rowOff>9525</xdr:rowOff>
        </xdr:from>
        <xdr:to>
          <xdr:col>12</xdr:col>
          <xdr:colOff>0</xdr:colOff>
          <xdr:row>9</xdr:row>
          <xdr:rowOff>0</xdr:rowOff>
        </xdr:to>
        <xdr:sp macro="" textlink="">
          <xdr:nvSpPr>
            <xdr:cNvPr id="219216" name="Check Box 80" hidden="1">
              <a:extLst>
                <a:ext uri="{63B3BB69-23CF-44E3-9099-C40C66FF867C}">
                  <a14:compatExt spid="_x0000_s219216"/>
                </a:ext>
                <a:ext uri="{FF2B5EF4-FFF2-40B4-BE49-F238E27FC236}">
                  <a16:creationId xmlns:a16="http://schemas.microsoft.com/office/drawing/2014/main" id="{00000000-0008-0000-0400-000050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180975</xdr:colOff>
      <xdr:row>1</xdr:row>
      <xdr:rowOff>85725</xdr:rowOff>
    </xdr:from>
    <xdr:to>
      <xdr:col>2</xdr:col>
      <xdr:colOff>30363</xdr:colOff>
      <xdr:row>2</xdr:row>
      <xdr:rowOff>253852</xdr:rowOff>
    </xdr:to>
    <xdr:pic>
      <xdr:nvPicPr>
        <xdr:cNvPr id="2" name="Imagen 1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8A5FF0E5-4161-468E-9CE0-A7BCB5F8B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333375"/>
          <a:ext cx="1354338" cy="52055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36196</xdr:colOff>
      <xdr:row>30</xdr:row>
      <xdr:rowOff>144116</xdr:rowOff>
    </xdr:from>
    <xdr:to>
      <xdr:col>12</xdr:col>
      <xdr:colOff>824024</xdr:colOff>
      <xdr:row>43</xdr:row>
      <xdr:rowOff>9506</xdr:rowOff>
    </xdr:to>
    <xdr:pic>
      <xdr:nvPicPr>
        <xdr:cNvPr id="223564" name="Imagen 2" descr="Imagen que contiene Diagrama&#10;&#10;Descripción generada automáticamente">
          <a:extLst>
            <a:ext uri="{FF2B5EF4-FFF2-40B4-BE49-F238E27FC236}">
              <a16:creationId xmlns:a16="http://schemas.microsoft.com/office/drawing/2014/main" id="{00000000-0008-0000-0500-00004C6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95638" y="5885697"/>
          <a:ext cx="5288944" cy="226657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1323534</xdr:colOff>
      <xdr:row>12</xdr:row>
      <xdr:rowOff>154970</xdr:rowOff>
    </xdr:from>
    <xdr:to>
      <xdr:col>12</xdr:col>
      <xdr:colOff>797443</xdr:colOff>
      <xdr:row>25</xdr:row>
      <xdr:rowOff>117477</xdr:rowOff>
    </xdr:to>
    <xdr:pic>
      <xdr:nvPicPr>
        <xdr:cNvPr id="223565" name="1 Imagen" descr="Imagen que contiene Gráfico&#10;&#10;Descripción generada automáticamente">
          <a:extLst>
            <a:ext uri="{FF2B5EF4-FFF2-40B4-BE49-F238E27FC236}">
              <a16:creationId xmlns:a16="http://schemas.microsoft.com/office/drawing/2014/main" id="{00000000-0008-0000-0500-00004D690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553906" y="2786528"/>
          <a:ext cx="5304095" cy="220420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89069</xdr:colOff>
      <xdr:row>22</xdr:row>
      <xdr:rowOff>5229</xdr:rowOff>
    </xdr:from>
    <xdr:to>
      <xdr:col>4</xdr:col>
      <xdr:colOff>281083</xdr:colOff>
      <xdr:row>22</xdr:row>
      <xdr:rowOff>157549</xdr:rowOff>
    </xdr:to>
    <xdr:sp macro="" textlink="">
      <xdr:nvSpPr>
        <xdr:cNvPr id="5" name="4 CuadroTexto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2203619" y="4346724"/>
          <a:ext cx="594077" cy="1443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xdr:twoCellAnchor>
    <xdr:from>
      <xdr:col>10</xdr:col>
      <xdr:colOff>455741</xdr:colOff>
      <xdr:row>16</xdr:row>
      <xdr:rowOff>51162</xdr:rowOff>
    </xdr:from>
    <xdr:to>
      <xdr:col>11</xdr:col>
      <xdr:colOff>605241</xdr:colOff>
      <xdr:row>17</xdr:row>
      <xdr:rowOff>26945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5029646" y="3356337"/>
          <a:ext cx="600909" cy="1472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xdr:twoCellAnchor>
    <xdr:from>
      <xdr:col>12</xdr:col>
      <xdr:colOff>293511</xdr:colOff>
      <xdr:row>23</xdr:row>
      <xdr:rowOff>37778</xdr:rowOff>
    </xdr:from>
    <xdr:to>
      <xdr:col>12</xdr:col>
      <xdr:colOff>862303</xdr:colOff>
      <xdr:row>24</xdr:row>
      <xdr:rowOff>3596</xdr:rowOff>
    </xdr:to>
    <xdr:sp macro="" textlink="">
      <xdr:nvSpPr>
        <xdr:cNvPr id="7" name="6 CuadroTexto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6162816" y="4543103"/>
          <a:ext cx="553419" cy="137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xdr:twoCellAnchor>
    <xdr:from>
      <xdr:col>3</xdr:col>
      <xdr:colOff>133471</xdr:colOff>
      <xdr:row>40</xdr:row>
      <xdr:rowOff>23062</xdr:rowOff>
    </xdr:from>
    <xdr:to>
      <xdr:col>4</xdr:col>
      <xdr:colOff>317973</xdr:colOff>
      <xdr:row>40</xdr:row>
      <xdr:rowOff>159539</xdr:rowOff>
    </xdr:to>
    <xdr:sp macro="" textlink="">
      <xdr:nvSpPr>
        <xdr:cNvPr id="8" name="7 CuadroTexto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2240401" y="7549717"/>
          <a:ext cx="594077" cy="1440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xdr:twoCellAnchor>
    <xdr:from>
      <xdr:col>11</xdr:col>
      <xdr:colOff>77274</xdr:colOff>
      <xdr:row>35</xdr:row>
      <xdr:rowOff>37620</xdr:rowOff>
    </xdr:from>
    <xdr:to>
      <xdr:col>11</xdr:col>
      <xdr:colOff>698340</xdr:colOff>
      <xdr:row>36</xdr:row>
      <xdr:rowOff>5665</xdr:rowOff>
    </xdr:to>
    <xdr:sp macro="" textlink="">
      <xdr:nvSpPr>
        <xdr:cNvPr id="9" name="8 CuadroTexto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/>
      </xdr:nvSpPr>
      <xdr:spPr>
        <a:xfrm>
          <a:off x="5125524" y="6619395"/>
          <a:ext cx="598064" cy="1585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xdr:twoCellAnchor>
    <xdr:from>
      <xdr:col>12</xdr:col>
      <xdr:colOff>260613</xdr:colOff>
      <xdr:row>40</xdr:row>
      <xdr:rowOff>149295</xdr:rowOff>
    </xdr:from>
    <xdr:to>
      <xdr:col>12</xdr:col>
      <xdr:colOff>873259</xdr:colOff>
      <xdr:row>41</xdr:row>
      <xdr:rowOff>109882</xdr:rowOff>
    </xdr:to>
    <xdr:sp macro="" textlink="">
      <xdr:nvSpPr>
        <xdr:cNvPr id="10" name="9 CuadroTexto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/>
      </xdr:nvSpPr>
      <xdr:spPr>
        <a:xfrm>
          <a:off x="6129918" y="7683570"/>
          <a:ext cx="597330" cy="1510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6</xdr:row>
          <xdr:rowOff>19050</xdr:rowOff>
        </xdr:from>
        <xdr:to>
          <xdr:col>3</xdr:col>
          <xdr:colOff>409575</xdr:colOff>
          <xdr:row>7</xdr:row>
          <xdr:rowOff>0</xdr:rowOff>
        </xdr:to>
        <xdr:sp macro="" textlink="">
          <xdr:nvSpPr>
            <xdr:cNvPr id="223233" name="Check Box 1" hidden="1">
              <a:extLst>
                <a:ext uri="{63B3BB69-23CF-44E3-9099-C40C66FF867C}">
                  <a14:compatExt spid="_x0000_s223233"/>
                </a:ext>
                <a:ext uri="{FF2B5EF4-FFF2-40B4-BE49-F238E27FC236}">
                  <a16:creationId xmlns:a16="http://schemas.microsoft.com/office/drawing/2014/main" id="{00000000-0008-0000-0500-000001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7</xdr:row>
          <xdr:rowOff>19050</xdr:rowOff>
        </xdr:from>
        <xdr:to>
          <xdr:col>3</xdr:col>
          <xdr:colOff>409575</xdr:colOff>
          <xdr:row>8</xdr:row>
          <xdr:rowOff>0</xdr:rowOff>
        </xdr:to>
        <xdr:sp macro="" textlink="">
          <xdr:nvSpPr>
            <xdr:cNvPr id="223234" name="Check Box 2" hidden="1">
              <a:extLst>
                <a:ext uri="{63B3BB69-23CF-44E3-9099-C40C66FF867C}">
                  <a14:compatExt spid="_x0000_s223234"/>
                </a:ext>
                <a:ext uri="{FF2B5EF4-FFF2-40B4-BE49-F238E27FC236}">
                  <a16:creationId xmlns:a16="http://schemas.microsoft.com/office/drawing/2014/main" id="{00000000-0008-0000-0500-000002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8</xdr:row>
          <xdr:rowOff>19050</xdr:rowOff>
        </xdr:from>
        <xdr:to>
          <xdr:col>3</xdr:col>
          <xdr:colOff>409575</xdr:colOff>
          <xdr:row>9</xdr:row>
          <xdr:rowOff>0</xdr:rowOff>
        </xdr:to>
        <xdr:sp macro="" textlink="">
          <xdr:nvSpPr>
            <xdr:cNvPr id="223235" name="Check Box 3" hidden="1">
              <a:extLst>
                <a:ext uri="{63B3BB69-23CF-44E3-9099-C40C66FF867C}">
                  <a14:compatExt spid="_x0000_s223235"/>
                </a:ext>
                <a:ext uri="{FF2B5EF4-FFF2-40B4-BE49-F238E27FC236}">
                  <a16:creationId xmlns:a16="http://schemas.microsoft.com/office/drawing/2014/main" id="{00000000-0008-0000-0500-000003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9</xdr:row>
          <xdr:rowOff>19050</xdr:rowOff>
        </xdr:from>
        <xdr:to>
          <xdr:col>3</xdr:col>
          <xdr:colOff>409575</xdr:colOff>
          <xdr:row>10</xdr:row>
          <xdr:rowOff>0</xdr:rowOff>
        </xdr:to>
        <xdr:sp macro="" textlink="">
          <xdr:nvSpPr>
            <xdr:cNvPr id="223236" name="Check Box 4" hidden="1">
              <a:extLst>
                <a:ext uri="{63B3BB69-23CF-44E3-9099-C40C66FF867C}">
                  <a14:compatExt spid="_x0000_s223236"/>
                </a:ext>
                <a:ext uri="{FF2B5EF4-FFF2-40B4-BE49-F238E27FC236}">
                  <a16:creationId xmlns:a16="http://schemas.microsoft.com/office/drawing/2014/main" id="{00000000-0008-0000-0500-000004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647700</xdr:colOff>
          <xdr:row>6</xdr:row>
          <xdr:rowOff>9525</xdr:rowOff>
        </xdr:from>
        <xdr:to>
          <xdr:col>12</xdr:col>
          <xdr:colOff>0</xdr:colOff>
          <xdr:row>7</xdr:row>
          <xdr:rowOff>0</xdr:rowOff>
        </xdr:to>
        <xdr:sp macro="" textlink="">
          <xdr:nvSpPr>
            <xdr:cNvPr id="223237" name="Check Box 5" hidden="1">
              <a:extLst>
                <a:ext uri="{63B3BB69-23CF-44E3-9099-C40C66FF867C}">
                  <a14:compatExt spid="_x0000_s223237"/>
                </a:ext>
                <a:ext uri="{FF2B5EF4-FFF2-40B4-BE49-F238E27FC236}">
                  <a16:creationId xmlns:a16="http://schemas.microsoft.com/office/drawing/2014/main" id="{00000000-0008-0000-0500-000005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647700</xdr:colOff>
          <xdr:row>7</xdr:row>
          <xdr:rowOff>9525</xdr:rowOff>
        </xdr:from>
        <xdr:to>
          <xdr:col>12</xdr:col>
          <xdr:colOff>0</xdr:colOff>
          <xdr:row>8</xdr:row>
          <xdr:rowOff>0</xdr:rowOff>
        </xdr:to>
        <xdr:sp macro="" textlink="">
          <xdr:nvSpPr>
            <xdr:cNvPr id="223238" name="Check Box 6" hidden="1">
              <a:extLst>
                <a:ext uri="{63B3BB69-23CF-44E3-9099-C40C66FF867C}">
                  <a14:compatExt spid="_x0000_s223238"/>
                </a:ext>
                <a:ext uri="{FF2B5EF4-FFF2-40B4-BE49-F238E27FC236}">
                  <a16:creationId xmlns:a16="http://schemas.microsoft.com/office/drawing/2014/main" id="{00000000-0008-0000-0500-000006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647700</xdr:colOff>
          <xdr:row>8</xdr:row>
          <xdr:rowOff>9525</xdr:rowOff>
        </xdr:from>
        <xdr:to>
          <xdr:col>12</xdr:col>
          <xdr:colOff>0</xdr:colOff>
          <xdr:row>9</xdr:row>
          <xdr:rowOff>0</xdr:rowOff>
        </xdr:to>
        <xdr:sp macro="" textlink="">
          <xdr:nvSpPr>
            <xdr:cNvPr id="223239" name="Check Box 7" hidden="1">
              <a:extLst>
                <a:ext uri="{63B3BB69-23CF-44E3-9099-C40C66FF867C}">
                  <a14:compatExt spid="_x0000_s223239"/>
                </a:ext>
                <a:ext uri="{FF2B5EF4-FFF2-40B4-BE49-F238E27FC236}">
                  <a16:creationId xmlns:a16="http://schemas.microsoft.com/office/drawing/2014/main" id="{00000000-0008-0000-0500-000007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0</xdr:colOff>
      <xdr:row>1</xdr:row>
      <xdr:rowOff>66453</xdr:rowOff>
    </xdr:from>
    <xdr:to>
      <xdr:col>2</xdr:col>
      <xdr:colOff>69571</xdr:colOff>
      <xdr:row>2</xdr:row>
      <xdr:rowOff>232587</xdr:rowOff>
    </xdr:to>
    <xdr:pic>
      <xdr:nvPicPr>
        <xdr:cNvPr id="2" name="Imagen 1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58D17FE7-C0CE-4AAC-A65F-CCE86DC02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512" y="310116"/>
          <a:ext cx="1354338" cy="52055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6</xdr:row>
          <xdr:rowOff>19050</xdr:rowOff>
        </xdr:from>
        <xdr:to>
          <xdr:col>3</xdr:col>
          <xdr:colOff>409575</xdr:colOff>
          <xdr:row>7</xdr:row>
          <xdr:rowOff>0</xdr:rowOff>
        </xdr:to>
        <xdr:sp macro="" textlink="">
          <xdr:nvSpPr>
            <xdr:cNvPr id="225281" name="Check Box 1" hidden="1">
              <a:extLst>
                <a:ext uri="{63B3BB69-23CF-44E3-9099-C40C66FF867C}">
                  <a14:compatExt spid="_x0000_s225281"/>
                </a:ext>
                <a:ext uri="{FF2B5EF4-FFF2-40B4-BE49-F238E27FC236}">
                  <a16:creationId xmlns:a16="http://schemas.microsoft.com/office/drawing/2014/main" id="{00000000-0008-0000-0600-0000017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7</xdr:row>
          <xdr:rowOff>19050</xdr:rowOff>
        </xdr:from>
        <xdr:to>
          <xdr:col>3</xdr:col>
          <xdr:colOff>409575</xdr:colOff>
          <xdr:row>8</xdr:row>
          <xdr:rowOff>0</xdr:rowOff>
        </xdr:to>
        <xdr:sp macro="" textlink="">
          <xdr:nvSpPr>
            <xdr:cNvPr id="225282" name="Check Box 2" hidden="1">
              <a:extLst>
                <a:ext uri="{63B3BB69-23CF-44E3-9099-C40C66FF867C}">
                  <a14:compatExt spid="_x0000_s225282"/>
                </a:ext>
                <a:ext uri="{FF2B5EF4-FFF2-40B4-BE49-F238E27FC236}">
                  <a16:creationId xmlns:a16="http://schemas.microsoft.com/office/drawing/2014/main" id="{00000000-0008-0000-0600-0000027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8</xdr:row>
          <xdr:rowOff>19050</xdr:rowOff>
        </xdr:from>
        <xdr:to>
          <xdr:col>3</xdr:col>
          <xdr:colOff>409575</xdr:colOff>
          <xdr:row>9</xdr:row>
          <xdr:rowOff>0</xdr:rowOff>
        </xdr:to>
        <xdr:sp macro="" textlink="">
          <xdr:nvSpPr>
            <xdr:cNvPr id="225283" name="Check Box 3" hidden="1">
              <a:extLst>
                <a:ext uri="{63B3BB69-23CF-44E3-9099-C40C66FF867C}">
                  <a14:compatExt spid="_x0000_s225283"/>
                </a:ext>
                <a:ext uri="{FF2B5EF4-FFF2-40B4-BE49-F238E27FC236}">
                  <a16:creationId xmlns:a16="http://schemas.microsoft.com/office/drawing/2014/main" id="{00000000-0008-0000-0600-0000037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9</xdr:row>
          <xdr:rowOff>19050</xdr:rowOff>
        </xdr:from>
        <xdr:to>
          <xdr:col>3</xdr:col>
          <xdr:colOff>409575</xdr:colOff>
          <xdr:row>10</xdr:row>
          <xdr:rowOff>0</xdr:rowOff>
        </xdr:to>
        <xdr:sp macro="" textlink="">
          <xdr:nvSpPr>
            <xdr:cNvPr id="225284" name="Check Box 4" hidden="1">
              <a:extLst>
                <a:ext uri="{63B3BB69-23CF-44E3-9099-C40C66FF867C}">
                  <a14:compatExt spid="_x0000_s225284"/>
                </a:ext>
                <a:ext uri="{FF2B5EF4-FFF2-40B4-BE49-F238E27FC236}">
                  <a16:creationId xmlns:a16="http://schemas.microsoft.com/office/drawing/2014/main" id="{00000000-0008-0000-0600-0000047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647700</xdr:colOff>
          <xdr:row>6</xdr:row>
          <xdr:rowOff>9525</xdr:rowOff>
        </xdr:from>
        <xdr:to>
          <xdr:col>12</xdr:col>
          <xdr:colOff>0</xdr:colOff>
          <xdr:row>7</xdr:row>
          <xdr:rowOff>0</xdr:rowOff>
        </xdr:to>
        <xdr:sp macro="" textlink="">
          <xdr:nvSpPr>
            <xdr:cNvPr id="225285" name="Check Box 5" hidden="1">
              <a:extLst>
                <a:ext uri="{63B3BB69-23CF-44E3-9099-C40C66FF867C}">
                  <a14:compatExt spid="_x0000_s225285"/>
                </a:ext>
                <a:ext uri="{FF2B5EF4-FFF2-40B4-BE49-F238E27FC236}">
                  <a16:creationId xmlns:a16="http://schemas.microsoft.com/office/drawing/2014/main" id="{00000000-0008-0000-0600-0000057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647700</xdr:colOff>
          <xdr:row>7</xdr:row>
          <xdr:rowOff>9525</xdr:rowOff>
        </xdr:from>
        <xdr:to>
          <xdr:col>12</xdr:col>
          <xdr:colOff>0</xdr:colOff>
          <xdr:row>8</xdr:row>
          <xdr:rowOff>0</xdr:rowOff>
        </xdr:to>
        <xdr:sp macro="" textlink="">
          <xdr:nvSpPr>
            <xdr:cNvPr id="225286" name="Check Box 6" hidden="1">
              <a:extLst>
                <a:ext uri="{63B3BB69-23CF-44E3-9099-C40C66FF867C}">
                  <a14:compatExt spid="_x0000_s225286"/>
                </a:ext>
                <a:ext uri="{FF2B5EF4-FFF2-40B4-BE49-F238E27FC236}">
                  <a16:creationId xmlns:a16="http://schemas.microsoft.com/office/drawing/2014/main" id="{00000000-0008-0000-0600-0000067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647700</xdr:colOff>
          <xdr:row>8</xdr:row>
          <xdr:rowOff>9525</xdr:rowOff>
        </xdr:from>
        <xdr:to>
          <xdr:col>12</xdr:col>
          <xdr:colOff>0</xdr:colOff>
          <xdr:row>9</xdr:row>
          <xdr:rowOff>0</xdr:rowOff>
        </xdr:to>
        <xdr:sp macro="" textlink="">
          <xdr:nvSpPr>
            <xdr:cNvPr id="225287" name="Check Box 7" hidden="1">
              <a:extLst>
                <a:ext uri="{63B3BB69-23CF-44E3-9099-C40C66FF867C}">
                  <a14:compatExt spid="_x0000_s225287"/>
                </a:ext>
                <a:ext uri="{FF2B5EF4-FFF2-40B4-BE49-F238E27FC236}">
                  <a16:creationId xmlns:a16="http://schemas.microsoft.com/office/drawing/2014/main" id="{00000000-0008-0000-0600-0000077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177210</xdr:colOff>
      <xdr:row>1</xdr:row>
      <xdr:rowOff>66454</xdr:rowOff>
    </xdr:from>
    <xdr:to>
      <xdr:col>2</xdr:col>
      <xdr:colOff>25269</xdr:colOff>
      <xdr:row>2</xdr:row>
      <xdr:rowOff>232588</xdr:rowOff>
    </xdr:to>
    <xdr:pic>
      <xdr:nvPicPr>
        <xdr:cNvPr id="2" name="Imagen 1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F401B9C9-3869-41E4-BD74-D95420251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210" y="310117"/>
          <a:ext cx="1354338" cy="52055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6</xdr:row>
          <xdr:rowOff>19050</xdr:rowOff>
        </xdr:from>
        <xdr:to>
          <xdr:col>3</xdr:col>
          <xdr:colOff>409575</xdr:colOff>
          <xdr:row>7</xdr:row>
          <xdr:rowOff>0</xdr:rowOff>
        </xdr:to>
        <xdr:sp macro="" textlink="">
          <xdr:nvSpPr>
            <xdr:cNvPr id="226305" name="Check Box 1" hidden="1">
              <a:extLst>
                <a:ext uri="{63B3BB69-23CF-44E3-9099-C40C66FF867C}">
                  <a14:compatExt spid="_x0000_s226305"/>
                </a:ext>
                <a:ext uri="{FF2B5EF4-FFF2-40B4-BE49-F238E27FC236}">
                  <a16:creationId xmlns:a16="http://schemas.microsoft.com/office/drawing/2014/main" id="{00000000-0008-0000-0700-000001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7</xdr:row>
          <xdr:rowOff>19050</xdr:rowOff>
        </xdr:from>
        <xdr:to>
          <xdr:col>3</xdr:col>
          <xdr:colOff>409575</xdr:colOff>
          <xdr:row>8</xdr:row>
          <xdr:rowOff>0</xdr:rowOff>
        </xdr:to>
        <xdr:sp macro="" textlink="">
          <xdr:nvSpPr>
            <xdr:cNvPr id="226306" name="Check Box 2" hidden="1">
              <a:extLst>
                <a:ext uri="{63B3BB69-23CF-44E3-9099-C40C66FF867C}">
                  <a14:compatExt spid="_x0000_s226306"/>
                </a:ext>
                <a:ext uri="{FF2B5EF4-FFF2-40B4-BE49-F238E27FC236}">
                  <a16:creationId xmlns:a16="http://schemas.microsoft.com/office/drawing/2014/main" id="{00000000-0008-0000-0700-000002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8</xdr:row>
          <xdr:rowOff>19050</xdr:rowOff>
        </xdr:from>
        <xdr:to>
          <xdr:col>3</xdr:col>
          <xdr:colOff>409575</xdr:colOff>
          <xdr:row>9</xdr:row>
          <xdr:rowOff>0</xdr:rowOff>
        </xdr:to>
        <xdr:sp macro="" textlink="">
          <xdr:nvSpPr>
            <xdr:cNvPr id="226307" name="Check Box 3" hidden="1">
              <a:extLst>
                <a:ext uri="{63B3BB69-23CF-44E3-9099-C40C66FF867C}">
                  <a14:compatExt spid="_x0000_s226307"/>
                </a:ext>
                <a:ext uri="{FF2B5EF4-FFF2-40B4-BE49-F238E27FC236}">
                  <a16:creationId xmlns:a16="http://schemas.microsoft.com/office/drawing/2014/main" id="{00000000-0008-0000-0700-000003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9</xdr:row>
          <xdr:rowOff>19050</xdr:rowOff>
        </xdr:from>
        <xdr:to>
          <xdr:col>3</xdr:col>
          <xdr:colOff>409575</xdr:colOff>
          <xdr:row>10</xdr:row>
          <xdr:rowOff>0</xdr:rowOff>
        </xdr:to>
        <xdr:sp macro="" textlink="">
          <xdr:nvSpPr>
            <xdr:cNvPr id="226308" name="Check Box 4" hidden="1">
              <a:extLst>
                <a:ext uri="{63B3BB69-23CF-44E3-9099-C40C66FF867C}">
                  <a14:compatExt spid="_x0000_s226308"/>
                </a:ext>
                <a:ext uri="{FF2B5EF4-FFF2-40B4-BE49-F238E27FC236}">
                  <a16:creationId xmlns:a16="http://schemas.microsoft.com/office/drawing/2014/main" id="{00000000-0008-0000-0700-000004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666750</xdr:colOff>
          <xdr:row>6</xdr:row>
          <xdr:rowOff>9525</xdr:rowOff>
        </xdr:from>
        <xdr:to>
          <xdr:col>11</xdr:col>
          <xdr:colOff>0</xdr:colOff>
          <xdr:row>7</xdr:row>
          <xdr:rowOff>0</xdr:rowOff>
        </xdr:to>
        <xdr:sp macro="" textlink="">
          <xdr:nvSpPr>
            <xdr:cNvPr id="226309" name="Check Box 5" hidden="1">
              <a:extLst>
                <a:ext uri="{63B3BB69-23CF-44E3-9099-C40C66FF867C}">
                  <a14:compatExt spid="_x0000_s226309"/>
                </a:ext>
                <a:ext uri="{FF2B5EF4-FFF2-40B4-BE49-F238E27FC236}">
                  <a16:creationId xmlns:a16="http://schemas.microsoft.com/office/drawing/2014/main" id="{00000000-0008-0000-0700-000005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666750</xdr:colOff>
          <xdr:row>7</xdr:row>
          <xdr:rowOff>9525</xdr:rowOff>
        </xdr:from>
        <xdr:to>
          <xdr:col>11</xdr:col>
          <xdr:colOff>0</xdr:colOff>
          <xdr:row>8</xdr:row>
          <xdr:rowOff>0</xdr:rowOff>
        </xdr:to>
        <xdr:sp macro="" textlink="">
          <xdr:nvSpPr>
            <xdr:cNvPr id="226310" name="Check Box 6" hidden="1">
              <a:extLst>
                <a:ext uri="{63B3BB69-23CF-44E3-9099-C40C66FF867C}">
                  <a14:compatExt spid="_x0000_s226310"/>
                </a:ext>
                <a:ext uri="{FF2B5EF4-FFF2-40B4-BE49-F238E27FC236}">
                  <a16:creationId xmlns:a16="http://schemas.microsoft.com/office/drawing/2014/main" id="{00000000-0008-0000-0700-000006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666750</xdr:colOff>
          <xdr:row>8</xdr:row>
          <xdr:rowOff>9525</xdr:rowOff>
        </xdr:from>
        <xdr:to>
          <xdr:col>11</xdr:col>
          <xdr:colOff>0</xdr:colOff>
          <xdr:row>9</xdr:row>
          <xdr:rowOff>0</xdr:rowOff>
        </xdr:to>
        <xdr:sp macro="" textlink="">
          <xdr:nvSpPr>
            <xdr:cNvPr id="226311" name="Check Box 7" hidden="1">
              <a:extLst>
                <a:ext uri="{63B3BB69-23CF-44E3-9099-C40C66FF867C}">
                  <a14:compatExt spid="_x0000_s226311"/>
                </a:ext>
                <a:ext uri="{FF2B5EF4-FFF2-40B4-BE49-F238E27FC236}">
                  <a16:creationId xmlns:a16="http://schemas.microsoft.com/office/drawing/2014/main" id="{00000000-0008-0000-0700-000007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177210</xdr:colOff>
      <xdr:row>1</xdr:row>
      <xdr:rowOff>99680</xdr:rowOff>
    </xdr:from>
    <xdr:to>
      <xdr:col>2</xdr:col>
      <xdr:colOff>91722</xdr:colOff>
      <xdr:row>2</xdr:row>
      <xdr:rowOff>265814</xdr:rowOff>
    </xdr:to>
    <xdr:pic>
      <xdr:nvPicPr>
        <xdr:cNvPr id="2" name="Imagen 1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75D823BA-95EA-4372-AC24-4C4145EBA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210" y="343343"/>
          <a:ext cx="1354338" cy="52055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6</xdr:row>
          <xdr:rowOff>19050</xdr:rowOff>
        </xdr:from>
        <xdr:to>
          <xdr:col>4</xdr:col>
          <xdr:colOff>0</xdr:colOff>
          <xdr:row>7</xdr:row>
          <xdr:rowOff>0</xdr:rowOff>
        </xdr:to>
        <xdr:sp macro="" textlink="">
          <xdr:nvSpPr>
            <xdr:cNvPr id="229377" name="Check Box 1" hidden="1">
              <a:extLst>
                <a:ext uri="{63B3BB69-23CF-44E3-9099-C40C66FF867C}">
                  <a14:compatExt spid="_x0000_s229377"/>
                </a:ext>
                <a:ext uri="{FF2B5EF4-FFF2-40B4-BE49-F238E27FC236}">
                  <a16:creationId xmlns:a16="http://schemas.microsoft.com/office/drawing/2014/main" id="{00000000-0008-0000-0800-000001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7</xdr:row>
          <xdr:rowOff>19050</xdr:rowOff>
        </xdr:from>
        <xdr:to>
          <xdr:col>4</xdr:col>
          <xdr:colOff>0</xdr:colOff>
          <xdr:row>8</xdr:row>
          <xdr:rowOff>0</xdr:rowOff>
        </xdr:to>
        <xdr:sp macro="" textlink="">
          <xdr:nvSpPr>
            <xdr:cNvPr id="229378" name="Check Box 2" hidden="1">
              <a:extLst>
                <a:ext uri="{63B3BB69-23CF-44E3-9099-C40C66FF867C}">
                  <a14:compatExt spid="_x0000_s229378"/>
                </a:ext>
                <a:ext uri="{FF2B5EF4-FFF2-40B4-BE49-F238E27FC236}">
                  <a16:creationId xmlns:a16="http://schemas.microsoft.com/office/drawing/2014/main" id="{00000000-0008-0000-0800-000002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8</xdr:row>
          <xdr:rowOff>19050</xdr:rowOff>
        </xdr:from>
        <xdr:to>
          <xdr:col>4</xdr:col>
          <xdr:colOff>0</xdr:colOff>
          <xdr:row>9</xdr:row>
          <xdr:rowOff>0</xdr:rowOff>
        </xdr:to>
        <xdr:sp macro="" textlink="">
          <xdr:nvSpPr>
            <xdr:cNvPr id="229379" name="Check Box 3" hidden="1">
              <a:extLst>
                <a:ext uri="{63B3BB69-23CF-44E3-9099-C40C66FF867C}">
                  <a14:compatExt spid="_x0000_s229379"/>
                </a:ext>
                <a:ext uri="{FF2B5EF4-FFF2-40B4-BE49-F238E27FC236}">
                  <a16:creationId xmlns:a16="http://schemas.microsoft.com/office/drawing/2014/main" id="{00000000-0008-0000-0800-000003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9</xdr:row>
          <xdr:rowOff>19050</xdr:rowOff>
        </xdr:from>
        <xdr:to>
          <xdr:col>4</xdr:col>
          <xdr:colOff>0</xdr:colOff>
          <xdr:row>10</xdr:row>
          <xdr:rowOff>0</xdr:rowOff>
        </xdr:to>
        <xdr:sp macro="" textlink="">
          <xdr:nvSpPr>
            <xdr:cNvPr id="229380" name="Check Box 4" hidden="1">
              <a:extLst>
                <a:ext uri="{63B3BB69-23CF-44E3-9099-C40C66FF867C}">
                  <a14:compatExt spid="_x0000_s229380"/>
                </a:ext>
                <a:ext uri="{FF2B5EF4-FFF2-40B4-BE49-F238E27FC236}">
                  <a16:creationId xmlns:a16="http://schemas.microsoft.com/office/drawing/2014/main" id="{00000000-0008-0000-0800-000004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590550</xdr:colOff>
          <xdr:row>5</xdr:row>
          <xdr:rowOff>161925</xdr:rowOff>
        </xdr:from>
        <xdr:to>
          <xdr:col>11</xdr:col>
          <xdr:colOff>19050</xdr:colOff>
          <xdr:row>6</xdr:row>
          <xdr:rowOff>123825</xdr:rowOff>
        </xdr:to>
        <xdr:sp macro="" textlink="">
          <xdr:nvSpPr>
            <xdr:cNvPr id="229381" name="Check Box 5" hidden="1">
              <a:extLst>
                <a:ext uri="{63B3BB69-23CF-44E3-9099-C40C66FF867C}">
                  <a14:compatExt spid="_x0000_s229381"/>
                </a:ext>
                <a:ext uri="{FF2B5EF4-FFF2-40B4-BE49-F238E27FC236}">
                  <a16:creationId xmlns:a16="http://schemas.microsoft.com/office/drawing/2014/main" id="{00000000-0008-0000-0800-000005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590550</xdr:colOff>
          <xdr:row>6</xdr:row>
          <xdr:rowOff>180975</xdr:rowOff>
        </xdr:from>
        <xdr:to>
          <xdr:col>11</xdr:col>
          <xdr:colOff>19050</xdr:colOff>
          <xdr:row>8</xdr:row>
          <xdr:rowOff>9525</xdr:rowOff>
        </xdr:to>
        <xdr:sp macro="" textlink="">
          <xdr:nvSpPr>
            <xdr:cNvPr id="229382" name="Check Box 6" hidden="1">
              <a:extLst>
                <a:ext uri="{63B3BB69-23CF-44E3-9099-C40C66FF867C}">
                  <a14:compatExt spid="_x0000_s229382"/>
                </a:ext>
                <a:ext uri="{FF2B5EF4-FFF2-40B4-BE49-F238E27FC236}">
                  <a16:creationId xmlns:a16="http://schemas.microsoft.com/office/drawing/2014/main" id="{00000000-0008-0000-0800-000006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590550</xdr:colOff>
          <xdr:row>7</xdr:row>
          <xdr:rowOff>180975</xdr:rowOff>
        </xdr:from>
        <xdr:to>
          <xdr:col>11</xdr:col>
          <xdr:colOff>19050</xdr:colOff>
          <xdr:row>9</xdr:row>
          <xdr:rowOff>9525</xdr:rowOff>
        </xdr:to>
        <xdr:sp macro="" textlink="">
          <xdr:nvSpPr>
            <xdr:cNvPr id="229383" name="Check Box 7" hidden="1">
              <a:extLst>
                <a:ext uri="{63B3BB69-23CF-44E3-9099-C40C66FF867C}">
                  <a14:compatExt spid="_x0000_s229383"/>
                </a:ext>
                <a:ext uri="{FF2B5EF4-FFF2-40B4-BE49-F238E27FC236}">
                  <a16:creationId xmlns:a16="http://schemas.microsoft.com/office/drawing/2014/main" id="{00000000-0008-0000-0800-000007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133350</xdr:colOff>
      <xdr:row>1</xdr:row>
      <xdr:rowOff>85725</xdr:rowOff>
    </xdr:from>
    <xdr:to>
      <xdr:col>2</xdr:col>
      <xdr:colOff>49413</xdr:colOff>
      <xdr:row>2</xdr:row>
      <xdr:rowOff>253852</xdr:rowOff>
    </xdr:to>
    <xdr:pic>
      <xdr:nvPicPr>
        <xdr:cNvPr id="2" name="Imagen 1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BC1F6929-593A-4158-BAC8-691FC06D8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333375"/>
          <a:ext cx="1354338" cy="52055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2065020</xdr:colOff>
      <xdr:row>22</xdr:row>
      <xdr:rowOff>144780</xdr:rowOff>
    </xdr:from>
    <xdr:to>
      <xdr:col>0</xdr:col>
      <xdr:colOff>2148840</xdr:colOff>
      <xdr:row>24</xdr:row>
      <xdr:rowOff>22860</xdr:rowOff>
    </xdr:to>
    <xdr:sp macro="" textlink="">
      <xdr:nvSpPr>
        <xdr:cNvPr id="209114" name="Text Box 1">
          <a:extLst>
            <a:ext uri="{FF2B5EF4-FFF2-40B4-BE49-F238E27FC236}">
              <a16:creationId xmlns:a16="http://schemas.microsoft.com/office/drawing/2014/main" id="{00000000-0008-0000-0C00-0000DA300300}"/>
            </a:ext>
          </a:extLst>
        </xdr:cNvPr>
        <xdr:cNvSpPr txBox="1">
          <a:spLocks noChangeArrowheads="1"/>
        </xdr:cNvSpPr>
      </xdr:nvSpPr>
      <xdr:spPr bwMode="auto">
        <a:xfrm>
          <a:off x="2065020" y="3832860"/>
          <a:ext cx="8382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731520</xdr:colOff>
      <xdr:row>3</xdr:row>
      <xdr:rowOff>7620</xdr:rowOff>
    </xdr:from>
    <xdr:to>
      <xdr:col>10</xdr:col>
      <xdr:colOff>365760</xdr:colOff>
      <xdr:row>17</xdr:row>
      <xdr:rowOff>137160</xdr:rowOff>
    </xdr:to>
    <xdr:pic>
      <xdr:nvPicPr>
        <xdr:cNvPr id="224845" name="10 Imagen">
          <a:extLst>
            <a:ext uri="{FF2B5EF4-FFF2-40B4-BE49-F238E27FC236}">
              <a16:creationId xmlns:a16="http://schemas.microsoft.com/office/drawing/2014/main" id="{00000000-0008-0000-0D00-00004D6E0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6480" y="510540"/>
          <a:ext cx="5974080" cy="247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670560</xdr:colOff>
      <xdr:row>21</xdr:row>
      <xdr:rowOff>106680</xdr:rowOff>
    </xdr:from>
    <xdr:to>
      <xdr:col>10</xdr:col>
      <xdr:colOff>350520</xdr:colOff>
      <xdr:row>37</xdr:row>
      <xdr:rowOff>38100</xdr:rowOff>
    </xdr:to>
    <xdr:pic>
      <xdr:nvPicPr>
        <xdr:cNvPr id="224846" name="11 Imagen">
          <a:extLst>
            <a:ext uri="{FF2B5EF4-FFF2-40B4-BE49-F238E27FC236}">
              <a16:creationId xmlns:a16="http://schemas.microsoft.com/office/drawing/2014/main" id="{00000000-0008-0000-0D00-00004E6E0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520" y="3627120"/>
          <a:ext cx="6019800" cy="2613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545700</xdr:colOff>
      <xdr:row>12</xdr:row>
      <xdr:rowOff>121504</xdr:rowOff>
    </xdr:from>
    <xdr:to>
      <xdr:col>10</xdr:col>
      <xdr:colOff>219803</xdr:colOff>
      <xdr:row>13</xdr:row>
      <xdr:rowOff>95222</xdr:rowOff>
    </xdr:to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 txBox="1"/>
      </xdr:nvSpPr>
      <xdr:spPr>
        <a:xfrm>
          <a:off x="7380840" y="2056984"/>
          <a:ext cx="451401" cy="1430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/>
            <a:t>64,1</a:t>
          </a:r>
        </a:p>
      </xdr:txBody>
    </xdr:sp>
    <xdr:clientData/>
  </xdr:twoCellAnchor>
  <xdr:twoCellAnchor>
    <xdr:from>
      <xdr:col>9</xdr:col>
      <xdr:colOff>547977</xdr:colOff>
      <xdr:row>14</xdr:row>
      <xdr:rowOff>2276</xdr:rowOff>
    </xdr:from>
    <xdr:to>
      <xdr:col>10</xdr:col>
      <xdr:colOff>222319</xdr:colOff>
      <xdr:row>14</xdr:row>
      <xdr:rowOff>143909</xdr:rowOff>
    </xdr:to>
    <xdr:sp macro="" textlink="">
      <xdr:nvSpPr>
        <xdr:cNvPr id="5" name="4 CuadroTexto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 txBox="1"/>
      </xdr:nvSpPr>
      <xdr:spPr>
        <a:xfrm>
          <a:off x="7383117" y="2269226"/>
          <a:ext cx="451401" cy="1416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/>
            <a:t>67,1</a:t>
          </a:r>
        </a:p>
      </xdr:txBody>
    </xdr:sp>
    <xdr:clientData/>
  </xdr:twoCellAnchor>
  <xdr:twoCellAnchor>
    <xdr:from>
      <xdr:col>8</xdr:col>
      <xdr:colOff>79928</xdr:colOff>
      <xdr:row>4</xdr:row>
      <xdr:rowOff>123782</xdr:rowOff>
    </xdr:from>
    <xdr:to>
      <xdr:col>8</xdr:col>
      <xdr:colOff>552812</xdr:colOff>
      <xdr:row>5</xdr:row>
      <xdr:rowOff>97499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 txBox="1"/>
      </xdr:nvSpPr>
      <xdr:spPr>
        <a:xfrm>
          <a:off x="6175928" y="763862"/>
          <a:ext cx="450366" cy="1430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/>
            <a:t>49</a:t>
          </a:r>
        </a:p>
      </xdr:txBody>
    </xdr:sp>
    <xdr:clientData/>
  </xdr:twoCellAnchor>
  <xdr:twoCellAnchor>
    <xdr:from>
      <xdr:col>8</xdr:col>
      <xdr:colOff>89825</xdr:colOff>
      <xdr:row>5</xdr:row>
      <xdr:rowOff>157119</xdr:rowOff>
    </xdr:from>
    <xdr:to>
      <xdr:col>8</xdr:col>
      <xdr:colOff>555458</xdr:colOff>
      <xdr:row>6</xdr:row>
      <xdr:rowOff>130837</xdr:rowOff>
    </xdr:to>
    <xdr:sp macro="" textlink="">
      <xdr:nvSpPr>
        <xdr:cNvPr id="7" name="6 CuadroTexto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 txBox="1"/>
      </xdr:nvSpPr>
      <xdr:spPr>
        <a:xfrm>
          <a:off x="6178205" y="959124"/>
          <a:ext cx="450366" cy="1430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/>
            <a:t>52</a:t>
          </a:r>
        </a:p>
      </xdr:txBody>
    </xdr:sp>
    <xdr:clientData/>
  </xdr:twoCellAnchor>
  <xdr:twoCellAnchor>
    <xdr:from>
      <xdr:col>3</xdr:col>
      <xdr:colOff>749412</xdr:colOff>
      <xdr:row>11</xdr:row>
      <xdr:rowOff>71849</xdr:rowOff>
    </xdr:from>
    <xdr:to>
      <xdr:col>4</xdr:col>
      <xdr:colOff>423754</xdr:colOff>
      <xdr:row>12</xdr:row>
      <xdr:rowOff>53006</xdr:rowOff>
    </xdr:to>
    <xdr:sp macro="" textlink="">
      <xdr:nvSpPr>
        <xdr:cNvPr id="8" name="7 CuadroTexto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 txBox="1"/>
      </xdr:nvSpPr>
      <xdr:spPr>
        <a:xfrm>
          <a:off x="3004932" y="1853024"/>
          <a:ext cx="451401" cy="1430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/>
            <a:t>89,5</a:t>
          </a:r>
        </a:p>
      </xdr:txBody>
    </xdr:sp>
    <xdr:clientData/>
  </xdr:twoCellAnchor>
  <xdr:twoCellAnchor>
    <xdr:from>
      <xdr:col>3</xdr:col>
      <xdr:colOff>751690</xdr:colOff>
      <xdr:row>12</xdr:row>
      <xdr:rowOff>117983</xdr:rowOff>
    </xdr:from>
    <xdr:to>
      <xdr:col>4</xdr:col>
      <xdr:colOff>425793</xdr:colOff>
      <xdr:row>13</xdr:row>
      <xdr:rowOff>91701</xdr:rowOff>
    </xdr:to>
    <xdr:sp macro="" textlink="">
      <xdr:nvSpPr>
        <xdr:cNvPr id="9" name="8 CuadroTexto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 txBox="1"/>
      </xdr:nvSpPr>
      <xdr:spPr>
        <a:xfrm>
          <a:off x="3007210" y="2053463"/>
          <a:ext cx="451401" cy="1430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/>
            <a:t>92,5</a:t>
          </a:r>
        </a:p>
      </xdr:txBody>
    </xdr:sp>
    <xdr:clientData/>
  </xdr:twoCellAnchor>
  <xdr:twoCellAnchor>
    <xdr:from>
      <xdr:col>3</xdr:col>
      <xdr:colOff>783782</xdr:colOff>
      <xdr:row>30</xdr:row>
      <xdr:rowOff>31681</xdr:rowOff>
    </xdr:from>
    <xdr:to>
      <xdr:col>4</xdr:col>
      <xdr:colOff>457885</xdr:colOff>
      <xdr:row>31</xdr:row>
      <xdr:rowOff>12838</xdr:rowOff>
    </xdr:to>
    <xdr:sp macro="" textlink="">
      <xdr:nvSpPr>
        <xdr:cNvPr id="10" name="9 CuadroTexto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 txBox="1"/>
      </xdr:nvSpPr>
      <xdr:spPr>
        <a:xfrm>
          <a:off x="3039302" y="4889431"/>
          <a:ext cx="451401" cy="1430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/>
            <a:t>20,2</a:t>
          </a:r>
        </a:p>
      </xdr:txBody>
    </xdr:sp>
    <xdr:clientData/>
  </xdr:twoCellAnchor>
  <xdr:twoCellAnchor>
    <xdr:from>
      <xdr:col>3</xdr:col>
      <xdr:colOff>786058</xdr:colOff>
      <xdr:row>31</xdr:row>
      <xdr:rowOff>75371</xdr:rowOff>
    </xdr:from>
    <xdr:to>
      <xdr:col>4</xdr:col>
      <xdr:colOff>460400</xdr:colOff>
      <xdr:row>32</xdr:row>
      <xdr:rowOff>56529</xdr:rowOff>
    </xdr:to>
    <xdr:sp macro="" textlink="">
      <xdr:nvSpPr>
        <xdr:cNvPr id="11" name="10 CuadroTexto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 txBox="1"/>
      </xdr:nvSpPr>
      <xdr:spPr>
        <a:xfrm>
          <a:off x="3041578" y="5095046"/>
          <a:ext cx="451401" cy="1430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/>
            <a:t>23,2</a:t>
          </a:r>
        </a:p>
      </xdr:txBody>
    </xdr:sp>
    <xdr:clientData/>
  </xdr:twoCellAnchor>
  <xdr:twoCellAnchor>
    <xdr:from>
      <xdr:col>9</xdr:col>
      <xdr:colOff>561230</xdr:colOff>
      <xdr:row>31</xdr:row>
      <xdr:rowOff>25883</xdr:rowOff>
    </xdr:from>
    <xdr:to>
      <xdr:col>10</xdr:col>
      <xdr:colOff>271629</xdr:colOff>
      <xdr:row>32</xdr:row>
      <xdr:rowOff>7041</xdr:rowOff>
    </xdr:to>
    <xdr:sp macro="" textlink="">
      <xdr:nvSpPr>
        <xdr:cNvPr id="12" name="11 CuadroTexto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SpPr txBox="1"/>
      </xdr:nvSpPr>
      <xdr:spPr>
        <a:xfrm>
          <a:off x="7396370" y="5045558"/>
          <a:ext cx="487638" cy="1430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50"/>
            <a:t>100,9</a:t>
          </a:r>
        </a:p>
      </xdr:txBody>
    </xdr:sp>
    <xdr:clientData/>
  </xdr:twoCellAnchor>
  <xdr:twoCellAnchor>
    <xdr:from>
      <xdr:col>9</xdr:col>
      <xdr:colOff>563507</xdr:colOff>
      <xdr:row>32</xdr:row>
      <xdr:rowOff>92724</xdr:rowOff>
    </xdr:from>
    <xdr:to>
      <xdr:col>10</xdr:col>
      <xdr:colOff>273906</xdr:colOff>
      <xdr:row>33</xdr:row>
      <xdr:rowOff>66441</xdr:rowOff>
    </xdr:to>
    <xdr:sp macro="" textlink="">
      <xdr:nvSpPr>
        <xdr:cNvPr id="13" name="12 CuadroTexto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SpPr txBox="1"/>
      </xdr:nvSpPr>
      <xdr:spPr>
        <a:xfrm>
          <a:off x="7398647" y="5266704"/>
          <a:ext cx="487638" cy="1430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50"/>
            <a:t>103,9</a:t>
          </a:r>
        </a:p>
      </xdr:txBody>
    </xdr:sp>
    <xdr:clientData/>
  </xdr:twoCellAnchor>
  <xdr:twoCellAnchor>
    <xdr:from>
      <xdr:col>8</xdr:col>
      <xdr:colOff>173273</xdr:colOff>
      <xdr:row>23</xdr:row>
      <xdr:rowOff>75371</xdr:rowOff>
    </xdr:from>
    <xdr:to>
      <xdr:col>8</xdr:col>
      <xdr:colOff>685064</xdr:colOff>
      <xdr:row>24</xdr:row>
      <xdr:rowOff>56529</xdr:rowOff>
    </xdr:to>
    <xdr:sp macro="" textlink="">
      <xdr:nvSpPr>
        <xdr:cNvPr id="14" name="13 CuadroTexto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SpPr txBox="1"/>
      </xdr:nvSpPr>
      <xdr:spPr>
        <a:xfrm>
          <a:off x="6261653" y="3799646"/>
          <a:ext cx="496956" cy="1430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50"/>
            <a:t>29,35</a:t>
          </a:r>
        </a:p>
      </xdr:txBody>
    </xdr:sp>
    <xdr:clientData/>
  </xdr:twoCellAnchor>
  <xdr:twoCellAnchor>
    <xdr:from>
      <xdr:col>8</xdr:col>
      <xdr:colOff>167931</xdr:colOff>
      <xdr:row>24</xdr:row>
      <xdr:rowOff>157742</xdr:rowOff>
    </xdr:from>
    <xdr:to>
      <xdr:col>8</xdr:col>
      <xdr:colOff>687823</xdr:colOff>
      <xdr:row>25</xdr:row>
      <xdr:rowOff>131459</xdr:rowOff>
    </xdr:to>
    <xdr:sp macro="" textlink="">
      <xdr:nvSpPr>
        <xdr:cNvPr id="15" name="14 CuadroTexto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SpPr txBox="1"/>
      </xdr:nvSpPr>
      <xdr:spPr>
        <a:xfrm>
          <a:off x="6263931" y="4036322"/>
          <a:ext cx="496956" cy="1430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50"/>
            <a:t>32,35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ina Tovar Bermudez" id="{8FD98E89-0591-43B6-86DA-BCD7CC20DE2C}" userId="S::ltovar@agpglass.com::27c3f586-05c4-410d-8473-73388aaa4a51" providerId="AD"/>
</personList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7" dT="2023-11-29T14:43:00.25" personId="{8FD98E89-0591-43B6-86DA-BCD7CC20DE2C}" id="{22C54599-1014-45EF-998A-4B13A3FF9097}">
    <text>Traer de SAP</text>
  </threadedComment>
  <threadedComment ref="AE7" dT="2023-11-29T14:41:33.90" personId="{8FD98E89-0591-43B6-86DA-BCD7CC20DE2C}" id="{9C998782-6D7A-4322-8FB9-9C2DECCB983F}">
    <text>Traer de SAP</text>
  </threadedComment>
  <threadedComment ref="AR7" dT="2023-11-29T14:40:25.55" personId="{8FD98E89-0591-43B6-86DA-BCD7CC20DE2C}" id="{866AF449-42B3-401A-A0ED-CD8AC29E221B}">
    <text>Traer de SAP</text>
  </threadedComment>
  <threadedComment ref="E8" dT="2023-11-29T14:43:38.72" personId="{8FD98E89-0591-43B6-86DA-BCD7CC20DE2C}" id="{BAE64095-0E85-4416-A05F-D5BCB5DC5872}">
    <text>Traer de SAP</text>
  </threadedComment>
  <threadedComment ref="AE8" dT="2023-11-29T14:41:45.61" personId="{8FD98E89-0591-43B6-86DA-BCD7CC20DE2C}" id="{BC53E4F8-C78E-48F2-B352-0D269D07AA49}">
    <text>Traer de SAP</text>
  </threadedComment>
  <threadedComment ref="AR8" dT="2023-11-29T14:40:33.28" personId="{8FD98E89-0591-43B6-86DA-BCD7CC20DE2C}" id="{E22E4B4F-47B6-42B6-BF25-05097F089242}">
    <text>Traer de sap</text>
  </threadedComment>
  <threadedComment ref="E9" dT="2023-11-29T14:43:38.72" personId="{8FD98E89-0591-43B6-86DA-BCD7CC20DE2C}" id="{7909B476-160A-45D3-BF27-0F80D211C641}">
    <text>Traer de SAP</text>
  </threadedComment>
  <threadedComment ref="AR9" dT="2023-11-29T14:40:48.45" personId="{8FD98E89-0591-43B6-86DA-BCD7CC20DE2C}" id="{B3B18F9F-A4C8-4D9D-9C5B-103E0C428C25}">
    <text xml:space="preserve">Traer de GORDON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9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18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7.xml"/><Relationship Id="rId5" Type="http://schemas.openxmlformats.org/officeDocument/2006/relationships/ctrlProp" Target="../ctrlProps/ctrlProp16.xml"/><Relationship Id="rId10" Type="http://schemas.openxmlformats.org/officeDocument/2006/relationships/ctrlProp" Target="../ctrlProps/ctrlProp21.xml"/><Relationship Id="rId4" Type="http://schemas.openxmlformats.org/officeDocument/2006/relationships/ctrlProp" Target="../ctrlProps/ctrlProp15.xml"/><Relationship Id="rId9" Type="http://schemas.openxmlformats.org/officeDocument/2006/relationships/ctrlProp" Target="../ctrlProps/ctrlProp20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6.xml"/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2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24.xml"/><Relationship Id="rId5" Type="http://schemas.openxmlformats.org/officeDocument/2006/relationships/ctrlProp" Target="../ctrlProps/ctrlProp23.xml"/><Relationship Id="rId10" Type="http://schemas.openxmlformats.org/officeDocument/2006/relationships/ctrlProp" Target="../ctrlProps/ctrlProp28.xml"/><Relationship Id="rId4" Type="http://schemas.openxmlformats.org/officeDocument/2006/relationships/ctrlProp" Target="../ctrlProps/ctrlProp22.xml"/><Relationship Id="rId9" Type="http://schemas.openxmlformats.org/officeDocument/2006/relationships/ctrlProp" Target="../ctrlProps/ctrlProp27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3.xml"/><Relationship Id="rId13" Type="http://schemas.openxmlformats.org/officeDocument/2006/relationships/ctrlProp" Target="../ctrlProps/ctrlProp38.xml"/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32.xml"/><Relationship Id="rId12" Type="http://schemas.openxmlformats.org/officeDocument/2006/relationships/ctrlProp" Target="../ctrlProps/ctrlProp37.xml"/><Relationship Id="rId17" Type="http://schemas.openxmlformats.org/officeDocument/2006/relationships/ctrlProp" Target="../ctrlProps/ctrlProp42.xml"/><Relationship Id="rId2" Type="http://schemas.openxmlformats.org/officeDocument/2006/relationships/drawing" Target="../drawings/drawing5.xml"/><Relationship Id="rId16" Type="http://schemas.openxmlformats.org/officeDocument/2006/relationships/ctrlProp" Target="../ctrlProps/ctrlProp41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31.xml"/><Relationship Id="rId11" Type="http://schemas.openxmlformats.org/officeDocument/2006/relationships/ctrlProp" Target="../ctrlProps/ctrlProp36.xml"/><Relationship Id="rId5" Type="http://schemas.openxmlformats.org/officeDocument/2006/relationships/ctrlProp" Target="../ctrlProps/ctrlProp30.xml"/><Relationship Id="rId15" Type="http://schemas.openxmlformats.org/officeDocument/2006/relationships/ctrlProp" Target="../ctrlProps/ctrlProp40.xml"/><Relationship Id="rId10" Type="http://schemas.openxmlformats.org/officeDocument/2006/relationships/ctrlProp" Target="../ctrlProps/ctrlProp35.xml"/><Relationship Id="rId4" Type="http://schemas.openxmlformats.org/officeDocument/2006/relationships/ctrlProp" Target="../ctrlProps/ctrlProp29.xml"/><Relationship Id="rId9" Type="http://schemas.openxmlformats.org/officeDocument/2006/relationships/ctrlProp" Target="../ctrlProps/ctrlProp34.xml"/><Relationship Id="rId14" Type="http://schemas.openxmlformats.org/officeDocument/2006/relationships/ctrlProp" Target="../ctrlProps/ctrlProp39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7.xml"/><Relationship Id="rId3" Type="http://schemas.openxmlformats.org/officeDocument/2006/relationships/vmlDrawing" Target="../drawings/vmlDrawing6.vml"/><Relationship Id="rId7" Type="http://schemas.openxmlformats.org/officeDocument/2006/relationships/ctrlProp" Target="../ctrlProps/ctrlProp46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45.xml"/><Relationship Id="rId5" Type="http://schemas.openxmlformats.org/officeDocument/2006/relationships/ctrlProp" Target="../ctrlProps/ctrlProp44.xml"/><Relationship Id="rId10" Type="http://schemas.openxmlformats.org/officeDocument/2006/relationships/ctrlProp" Target="../ctrlProps/ctrlProp49.xml"/><Relationship Id="rId4" Type="http://schemas.openxmlformats.org/officeDocument/2006/relationships/ctrlProp" Target="../ctrlProps/ctrlProp43.xml"/><Relationship Id="rId9" Type="http://schemas.openxmlformats.org/officeDocument/2006/relationships/ctrlProp" Target="../ctrlProps/ctrlProp48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4.xml"/><Relationship Id="rId3" Type="http://schemas.openxmlformats.org/officeDocument/2006/relationships/vmlDrawing" Target="../drawings/vmlDrawing7.vml"/><Relationship Id="rId7" Type="http://schemas.openxmlformats.org/officeDocument/2006/relationships/ctrlProp" Target="../ctrlProps/ctrlProp53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52.xml"/><Relationship Id="rId5" Type="http://schemas.openxmlformats.org/officeDocument/2006/relationships/ctrlProp" Target="../ctrlProps/ctrlProp51.xml"/><Relationship Id="rId10" Type="http://schemas.openxmlformats.org/officeDocument/2006/relationships/ctrlProp" Target="../ctrlProps/ctrlProp56.xml"/><Relationship Id="rId4" Type="http://schemas.openxmlformats.org/officeDocument/2006/relationships/ctrlProp" Target="../ctrlProps/ctrlProp50.xml"/><Relationship Id="rId9" Type="http://schemas.openxmlformats.org/officeDocument/2006/relationships/ctrlProp" Target="../ctrlProps/ctrlProp55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1.xml"/><Relationship Id="rId3" Type="http://schemas.openxmlformats.org/officeDocument/2006/relationships/vmlDrawing" Target="../drawings/vmlDrawing8.vml"/><Relationship Id="rId7" Type="http://schemas.openxmlformats.org/officeDocument/2006/relationships/ctrlProp" Target="../ctrlProps/ctrlProp60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6" Type="http://schemas.openxmlformats.org/officeDocument/2006/relationships/ctrlProp" Target="../ctrlProps/ctrlProp59.xml"/><Relationship Id="rId5" Type="http://schemas.openxmlformats.org/officeDocument/2006/relationships/ctrlProp" Target="../ctrlProps/ctrlProp58.xml"/><Relationship Id="rId10" Type="http://schemas.openxmlformats.org/officeDocument/2006/relationships/ctrlProp" Target="../ctrlProps/ctrlProp63.xml"/><Relationship Id="rId4" Type="http://schemas.openxmlformats.org/officeDocument/2006/relationships/ctrlProp" Target="../ctrlProps/ctrlProp57.xml"/><Relationship Id="rId9" Type="http://schemas.openxmlformats.org/officeDocument/2006/relationships/ctrlProp" Target="../ctrlProps/ctrlProp62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8.xml"/><Relationship Id="rId3" Type="http://schemas.openxmlformats.org/officeDocument/2006/relationships/vmlDrawing" Target="../drawings/vmlDrawing9.vml"/><Relationship Id="rId7" Type="http://schemas.openxmlformats.org/officeDocument/2006/relationships/ctrlProp" Target="../ctrlProps/ctrlProp67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6" Type="http://schemas.openxmlformats.org/officeDocument/2006/relationships/ctrlProp" Target="../ctrlProps/ctrlProp66.xml"/><Relationship Id="rId5" Type="http://schemas.openxmlformats.org/officeDocument/2006/relationships/ctrlProp" Target="../ctrlProps/ctrlProp65.xml"/><Relationship Id="rId10" Type="http://schemas.openxmlformats.org/officeDocument/2006/relationships/ctrlProp" Target="../ctrlProps/ctrlProp70.xml"/><Relationship Id="rId4" Type="http://schemas.openxmlformats.org/officeDocument/2006/relationships/ctrlProp" Target="../ctrlProps/ctrlProp64.xml"/><Relationship Id="rId9" Type="http://schemas.openxmlformats.org/officeDocument/2006/relationships/ctrlProp" Target="../ctrlProps/ctrlProp6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CC89"/>
  <sheetViews>
    <sheetView view="pageBreakPreview" zoomScaleNormal="100" zoomScaleSheetLayoutView="100" workbookViewId="0">
      <selection activeCell="B11" sqref="B11:AV43"/>
    </sheetView>
  </sheetViews>
  <sheetFormatPr baseColWidth="10" defaultColWidth="2.7109375" defaultRowHeight="18.75" x14ac:dyDescent="0.45"/>
  <cols>
    <col min="1" max="1" width="4.7109375" style="138" customWidth="1"/>
    <col min="2" max="2" width="3.140625" style="23" customWidth="1"/>
    <col min="3" max="3" width="2.7109375" style="23" customWidth="1"/>
    <col min="4" max="4" width="3.5703125" style="23" customWidth="1"/>
    <col min="5" max="5" width="2.7109375" style="23" customWidth="1"/>
    <col min="6" max="6" width="2.7109375" style="139" customWidth="1"/>
    <col min="7" max="7" width="4" style="23" customWidth="1"/>
    <col min="8" max="8" width="2" style="23" customWidth="1"/>
    <col min="9" max="9" width="2.85546875" style="23" customWidth="1"/>
    <col min="10" max="10" width="5.7109375" style="23" customWidth="1"/>
    <col min="11" max="15" width="2" style="23" customWidth="1"/>
    <col min="16" max="16" width="3.28515625" style="23" customWidth="1"/>
    <col min="17" max="20" width="2" style="23" customWidth="1"/>
    <col min="21" max="21" width="3.42578125" style="23" customWidth="1"/>
    <col min="22" max="23" width="2.7109375" style="23" customWidth="1"/>
    <col min="24" max="24" width="2.42578125" style="23" customWidth="1"/>
    <col min="25" max="25" width="2.85546875" style="23" customWidth="1"/>
    <col min="26" max="26" width="3.140625" style="23" customWidth="1"/>
    <col min="27" max="28" width="2.28515625" style="23" customWidth="1"/>
    <col min="29" max="29" width="3.28515625" style="23" customWidth="1"/>
    <col min="30" max="30" width="2.42578125" style="23" customWidth="1"/>
    <col min="31" max="31" width="4" style="23" customWidth="1"/>
    <col min="32" max="32" width="3" style="23" customWidth="1"/>
    <col min="33" max="33" width="2.85546875" style="23" customWidth="1"/>
    <col min="34" max="35" width="2.5703125" style="23" customWidth="1"/>
    <col min="36" max="36" width="3.140625" style="23" customWidth="1"/>
    <col min="37" max="37" width="2.85546875" style="23" customWidth="1"/>
    <col min="38" max="38" width="3.85546875" style="23" customWidth="1"/>
    <col min="39" max="39" width="1.85546875" style="23" customWidth="1"/>
    <col min="40" max="40" width="2.28515625" style="23" customWidth="1"/>
    <col min="41" max="41" width="5.7109375" style="23" customWidth="1"/>
    <col min="42" max="42" width="5.28515625" style="23" customWidth="1"/>
    <col min="43" max="43" width="8.28515625" style="23" customWidth="1"/>
    <col min="44" max="44" width="2.85546875" style="23" hidden="1" customWidth="1"/>
    <col min="45" max="45" width="6.42578125" style="23" customWidth="1"/>
    <col min="46" max="46" width="4.7109375" style="23" customWidth="1"/>
    <col min="47" max="47" width="7.7109375" style="23" customWidth="1"/>
    <col min="48" max="48" width="10.85546875" style="23" customWidth="1"/>
    <col min="49" max="49" width="4.7109375" style="23" customWidth="1"/>
    <col min="50" max="56" width="2.7109375" style="23"/>
    <col min="57" max="57" width="2.85546875" style="23" customWidth="1"/>
    <col min="58" max="16384" width="2.7109375" style="23"/>
  </cols>
  <sheetData>
    <row r="1" spans="1:49" ht="20.100000000000001" customHeight="1" x14ac:dyDescent="0.45">
      <c r="A1" s="19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1"/>
      <c r="AV1" s="20"/>
      <c r="AW1" s="22"/>
    </row>
    <row r="2" spans="1:49" ht="21.75" customHeight="1" x14ac:dyDescent="0.65">
      <c r="A2" s="24"/>
      <c r="B2" s="25"/>
      <c r="C2" s="26"/>
      <c r="D2" s="26"/>
      <c r="E2" s="26"/>
      <c r="F2" s="26"/>
      <c r="G2" s="26"/>
      <c r="H2" s="26"/>
      <c r="I2" s="25"/>
      <c r="J2" s="25"/>
      <c r="K2" s="25"/>
      <c r="L2" s="25"/>
      <c r="M2" s="27"/>
      <c r="N2" s="25"/>
      <c r="O2" s="25"/>
      <c r="P2" s="25"/>
      <c r="Q2" s="25"/>
      <c r="R2" s="25"/>
      <c r="S2" s="25"/>
      <c r="T2" s="26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6" t="s">
        <v>33</v>
      </c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8"/>
      <c r="AU2" s="28"/>
      <c r="AV2" s="29"/>
      <c r="AW2" s="22"/>
    </row>
    <row r="3" spans="1:49" ht="12.75" customHeight="1" x14ac:dyDescent="0.5">
      <c r="A3" s="24"/>
      <c r="B3" s="25"/>
      <c r="C3" s="25"/>
      <c r="D3" s="25"/>
      <c r="E3" s="25"/>
      <c r="F3" s="25"/>
      <c r="G3" s="25"/>
      <c r="H3" s="25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30"/>
      <c r="AF3" s="30" t="s">
        <v>34</v>
      </c>
      <c r="AG3" s="25"/>
      <c r="AH3" s="30"/>
      <c r="AI3" s="30"/>
      <c r="AJ3" s="30"/>
      <c r="AK3" s="25"/>
      <c r="AL3" s="25"/>
      <c r="AM3" s="25"/>
      <c r="AN3" s="25"/>
      <c r="AO3" s="25"/>
      <c r="AP3" s="25"/>
      <c r="AQ3" s="25"/>
      <c r="AR3" s="25"/>
      <c r="AS3" s="25"/>
      <c r="AT3" s="28"/>
      <c r="AU3" s="28"/>
      <c r="AV3" s="31"/>
      <c r="AW3" s="22"/>
    </row>
    <row r="4" spans="1:49" ht="12.75" customHeight="1" x14ac:dyDescent="0.5">
      <c r="A4" s="24"/>
      <c r="B4" s="25"/>
      <c r="C4" s="25"/>
      <c r="D4" s="25"/>
      <c r="E4" s="25"/>
      <c r="F4" s="25"/>
      <c r="G4" s="30"/>
      <c r="H4" s="25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30"/>
      <c r="AF4" s="30" t="s">
        <v>125</v>
      </c>
      <c r="AG4" s="25"/>
      <c r="AH4" s="30"/>
      <c r="AI4" s="30"/>
      <c r="AJ4" s="30"/>
      <c r="AK4" s="25"/>
      <c r="AL4" s="25"/>
      <c r="AM4" s="25"/>
      <c r="AN4" s="25"/>
      <c r="AO4" s="25"/>
      <c r="AP4" s="25"/>
      <c r="AQ4" s="25"/>
      <c r="AR4" s="25"/>
      <c r="AS4" s="25"/>
      <c r="AT4" s="28"/>
      <c r="AU4" s="28"/>
      <c r="AV4" s="32"/>
      <c r="AW4" s="22"/>
    </row>
    <row r="5" spans="1:49" ht="12.75" customHeight="1" x14ac:dyDescent="0.45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33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34"/>
      <c r="AW5" s="22"/>
    </row>
    <row r="6" spans="1:49" ht="16.5" customHeight="1" x14ac:dyDescent="0.5">
      <c r="A6" s="24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19"/>
      <c r="AP6" s="19"/>
      <c r="AQ6" s="19"/>
      <c r="AR6" s="25"/>
      <c r="AS6" s="25"/>
      <c r="AT6" s="35"/>
      <c r="AU6" s="35"/>
      <c r="AV6" s="36"/>
      <c r="AW6" s="22"/>
    </row>
    <row r="7" spans="1:49" ht="16.350000000000001" customHeight="1" x14ac:dyDescent="0.45">
      <c r="A7" s="24"/>
      <c r="B7" s="37" t="s">
        <v>193</v>
      </c>
      <c r="C7" s="5"/>
      <c r="D7" s="5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5" t="s">
        <v>429</v>
      </c>
      <c r="V7" s="5"/>
      <c r="W7" s="5"/>
      <c r="X7" s="5"/>
      <c r="Y7" s="5"/>
      <c r="Z7" s="5"/>
      <c r="AA7" s="5"/>
      <c r="AB7" s="5"/>
      <c r="AC7" s="5"/>
      <c r="AD7" s="5"/>
      <c r="AE7" s="6"/>
      <c r="AF7" s="6"/>
      <c r="AG7" s="6"/>
      <c r="AH7" s="6"/>
      <c r="AI7" s="6"/>
      <c r="AJ7" s="6"/>
      <c r="AK7" s="6"/>
      <c r="AL7" s="6"/>
      <c r="AM7" s="6"/>
      <c r="AN7" s="6"/>
      <c r="AO7" s="5" t="s">
        <v>35</v>
      </c>
      <c r="AP7" s="5"/>
      <c r="AQ7" s="5"/>
      <c r="AR7" s="7"/>
      <c r="AS7" s="7"/>
      <c r="AT7" s="7"/>
      <c r="AU7" s="7"/>
      <c r="AV7" s="8"/>
      <c r="AW7" s="22"/>
    </row>
    <row r="8" spans="1:49" ht="16.350000000000001" customHeight="1" x14ac:dyDescent="0.45">
      <c r="A8" s="24"/>
      <c r="B8" s="37" t="s">
        <v>36</v>
      </c>
      <c r="C8" s="5"/>
      <c r="D8" s="5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10" t="s">
        <v>37</v>
      </c>
      <c r="V8" s="10"/>
      <c r="W8" s="10"/>
      <c r="X8" s="10"/>
      <c r="Y8" s="10"/>
      <c r="Z8" s="10"/>
      <c r="AA8" s="10"/>
      <c r="AB8" s="10"/>
      <c r="AC8" s="10"/>
      <c r="AD8" s="10"/>
      <c r="AE8" s="9"/>
      <c r="AF8" s="9"/>
      <c r="AG8" s="9"/>
      <c r="AH8" s="9"/>
      <c r="AI8" s="9"/>
      <c r="AJ8" s="9"/>
      <c r="AK8" s="9"/>
      <c r="AL8" s="9"/>
      <c r="AM8" s="9"/>
      <c r="AN8" s="9"/>
      <c r="AO8" s="10" t="s">
        <v>38</v>
      </c>
      <c r="AP8" s="10"/>
      <c r="AQ8" s="10"/>
      <c r="AR8" s="11"/>
      <c r="AS8" s="11"/>
      <c r="AT8" s="11"/>
      <c r="AU8" s="11"/>
      <c r="AV8" s="12"/>
      <c r="AW8" s="22"/>
    </row>
    <row r="9" spans="1:49" ht="16.350000000000001" customHeight="1" x14ac:dyDescent="0.45">
      <c r="A9" s="24"/>
      <c r="B9" s="37" t="s">
        <v>194</v>
      </c>
      <c r="C9" s="5"/>
      <c r="D9" s="5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5" t="s">
        <v>39</v>
      </c>
      <c r="V9" s="5"/>
      <c r="W9" s="5"/>
      <c r="X9" s="5"/>
      <c r="Y9" s="5"/>
      <c r="Z9" s="5"/>
      <c r="AA9" s="5"/>
      <c r="AB9" s="5"/>
      <c r="AC9" s="5"/>
      <c r="AD9" s="5"/>
      <c r="AE9" s="9" t="s">
        <v>195</v>
      </c>
      <c r="AF9" s="9"/>
      <c r="AG9" s="9"/>
      <c r="AH9" s="9"/>
      <c r="AI9" s="9"/>
      <c r="AJ9" s="9"/>
      <c r="AK9" s="9"/>
      <c r="AL9" s="9"/>
      <c r="AM9" s="9"/>
      <c r="AN9" s="9"/>
      <c r="AO9" s="5" t="s">
        <v>430</v>
      </c>
      <c r="AP9" s="5"/>
      <c r="AQ9" s="5"/>
      <c r="AR9" s="11"/>
      <c r="AS9" s="11"/>
      <c r="AT9" s="11"/>
      <c r="AU9" s="11"/>
      <c r="AV9" s="12"/>
      <c r="AW9" s="22"/>
    </row>
    <row r="10" spans="1:49" ht="16.5" customHeight="1" thickBot="1" x14ac:dyDescent="0.5">
      <c r="A10" s="24"/>
      <c r="B10" s="25"/>
      <c r="C10" s="25"/>
      <c r="D10" s="38"/>
      <c r="E10" s="38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38"/>
      <c r="AF10" s="25"/>
      <c r="AG10" s="25"/>
      <c r="AI10" s="38"/>
      <c r="AJ10" s="38"/>
      <c r="AK10" s="25"/>
      <c r="AM10" s="38"/>
      <c r="AN10" s="25"/>
      <c r="AO10" s="40"/>
      <c r="AP10" s="40"/>
      <c r="AQ10" s="40"/>
      <c r="AR10" s="40"/>
      <c r="AS10" s="40"/>
      <c r="AU10" s="33"/>
      <c r="AV10" s="41"/>
      <c r="AW10" s="22"/>
    </row>
    <row r="11" spans="1:49" ht="15" customHeight="1" thickTop="1" x14ac:dyDescent="0.45">
      <c r="A11" s="19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5"/>
      <c r="AW11" s="22"/>
    </row>
    <row r="12" spans="1:49" ht="15" customHeight="1" x14ac:dyDescent="0.45">
      <c r="A12" s="19"/>
      <c r="B12" s="16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8"/>
      <c r="AW12" s="22"/>
    </row>
    <row r="13" spans="1:49" ht="15" customHeight="1" x14ac:dyDescent="0.45">
      <c r="A13" s="19"/>
      <c r="B13" s="16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8"/>
      <c r="AW13" s="22"/>
    </row>
    <row r="14" spans="1:49" ht="15" customHeight="1" x14ac:dyDescent="0.45">
      <c r="A14" s="19"/>
      <c r="B14" s="16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8"/>
      <c r="AW14" s="22"/>
    </row>
    <row r="15" spans="1:49" ht="15" customHeight="1" x14ac:dyDescent="0.45">
      <c r="A15" s="19"/>
      <c r="B15" s="16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8"/>
      <c r="AW15" s="22"/>
    </row>
    <row r="16" spans="1:49" ht="15" customHeight="1" x14ac:dyDescent="0.45">
      <c r="A16" s="19"/>
      <c r="B16" s="16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8"/>
      <c r="AW16" s="22"/>
    </row>
    <row r="17" spans="1:49" ht="15" customHeight="1" x14ac:dyDescent="0.45">
      <c r="A17" s="19"/>
      <c r="B17" s="16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8"/>
      <c r="AW17" s="22"/>
    </row>
    <row r="18" spans="1:49" ht="15" customHeight="1" x14ac:dyDescent="0.45">
      <c r="A18" s="19"/>
      <c r="B18" s="16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8"/>
      <c r="AW18" s="22"/>
    </row>
    <row r="19" spans="1:49" ht="15" customHeight="1" x14ac:dyDescent="0.45">
      <c r="A19" s="19"/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8"/>
      <c r="AW19" s="22"/>
    </row>
    <row r="20" spans="1:49" ht="15" customHeight="1" x14ac:dyDescent="0.45">
      <c r="A20" s="19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8"/>
      <c r="AW20" s="22"/>
    </row>
    <row r="21" spans="1:49" ht="15" customHeight="1" x14ac:dyDescent="0.45">
      <c r="A21" s="19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8"/>
      <c r="AW21" s="22"/>
    </row>
    <row r="22" spans="1:49" ht="15" customHeight="1" x14ac:dyDescent="0.45">
      <c r="A22" s="19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8"/>
      <c r="AW22" s="22"/>
    </row>
    <row r="23" spans="1:49" ht="15" customHeight="1" x14ac:dyDescent="0.45">
      <c r="A23" s="19"/>
      <c r="B23" s="16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8"/>
      <c r="AW23" s="22"/>
    </row>
    <row r="24" spans="1:49" ht="15" customHeight="1" x14ac:dyDescent="0.45">
      <c r="A24" s="19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8"/>
      <c r="AW24" s="22"/>
    </row>
    <row r="25" spans="1:49" ht="15" customHeight="1" x14ac:dyDescent="0.45">
      <c r="A25" s="19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8"/>
      <c r="AW25" s="22"/>
    </row>
    <row r="26" spans="1:49" ht="15" customHeight="1" x14ac:dyDescent="0.45">
      <c r="A26" s="19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8"/>
      <c r="AW26" s="22"/>
    </row>
    <row r="27" spans="1:49" ht="15" customHeight="1" x14ac:dyDescent="0.45">
      <c r="A27" s="19"/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8"/>
      <c r="AW27" s="22"/>
    </row>
    <row r="28" spans="1:49" ht="15" customHeight="1" x14ac:dyDescent="0.45">
      <c r="A28" s="19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8"/>
      <c r="AW28" s="22"/>
    </row>
    <row r="29" spans="1:49" ht="15" customHeight="1" x14ac:dyDescent="0.45">
      <c r="A29" s="19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8"/>
      <c r="AW29" s="22"/>
    </row>
    <row r="30" spans="1:49" ht="15" customHeight="1" x14ac:dyDescent="0.45">
      <c r="A30" s="19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8"/>
      <c r="AW30" s="22"/>
    </row>
    <row r="31" spans="1:49" ht="15" customHeight="1" x14ac:dyDescent="0.45">
      <c r="A31" s="19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8"/>
      <c r="AW31" s="22"/>
    </row>
    <row r="32" spans="1:49" ht="15" customHeight="1" x14ac:dyDescent="0.45">
      <c r="A32" s="19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8"/>
      <c r="AW32" s="22"/>
    </row>
    <row r="33" spans="1:49" ht="15" customHeight="1" x14ac:dyDescent="0.45">
      <c r="A33" s="19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8"/>
      <c r="AW33" s="22"/>
    </row>
    <row r="34" spans="1:49" ht="15" customHeight="1" x14ac:dyDescent="0.45">
      <c r="A34" s="19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8"/>
      <c r="AW34" s="22"/>
    </row>
    <row r="35" spans="1:49" ht="15" customHeight="1" x14ac:dyDescent="0.45">
      <c r="A35" s="19"/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8"/>
      <c r="AW35" s="22"/>
    </row>
    <row r="36" spans="1:49" ht="15" customHeight="1" x14ac:dyDescent="0.45">
      <c r="A36" s="19"/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8"/>
      <c r="AW36" s="22"/>
    </row>
    <row r="37" spans="1:49" ht="15" customHeight="1" x14ac:dyDescent="0.45">
      <c r="A37" s="19"/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8"/>
      <c r="AW37" s="22"/>
    </row>
    <row r="38" spans="1:49" ht="15" customHeight="1" x14ac:dyDescent="0.45">
      <c r="A38" s="19"/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8"/>
      <c r="AW38" s="22"/>
    </row>
    <row r="39" spans="1:49" ht="15" customHeight="1" x14ac:dyDescent="0.45">
      <c r="A39" s="19"/>
      <c r="B39" s="16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8"/>
      <c r="AW39" s="22"/>
    </row>
    <row r="40" spans="1:49" ht="15" customHeight="1" x14ac:dyDescent="0.45">
      <c r="A40" s="19"/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8"/>
      <c r="AW40" s="22"/>
    </row>
    <row r="41" spans="1:49" ht="15" customHeight="1" x14ac:dyDescent="0.45">
      <c r="A41" s="19"/>
      <c r="B41" s="16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8"/>
      <c r="AW41" s="22"/>
    </row>
    <row r="42" spans="1:49" ht="15" customHeight="1" x14ac:dyDescent="0.45">
      <c r="A42" s="19"/>
      <c r="B42" s="16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8"/>
      <c r="AW42" s="22"/>
    </row>
    <row r="43" spans="1:49" ht="15" customHeight="1" x14ac:dyDescent="0.45">
      <c r="A43" s="19"/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8"/>
      <c r="AW43" s="22"/>
    </row>
    <row r="44" spans="1:49" ht="15" customHeight="1" thickBot="1" x14ac:dyDescent="0.5">
      <c r="A44" s="19"/>
      <c r="B44" s="42" t="s">
        <v>226</v>
      </c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4"/>
      <c r="AW44" s="22"/>
    </row>
    <row r="45" spans="1:49" ht="12.75" customHeight="1" thickTop="1" x14ac:dyDescent="0.45">
      <c r="A45" s="19"/>
      <c r="B45" s="33"/>
      <c r="C45" s="45"/>
      <c r="D45" s="45"/>
      <c r="E45" s="45"/>
      <c r="F45" s="45"/>
      <c r="G45" s="46"/>
      <c r="H45" s="45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2"/>
    </row>
    <row r="46" spans="1:49" ht="12.75" customHeight="1" x14ac:dyDescent="0.45">
      <c r="A46" s="19"/>
      <c r="B46" s="49" t="s">
        <v>196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22"/>
    </row>
    <row r="47" spans="1:49" ht="18" customHeight="1" x14ac:dyDescent="0.45">
      <c r="A47" s="19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2"/>
    </row>
    <row r="48" spans="1:49" ht="48.75" customHeight="1" x14ac:dyDescent="0.45">
      <c r="A48" s="19"/>
      <c r="B48" s="50" t="s">
        <v>40</v>
      </c>
      <c r="C48" s="51"/>
      <c r="D48" s="52"/>
      <c r="E48" s="50" t="s">
        <v>41</v>
      </c>
      <c r="F48" s="51"/>
      <c r="G48" s="52"/>
      <c r="H48" s="53" t="s">
        <v>124</v>
      </c>
      <c r="I48" s="54"/>
      <c r="J48" s="55"/>
      <c r="K48" s="50" t="s">
        <v>42</v>
      </c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2"/>
      <c r="AK48" s="53" t="s">
        <v>43</v>
      </c>
      <c r="AL48" s="54"/>
      <c r="AM48" s="54"/>
      <c r="AN48" s="54"/>
      <c r="AO48" s="55"/>
      <c r="AP48" s="53" t="s">
        <v>44</v>
      </c>
      <c r="AQ48" s="55"/>
      <c r="AR48" s="56" t="s">
        <v>197</v>
      </c>
      <c r="AS48" s="56"/>
      <c r="AT48" s="56"/>
      <c r="AU48" s="56"/>
      <c r="AV48" s="56"/>
      <c r="AW48" s="22"/>
    </row>
    <row r="49" spans="1:81" ht="12.75" customHeight="1" x14ac:dyDescent="0.45">
      <c r="A49" s="19"/>
      <c r="B49" s="57">
        <v>1</v>
      </c>
      <c r="C49" s="58"/>
      <c r="D49" s="59"/>
      <c r="E49" s="60"/>
      <c r="F49" s="61"/>
      <c r="G49" s="62"/>
      <c r="H49" s="63"/>
      <c r="I49" s="64"/>
      <c r="J49" s="65"/>
      <c r="K49" s="66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8"/>
      <c r="AK49" s="69"/>
      <c r="AL49" s="70"/>
      <c r="AM49" s="70"/>
      <c r="AN49" s="70"/>
      <c r="AO49" s="71"/>
      <c r="AP49" s="72"/>
      <c r="AQ49" s="73"/>
      <c r="AR49" s="74"/>
      <c r="AS49" s="74"/>
      <c r="AT49" s="74"/>
      <c r="AU49" s="74"/>
      <c r="AV49" s="74"/>
      <c r="AW49" s="22"/>
    </row>
    <row r="50" spans="1:81" ht="12.75" customHeight="1" x14ac:dyDescent="0.45">
      <c r="A50" s="19"/>
      <c r="B50" s="57">
        <v>2</v>
      </c>
      <c r="C50" s="58"/>
      <c r="D50" s="59"/>
      <c r="E50" s="60"/>
      <c r="F50" s="61"/>
      <c r="G50" s="62"/>
      <c r="H50" s="63"/>
      <c r="I50" s="64"/>
      <c r="J50" s="65"/>
      <c r="K50" s="66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8"/>
      <c r="AK50" s="69"/>
      <c r="AL50" s="70"/>
      <c r="AM50" s="70"/>
      <c r="AN50" s="70"/>
      <c r="AO50" s="71"/>
      <c r="AP50" s="72"/>
      <c r="AQ50" s="73"/>
      <c r="AR50" s="74"/>
      <c r="AS50" s="74"/>
      <c r="AT50" s="74"/>
      <c r="AU50" s="74"/>
      <c r="AV50" s="74"/>
      <c r="AW50" s="22"/>
    </row>
    <row r="51" spans="1:81" ht="12.75" customHeight="1" x14ac:dyDescent="0.45">
      <c r="A51" s="19"/>
      <c r="B51" s="57">
        <v>3</v>
      </c>
      <c r="C51" s="58"/>
      <c r="D51" s="59"/>
      <c r="E51" s="60"/>
      <c r="F51" s="61"/>
      <c r="G51" s="62"/>
      <c r="H51" s="63"/>
      <c r="I51" s="64"/>
      <c r="J51" s="65"/>
      <c r="K51" s="66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8"/>
      <c r="AK51" s="69"/>
      <c r="AL51" s="70"/>
      <c r="AM51" s="70"/>
      <c r="AN51" s="70"/>
      <c r="AO51" s="71"/>
      <c r="AP51" s="72"/>
      <c r="AQ51" s="73"/>
      <c r="AR51" s="74"/>
      <c r="AS51" s="74"/>
      <c r="AT51" s="74"/>
      <c r="AU51" s="74"/>
      <c r="AV51" s="74"/>
      <c r="AW51" s="22"/>
    </row>
    <row r="52" spans="1:81" ht="12.75" customHeight="1" x14ac:dyDescent="0.45">
      <c r="A52" s="19"/>
      <c r="B52" s="57">
        <v>4</v>
      </c>
      <c r="C52" s="58"/>
      <c r="D52" s="59"/>
      <c r="E52" s="60"/>
      <c r="F52" s="61"/>
      <c r="G52" s="75"/>
      <c r="H52" s="63"/>
      <c r="I52" s="64"/>
      <c r="J52" s="65"/>
      <c r="K52" s="66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8"/>
      <c r="AK52" s="69"/>
      <c r="AL52" s="70"/>
      <c r="AM52" s="70"/>
      <c r="AN52" s="70"/>
      <c r="AO52" s="71"/>
      <c r="AP52" s="72"/>
      <c r="AQ52" s="73"/>
      <c r="AR52" s="74"/>
      <c r="AS52" s="74"/>
      <c r="AT52" s="74"/>
      <c r="AU52" s="74"/>
      <c r="AV52" s="74"/>
      <c r="AW52" s="22"/>
    </row>
    <row r="53" spans="1:81" ht="12.75" customHeight="1" x14ac:dyDescent="0.45">
      <c r="A53" s="19"/>
      <c r="B53" s="57">
        <v>5</v>
      </c>
      <c r="C53" s="58"/>
      <c r="D53" s="59"/>
      <c r="E53" s="60"/>
      <c r="F53" s="61"/>
      <c r="G53" s="75"/>
      <c r="H53" s="63"/>
      <c r="I53" s="64"/>
      <c r="J53" s="65"/>
      <c r="K53" s="66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8"/>
      <c r="AK53" s="69"/>
      <c r="AL53" s="70"/>
      <c r="AM53" s="70"/>
      <c r="AN53" s="70"/>
      <c r="AO53" s="71"/>
      <c r="AP53" s="72"/>
      <c r="AQ53" s="73"/>
      <c r="AR53" s="74"/>
      <c r="AS53" s="74"/>
      <c r="AT53" s="74"/>
      <c r="AU53" s="74"/>
      <c r="AV53" s="74"/>
      <c r="AW53" s="22"/>
    </row>
    <row r="54" spans="1:81" ht="12.75" customHeight="1" x14ac:dyDescent="0.45">
      <c r="A54" s="19"/>
      <c r="B54" s="57">
        <v>6</v>
      </c>
      <c r="C54" s="58"/>
      <c r="D54" s="59"/>
      <c r="E54" s="60"/>
      <c r="F54" s="61"/>
      <c r="G54" s="75"/>
      <c r="H54" s="63"/>
      <c r="I54" s="64"/>
      <c r="J54" s="65"/>
      <c r="K54" s="66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/>
      <c r="AI54" s="67"/>
      <c r="AJ54" s="68"/>
      <c r="AK54" s="69"/>
      <c r="AL54" s="70"/>
      <c r="AM54" s="70"/>
      <c r="AN54" s="70"/>
      <c r="AO54" s="71"/>
      <c r="AP54" s="72"/>
      <c r="AQ54" s="73"/>
      <c r="AR54" s="74"/>
      <c r="AS54" s="74"/>
      <c r="AT54" s="74"/>
      <c r="AU54" s="74"/>
      <c r="AV54" s="74"/>
      <c r="AW54" s="22"/>
    </row>
    <row r="55" spans="1:81" ht="12.75" customHeight="1" x14ac:dyDescent="0.45">
      <c r="A55" s="19"/>
      <c r="B55" s="57">
        <v>7</v>
      </c>
      <c r="C55" s="58"/>
      <c r="D55" s="59"/>
      <c r="E55" s="60"/>
      <c r="F55" s="61"/>
      <c r="G55" s="75"/>
      <c r="H55" s="63"/>
      <c r="I55" s="64"/>
      <c r="J55" s="65"/>
      <c r="K55" s="66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8"/>
      <c r="AK55" s="69"/>
      <c r="AL55" s="70"/>
      <c r="AM55" s="70"/>
      <c r="AN55" s="70"/>
      <c r="AO55" s="71"/>
      <c r="AP55" s="72"/>
      <c r="AQ55" s="73"/>
      <c r="AR55" s="74"/>
      <c r="AS55" s="74"/>
      <c r="AT55" s="74"/>
      <c r="AU55" s="74"/>
      <c r="AV55" s="74"/>
      <c r="AW55" s="22"/>
    </row>
    <row r="56" spans="1:81" ht="12.75" customHeight="1" x14ac:dyDescent="0.5">
      <c r="A56" s="19"/>
      <c r="B56" s="57">
        <v>8</v>
      </c>
      <c r="C56" s="58"/>
      <c r="D56" s="59"/>
      <c r="E56" s="60"/>
      <c r="F56" s="61"/>
      <c r="G56" s="75"/>
      <c r="H56" s="63"/>
      <c r="I56" s="64"/>
      <c r="J56" s="65"/>
      <c r="K56" s="66" t="str">
        <f>VLOOKUP(H56,'Lista Defeitos'!$1:$1048576,3)</f>
        <v>-</v>
      </c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67"/>
      <c r="AJ56" s="68"/>
      <c r="AK56" s="69"/>
      <c r="AL56" s="70"/>
      <c r="AM56" s="70"/>
      <c r="AN56" s="70"/>
      <c r="AO56" s="71"/>
      <c r="AP56" s="72"/>
      <c r="AQ56" s="73"/>
      <c r="AR56" s="74"/>
      <c r="AS56" s="74"/>
      <c r="AT56" s="74"/>
      <c r="AU56" s="74"/>
      <c r="AV56" s="74"/>
      <c r="AW56" s="22"/>
      <c r="CC56" s="76"/>
    </row>
    <row r="57" spans="1:81" ht="12.75" customHeight="1" x14ac:dyDescent="0.45">
      <c r="A57" s="19"/>
      <c r="B57" s="57">
        <v>9</v>
      </c>
      <c r="C57" s="58"/>
      <c r="D57" s="59"/>
      <c r="E57" s="60"/>
      <c r="F57" s="61"/>
      <c r="G57" s="75"/>
      <c r="H57" s="63"/>
      <c r="I57" s="64"/>
      <c r="J57" s="65"/>
      <c r="K57" s="66" t="str">
        <f>VLOOKUP(H57,'Lista Defeitos'!$1:$1048576,3)</f>
        <v>-</v>
      </c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8"/>
      <c r="AK57" s="69"/>
      <c r="AL57" s="70"/>
      <c r="AM57" s="70"/>
      <c r="AN57" s="70"/>
      <c r="AO57" s="71"/>
      <c r="AP57" s="72"/>
      <c r="AQ57" s="73"/>
      <c r="AR57" s="74"/>
      <c r="AS57" s="74"/>
      <c r="AT57" s="74"/>
      <c r="AU57" s="74"/>
      <c r="AV57" s="74"/>
      <c r="AW57" s="22"/>
    </row>
    <row r="58" spans="1:81" ht="12.75" customHeight="1" x14ac:dyDescent="0.45">
      <c r="A58" s="19"/>
      <c r="B58" s="57">
        <v>10</v>
      </c>
      <c r="C58" s="58"/>
      <c r="D58" s="59"/>
      <c r="E58" s="60"/>
      <c r="F58" s="61"/>
      <c r="G58" s="75"/>
      <c r="H58" s="63"/>
      <c r="I58" s="64"/>
      <c r="J58" s="65"/>
      <c r="K58" s="66" t="str">
        <f>VLOOKUP(H58,'Lista Defeitos'!$1:$1048576,3)</f>
        <v>-</v>
      </c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  <c r="AE58" s="67"/>
      <c r="AF58" s="67"/>
      <c r="AG58" s="67"/>
      <c r="AH58" s="67"/>
      <c r="AI58" s="67"/>
      <c r="AJ58" s="68"/>
      <c r="AK58" s="69"/>
      <c r="AL58" s="70"/>
      <c r="AM58" s="70"/>
      <c r="AN58" s="70"/>
      <c r="AO58" s="71"/>
      <c r="AP58" s="72"/>
      <c r="AQ58" s="73"/>
      <c r="AR58" s="74"/>
      <c r="AS58" s="74"/>
      <c r="AT58" s="74"/>
      <c r="AU58" s="74"/>
      <c r="AV58" s="74"/>
      <c r="AW58" s="22"/>
    </row>
    <row r="59" spans="1:81" ht="12.75" customHeight="1" x14ac:dyDescent="0.45">
      <c r="A59" s="19"/>
      <c r="B59" s="57">
        <v>11</v>
      </c>
      <c r="C59" s="58"/>
      <c r="D59" s="59"/>
      <c r="E59" s="60"/>
      <c r="F59" s="61"/>
      <c r="G59" s="75"/>
      <c r="H59" s="63"/>
      <c r="I59" s="64"/>
      <c r="J59" s="65"/>
      <c r="K59" s="66" t="str">
        <f>VLOOKUP(H59,'Lista Defeitos'!$1:$1048576,3)</f>
        <v>-</v>
      </c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8"/>
      <c r="AK59" s="69"/>
      <c r="AL59" s="70"/>
      <c r="AM59" s="70"/>
      <c r="AN59" s="70"/>
      <c r="AO59" s="71"/>
      <c r="AP59" s="72"/>
      <c r="AQ59" s="73"/>
      <c r="AR59" s="74"/>
      <c r="AS59" s="74"/>
      <c r="AT59" s="74"/>
      <c r="AU59" s="74"/>
      <c r="AV59" s="74"/>
      <c r="AW59" s="22"/>
    </row>
    <row r="60" spans="1:81" ht="12.75" customHeight="1" x14ac:dyDescent="0.45">
      <c r="A60" s="19"/>
      <c r="B60" s="57">
        <v>12</v>
      </c>
      <c r="C60" s="58"/>
      <c r="D60" s="59"/>
      <c r="E60" s="60"/>
      <c r="F60" s="61"/>
      <c r="G60" s="75"/>
      <c r="H60" s="63"/>
      <c r="I60" s="64"/>
      <c r="J60" s="65"/>
      <c r="K60" s="66" t="str">
        <f>VLOOKUP(H60,'Lista Defeitos'!$1:$1048576,3)</f>
        <v>-</v>
      </c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8"/>
      <c r="AK60" s="69"/>
      <c r="AL60" s="70"/>
      <c r="AM60" s="70"/>
      <c r="AN60" s="70"/>
      <c r="AO60" s="71"/>
      <c r="AP60" s="72"/>
      <c r="AQ60" s="73"/>
      <c r="AR60" s="74"/>
      <c r="AS60" s="74"/>
      <c r="AT60" s="74"/>
      <c r="AU60" s="74"/>
      <c r="AV60" s="74"/>
      <c r="AW60" s="22"/>
    </row>
    <row r="61" spans="1:81" ht="12.75" customHeight="1" x14ac:dyDescent="0.45">
      <c r="A61" s="19"/>
      <c r="B61" s="77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2"/>
    </row>
    <row r="62" spans="1:81" ht="15" customHeight="1" x14ac:dyDescent="0.45">
      <c r="A62" s="19"/>
      <c r="B62" s="78"/>
      <c r="C62" s="79"/>
      <c r="D62" s="79"/>
      <c r="E62" s="79"/>
      <c r="F62" s="79"/>
      <c r="G62" s="79"/>
      <c r="H62" s="79"/>
      <c r="I62" s="79"/>
      <c r="J62" s="79"/>
      <c r="K62" s="80" t="s">
        <v>185</v>
      </c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1" t="s">
        <v>186</v>
      </c>
      <c r="W62" s="81"/>
      <c r="X62" s="81"/>
      <c r="Y62" s="81"/>
      <c r="Z62" s="81"/>
      <c r="AA62" s="81"/>
      <c r="AB62" s="81"/>
      <c r="AC62" s="81"/>
      <c r="AD62" s="81"/>
      <c r="AE62" s="79"/>
      <c r="AF62" s="79"/>
      <c r="AG62" s="79"/>
      <c r="AH62" s="79"/>
      <c r="AI62" s="79"/>
      <c r="AJ62" s="79"/>
      <c r="AK62" s="79"/>
      <c r="AL62" s="50" t="s">
        <v>185</v>
      </c>
      <c r="AM62" s="51"/>
      <c r="AN62" s="51"/>
      <c r="AO62" s="51"/>
      <c r="AP62" s="51"/>
      <c r="AQ62" s="51"/>
      <c r="AR62" s="82"/>
      <c r="AS62" s="80" t="s">
        <v>186</v>
      </c>
      <c r="AT62" s="80"/>
      <c r="AU62" s="80"/>
      <c r="AV62" s="80"/>
      <c r="AW62" s="22"/>
    </row>
    <row r="63" spans="1:81" ht="20.100000000000001" customHeight="1" x14ac:dyDescent="0.45">
      <c r="A63" s="19"/>
      <c r="B63" s="83" t="s">
        <v>198</v>
      </c>
      <c r="C63" s="84"/>
      <c r="D63" s="84"/>
      <c r="E63" s="84"/>
      <c r="F63" s="84"/>
      <c r="G63" s="84"/>
      <c r="H63" s="84"/>
      <c r="I63" s="84"/>
      <c r="J63" s="85"/>
      <c r="K63" s="69"/>
      <c r="L63" s="70"/>
      <c r="M63" s="70"/>
      <c r="N63" s="70"/>
      <c r="O63" s="70"/>
      <c r="P63" s="70"/>
      <c r="Q63" s="70"/>
      <c r="R63" s="70"/>
      <c r="S63" s="70"/>
      <c r="T63" s="70"/>
      <c r="U63" s="71"/>
      <c r="V63" s="69"/>
      <c r="W63" s="70"/>
      <c r="X63" s="70"/>
      <c r="Y63" s="70"/>
      <c r="Z63" s="70"/>
      <c r="AA63" s="70"/>
      <c r="AB63" s="70"/>
      <c r="AC63" s="70"/>
      <c r="AD63" s="71"/>
      <c r="AE63" s="86" t="s">
        <v>191</v>
      </c>
      <c r="AF63" s="87"/>
      <c r="AG63" s="87"/>
      <c r="AH63" s="87"/>
      <c r="AI63" s="87"/>
      <c r="AJ63" s="87"/>
      <c r="AK63" s="88"/>
      <c r="AL63" s="69"/>
      <c r="AM63" s="70"/>
      <c r="AN63" s="70"/>
      <c r="AO63" s="70"/>
      <c r="AP63" s="70"/>
      <c r="AQ63" s="71"/>
      <c r="AR63" s="89"/>
      <c r="AS63" s="72"/>
      <c r="AT63" s="90"/>
      <c r="AU63" s="90"/>
      <c r="AV63" s="73"/>
      <c r="AW63" s="22"/>
    </row>
    <row r="64" spans="1:81" ht="20.100000000000001" customHeight="1" x14ac:dyDescent="0.45">
      <c r="A64" s="19"/>
      <c r="B64" s="83" t="s">
        <v>190</v>
      </c>
      <c r="C64" s="84"/>
      <c r="D64" s="84"/>
      <c r="E64" s="84"/>
      <c r="F64" s="84"/>
      <c r="G64" s="84"/>
      <c r="H64" s="84"/>
      <c r="I64" s="84"/>
      <c r="J64" s="85"/>
      <c r="K64" s="69"/>
      <c r="L64" s="70"/>
      <c r="M64" s="70"/>
      <c r="N64" s="70"/>
      <c r="O64" s="70"/>
      <c r="P64" s="70"/>
      <c r="Q64" s="70"/>
      <c r="R64" s="70"/>
      <c r="S64" s="70"/>
      <c r="T64" s="70"/>
      <c r="U64" s="71"/>
      <c r="V64" s="91"/>
      <c r="W64" s="91"/>
      <c r="X64" s="91"/>
      <c r="Y64" s="91"/>
      <c r="Z64" s="91"/>
      <c r="AA64" s="91"/>
      <c r="AB64" s="91"/>
      <c r="AC64" s="91"/>
      <c r="AD64" s="91"/>
      <c r="AE64" s="86" t="s">
        <v>212</v>
      </c>
      <c r="AF64" s="87"/>
      <c r="AG64" s="87"/>
      <c r="AH64" s="87"/>
      <c r="AI64" s="87"/>
      <c r="AJ64" s="87"/>
      <c r="AK64" s="88"/>
      <c r="AL64" s="92"/>
      <c r="AM64" s="93"/>
      <c r="AN64" s="93"/>
      <c r="AO64" s="93"/>
      <c r="AP64" s="93"/>
      <c r="AQ64" s="93"/>
      <c r="AR64" s="94"/>
      <c r="AS64" s="95"/>
      <c r="AT64" s="96"/>
      <c r="AU64" s="96"/>
      <c r="AV64" s="97"/>
      <c r="AW64" s="22"/>
    </row>
    <row r="65" spans="1:61" ht="20.100000000000001" customHeight="1" x14ac:dyDescent="0.45">
      <c r="A65" s="19"/>
      <c r="B65" s="83" t="s">
        <v>46</v>
      </c>
      <c r="C65" s="84"/>
      <c r="D65" s="84"/>
      <c r="E65" s="84"/>
      <c r="F65" s="84"/>
      <c r="G65" s="84"/>
      <c r="H65" s="84"/>
      <c r="I65" s="84"/>
      <c r="J65" s="85"/>
      <c r="K65" s="69"/>
      <c r="L65" s="70"/>
      <c r="M65" s="70"/>
      <c r="N65" s="70"/>
      <c r="O65" s="70"/>
      <c r="P65" s="70"/>
      <c r="Q65" s="70"/>
      <c r="R65" s="70"/>
      <c r="S65" s="70"/>
      <c r="T65" s="70"/>
      <c r="U65" s="71"/>
      <c r="V65" s="91"/>
      <c r="W65" s="91"/>
      <c r="X65" s="91"/>
      <c r="Y65" s="91"/>
      <c r="Z65" s="91"/>
      <c r="AA65" s="91"/>
      <c r="AB65" s="91"/>
      <c r="AC65" s="91"/>
      <c r="AD65" s="91"/>
      <c r="AE65" s="86" t="s">
        <v>187</v>
      </c>
      <c r="AF65" s="87"/>
      <c r="AG65" s="87"/>
      <c r="AH65" s="87"/>
      <c r="AI65" s="87"/>
      <c r="AJ65" s="87"/>
      <c r="AK65" s="88"/>
      <c r="AL65" s="69"/>
      <c r="AM65" s="70"/>
      <c r="AN65" s="70"/>
      <c r="AO65" s="70"/>
      <c r="AP65" s="70"/>
      <c r="AQ65" s="70"/>
      <c r="AR65" s="98"/>
      <c r="AS65" s="99"/>
      <c r="AT65" s="99"/>
      <c r="AU65" s="99"/>
      <c r="AV65" s="99"/>
      <c r="AW65" s="22"/>
    </row>
    <row r="66" spans="1:61" ht="20.100000000000001" customHeight="1" x14ac:dyDescent="0.45">
      <c r="A66" s="19"/>
      <c r="B66" s="83" t="s">
        <v>188</v>
      </c>
      <c r="C66" s="84"/>
      <c r="D66" s="84"/>
      <c r="E66" s="84"/>
      <c r="F66" s="84"/>
      <c r="G66" s="84"/>
      <c r="H66" s="84"/>
      <c r="I66" s="84"/>
      <c r="J66" s="85"/>
      <c r="K66" s="69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1"/>
      <c r="AE66" s="86" t="s">
        <v>314</v>
      </c>
      <c r="AF66" s="87"/>
      <c r="AG66" s="87"/>
      <c r="AH66" s="87"/>
      <c r="AI66" s="87"/>
      <c r="AJ66" s="87"/>
      <c r="AK66" s="88"/>
      <c r="AL66" s="69"/>
      <c r="AM66" s="70"/>
      <c r="AN66" s="70"/>
      <c r="AO66" s="70"/>
      <c r="AP66" s="70"/>
      <c r="AQ66" s="71"/>
      <c r="AR66" s="100"/>
      <c r="AS66" s="101"/>
      <c r="AT66" s="102"/>
      <c r="AU66" s="102"/>
      <c r="AV66" s="103"/>
      <c r="AW66" s="22"/>
    </row>
    <row r="67" spans="1:61" s="105" customFormat="1" ht="20.100000000000001" customHeight="1" x14ac:dyDescent="0.45">
      <c r="A67" s="104"/>
      <c r="B67" s="83" t="s">
        <v>420</v>
      </c>
      <c r="C67" s="84"/>
      <c r="D67" s="84"/>
      <c r="E67" s="84"/>
      <c r="F67" s="84"/>
      <c r="G67" s="84"/>
      <c r="H67" s="84"/>
      <c r="I67" s="84"/>
      <c r="J67" s="85"/>
      <c r="K67" s="69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1"/>
      <c r="AE67" s="86" t="s">
        <v>315</v>
      </c>
      <c r="AF67" s="87"/>
      <c r="AG67" s="87"/>
      <c r="AH67" s="87"/>
      <c r="AI67" s="87"/>
      <c r="AJ67" s="87"/>
      <c r="AK67" s="88"/>
      <c r="AL67" s="69"/>
      <c r="AM67" s="70"/>
      <c r="AN67" s="70"/>
      <c r="AO67" s="70"/>
      <c r="AP67" s="70"/>
      <c r="AQ67" s="71"/>
      <c r="AR67" s="100"/>
      <c r="AS67" s="101"/>
      <c r="AT67" s="102"/>
      <c r="AU67" s="102"/>
      <c r="AV67" s="103"/>
      <c r="AW67" s="22"/>
      <c r="BB67" s="106"/>
      <c r="BD67" s="107"/>
      <c r="BE67" s="107"/>
      <c r="BF67" s="107"/>
      <c r="BG67" s="107"/>
      <c r="BH67" s="108"/>
      <c r="BI67" s="108"/>
    </row>
    <row r="68" spans="1:61" s="105" customFormat="1" ht="20.100000000000001" customHeight="1" x14ac:dyDescent="0.45">
      <c r="A68" s="104"/>
      <c r="B68" s="83" t="s">
        <v>347</v>
      </c>
      <c r="C68" s="84"/>
      <c r="D68" s="84"/>
      <c r="E68" s="84"/>
      <c r="F68" s="84"/>
      <c r="G68" s="84"/>
      <c r="H68" s="84"/>
      <c r="I68" s="84"/>
      <c r="J68" s="85"/>
      <c r="K68" s="69"/>
      <c r="L68" s="70"/>
      <c r="M68" s="70"/>
      <c r="N68" s="70"/>
      <c r="O68" s="70"/>
      <c r="P68" s="70"/>
      <c r="Q68" s="70"/>
      <c r="R68" s="70"/>
      <c r="S68" s="70"/>
      <c r="T68" s="70"/>
      <c r="U68" s="71"/>
      <c r="V68" s="69"/>
      <c r="W68" s="70"/>
      <c r="X68" s="70"/>
      <c r="Y68" s="70"/>
      <c r="Z68" s="70"/>
      <c r="AA68" s="70"/>
      <c r="AB68" s="70"/>
      <c r="AC68" s="70"/>
      <c r="AD68" s="71"/>
      <c r="AE68" s="86"/>
      <c r="AF68" s="87"/>
      <c r="AG68" s="87"/>
      <c r="AH68" s="87"/>
      <c r="AI68" s="87"/>
      <c r="AJ68" s="87"/>
      <c r="AK68" s="88"/>
      <c r="AL68" s="72"/>
      <c r="AM68" s="90"/>
      <c r="AN68" s="90"/>
      <c r="AO68" s="90"/>
      <c r="AP68" s="90"/>
      <c r="AQ68" s="73"/>
      <c r="AR68" s="100"/>
      <c r="AS68" s="101"/>
      <c r="AT68" s="102"/>
      <c r="AU68" s="102"/>
      <c r="AV68" s="103"/>
      <c r="AW68" s="22"/>
      <c r="BB68" s="106"/>
      <c r="BD68" s="107"/>
      <c r="BE68" s="107"/>
      <c r="BF68" s="107"/>
      <c r="BG68" s="107"/>
      <c r="BH68" s="108"/>
      <c r="BI68" s="108"/>
    </row>
    <row r="69" spans="1:61" ht="12.75" customHeight="1" x14ac:dyDescent="0.45">
      <c r="A69" s="19"/>
      <c r="B69" s="77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2"/>
    </row>
    <row r="70" spans="1:61" ht="12.75" customHeight="1" x14ac:dyDescent="0.45">
      <c r="A70" s="19"/>
      <c r="B70" s="57" t="s">
        <v>47</v>
      </c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9"/>
      <c r="AM70" s="25"/>
      <c r="AN70" s="25"/>
      <c r="AO70" s="109" t="s">
        <v>241</v>
      </c>
      <c r="AP70" s="110"/>
      <c r="AQ70" s="110"/>
      <c r="AR70" s="110"/>
      <c r="AS70" s="110"/>
      <c r="AT70" s="110"/>
      <c r="AU70" s="110"/>
      <c r="AV70" s="111"/>
      <c r="AW70" s="22"/>
    </row>
    <row r="71" spans="1:61" ht="12.75" customHeight="1" x14ac:dyDescent="0.45">
      <c r="A71" s="19"/>
      <c r="B71" s="112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4"/>
      <c r="AM71" s="25"/>
      <c r="AN71" s="25"/>
      <c r="AO71" s="115"/>
      <c r="AP71" s="25"/>
      <c r="AQ71" s="25"/>
      <c r="AR71" s="25"/>
      <c r="AS71" s="25"/>
      <c r="AT71" s="25"/>
      <c r="AU71" s="25"/>
      <c r="AV71" s="34"/>
      <c r="AW71" s="22"/>
    </row>
    <row r="72" spans="1:61" ht="12.75" customHeight="1" x14ac:dyDescent="0.45">
      <c r="A72" s="19"/>
      <c r="B72" s="112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4"/>
      <c r="AM72" s="25"/>
      <c r="AN72" s="25"/>
      <c r="AO72" s="115" t="s">
        <v>48</v>
      </c>
      <c r="AP72" s="25"/>
      <c r="AQ72" s="25"/>
      <c r="AR72" s="25"/>
      <c r="AS72" s="25"/>
      <c r="AT72" s="25"/>
      <c r="AU72" s="25"/>
      <c r="AV72" s="34"/>
      <c r="AW72" s="22"/>
    </row>
    <row r="73" spans="1:61" ht="12.75" customHeight="1" x14ac:dyDescent="0.45">
      <c r="A73" s="19"/>
      <c r="B73" s="112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4"/>
      <c r="AM73" s="25"/>
      <c r="AN73" s="25"/>
      <c r="AO73" s="115" t="s">
        <v>49</v>
      </c>
      <c r="AP73" s="25"/>
      <c r="AQ73" s="25"/>
      <c r="AR73" s="25"/>
      <c r="AS73" s="25" t="s">
        <v>313</v>
      </c>
      <c r="AT73" s="25"/>
      <c r="AU73" s="25"/>
      <c r="AV73" s="34"/>
      <c r="AW73" s="22"/>
    </row>
    <row r="74" spans="1:61" ht="12.75" customHeight="1" x14ac:dyDescent="0.45">
      <c r="A74" s="19"/>
      <c r="B74" s="112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Z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4"/>
      <c r="AM74" s="25"/>
      <c r="AN74" s="25"/>
      <c r="AO74" s="115" t="s">
        <v>50</v>
      </c>
      <c r="AP74" s="25"/>
      <c r="AQ74" s="25"/>
      <c r="AR74" s="25"/>
      <c r="AS74" s="25"/>
      <c r="AT74" s="25"/>
      <c r="AU74" s="25"/>
      <c r="AV74" s="34"/>
      <c r="AW74" s="22"/>
    </row>
    <row r="75" spans="1:61" ht="12.75" customHeight="1" x14ac:dyDescent="0.45">
      <c r="A75" s="19"/>
      <c r="B75" s="116"/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  <c r="X75" s="116"/>
      <c r="Y75" s="116"/>
      <c r="Z75" s="116"/>
      <c r="AA75" s="116"/>
      <c r="AB75" s="116"/>
      <c r="AC75" s="116"/>
      <c r="AD75" s="116"/>
      <c r="AE75" s="116"/>
      <c r="AF75" s="116"/>
      <c r="AG75" s="116"/>
      <c r="AH75" s="116"/>
      <c r="AI75" s="116"/>
      <c r="AJ75" s="116"/>
      <c r="AK75" s="116"/>
      <c r="AL75" s="116"/>
      <c r="AM75" s="25"/>
      <c r="AN75" s="25"/>
      <c r="AO75" s="115" t="s">
        <v>51</v>
      </c>
      <c r="AP75" s="25"/>
      <c r="AQ75" s="25"/>
      <c r="AR75" s="25"/>
      <c r="AS75" s="25"/>
      <c r="AT75" s="25"/>
      <c r="AU75" s="25"/>
      <c r="AV75" s="34"/>
      <c r="AW75" s="22"/>
    </row>
    <row r="76" spans="1:61" ht="12.75" customHeight="1" x14ac:dyDescent="0.45">
      <c r="A76" s="19"/>
      <c r="B76" s="57" t="s">
        <v>199</v>
      </c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9"/>
      <c r="AM76" s="25"/>
      <c r="AN76" s="25"/>
      <c r="AO76" s="115" t="s">
        <v>52</v>
      </c>
      <c r="AP76" s="25"/>
      <c r="AQ76" s="25"/>
      <c r="AR76" s="25"/>
      <c r="AS76" s="25"/>
      <c r="AT76" s="25"/>
      <c r="AU76" s="25"/>
      <c r="AV76" s="34"/>
      <c r="AW76" s="22"/>
    </row>
    <row r="77" spans="1:61" ht="12.75" customHeight="1" x14ac:dyDescent="0.45">
      <c r="A77" s="19"/>
      <c r="B77" s="112" t="s">
        <v>200</v>
      </c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4"/>
      <c r="AM77" s="25"/>
      <c r="AN77" s="25"/>
      <c r="AO77" s="115" t="s">
        <v>53</v>
      </c>
      <c r="AP77" s="25"/>
      <c r="AQ77" s="25"/>
      <c r="AR77" s="25"/>
      <c r="AS77" s="25"/>
      <c r="AT77" s="25"/>
      <c r="AU77" s="25"/>
      <c r="AV77" s="34"/>
      <c r="AW77" s="22"/>
    </row>
    <row r="78" spans="1:61" ht="12.75" customHeight="1" x14ac:dyDescent="0.45">
      <c r="A78" s="19"/>
      <c r="B78" s="63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5"/>
      <c r="AM78" s="25"/>
      <c r="AN78" s="25"/>
      <c r="AO78" s="115" t="s">
        <v>54</v>
      </c>
      <c r="AP78" s="25"/>
      <c r="AQ78" s="25"/>
      <c r="AR78" s="25"/>
      <c r="AS78" s="25"/>
      <c r="AT78" s="25"/>
      <c r="AU78" s="25"/>
      <c r="AV78" s="34"/>
      <c r="AW78" s="22"/>
    </row>
    <row r="79" spans="1:61" ht="12.75" customHeight="1" x14ac:dyDescent="0.45">
      <c r="A79" s="19"/>
      <c r="B79" s="63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5"/>
      <c r="AM79" s="25"/>
      <c r="AN79" s="25"/>
      <c r="AO79" s="115" t="s">
        <v>55</v>
      </c>
      <c r="AP79" s="25"/>
      <c r="AQ79" s="25"/>
      <c r="AR79" s="25"/>
      <c r="AS79" s="25"/>
      <c r="AT79" s="25"/>
      <c r="AU79" s="25"/>
      <c r="AV79" s="34"/>
      <c r="AW79" s="22"/>
    </row>
    <row r="80" spans="1:61" ht="12.75" customHeight="1" x14ac:dyDescent="0.45">
      <c r="A80" s="19"/>
      <c r="B80" s="63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5"/>
      <c r="AM80" s="25"/>
      <c r="AN80" s="25"/>
      <c r="AO80" s="117"/>
      <c r="AP80" s="20"/>
      <c r="AQ80" s="20"/>
      <c r="AR80" s="20"/>
      <c r="AS80" s="20"/>
      <c r="AT80" s="20"/>
      <c r="AU80" s="20"/>
      <c r="AV80" s="118"/>
      <c r="AW80" s="22"/>
    </row>
    <row r="81" spans="1:49" ht="12.75" customHeight="1" x14ac:dyDescent="0.45">
      <c r="A81" s="19"/>
      <c r="B81" s="119"/>
      <c r="C81" s="119"/>
      <c r="D81" s="119"/>
      <c r="E81" s="119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19"/>
      <c r="AD81" s="119"/>
      <c r="AE81" s="119"/>
      <c r="AF81" s="119"/>
      <c r="AG81" s="119"/>
      <c r="AH81" s="119"/>
      <c r="AI81" s="119"/>
      <c r="AJ81" s="119"/>
      <c r="AK81" s="119"/>
      <c r="AL81" s="119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2"/>
    </row>
    <row r="82" spans="1:49" ht="12.75" customHeight="1" x14ac:dyDescent="0.45">
      <c r="A82" s="19"/>
      <c r="B82" s="119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19"/>
      <c r="AD82" s="119"/>
      <c r="AE82" s="119"/>
      <c r="AF82" s="119"/>
      <c r="AG82" s="119"/>
      <c r="AH82" s="119"/>
      <c r="AI82" s="119"/>
      <c r="AJ82" s="119"/>
      <c r="AK82" s="119"/>
      <c r="AL82" s="119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2"/>
    </row>
    <row r="83" spans="1:49" ht="12.75" customHeight="1" x14ac:dyDescent="0.45">
      <c r="A83" s="19"/>
      <c r="B83" s="25"/>
      <c r="C83" s="120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  <c r="AA83" s="120"/>
      <c r="AB83" s="120"/>
      <c r="AC83" s="120"/>
      <c r="AD83" s="120"/>
      <c r="AE83" s="120"/>
      <c r="AF83" s="120"/>
      <c r="AG83" s="120"/>
      <c r="AH83" s="120"/>
      <c r="AI83" s="120"/>
      <c r="AJ83" s="120"/>
      <c r="AK83" s="120"/>
      <c r="AL83" s="120"/>
      <c r="AM83" s="120"/>
      <c r="AN83" s="120"/>
      <c r="AO83" s="120"/>
      <c r="AP83" s="120"/>
      <c r="AQ83" s="120"/>
      <c r="AR83" s="120"/>
      <c r="AS83" s="120"/>
      <c r="AT83" s="120"/>
      <c r="AU83" s="120"/>
      <c r="AV83" s="120"/>
      <c r="AW83" s="22"/>
    </row>
    <row r="84" spans="1:49" ht="12.75" customHeight="1" x14ac:dyDescent="0.45">
      <c r="A84" s="19"/>
      <c r="B84" s="25"/>
      <c r="C84" s="121" t="s">
        <v>428</v>
      </c>
      <c r="D84" s="121"/>
      <c r="E84" s="121"/>
      <c r="F84" s="121"/>
      <c r="G84" s="121"/>
      <c r="H84" s="121"/>
      <c r="I84" s="121"/>
      <c r="J84" s="121"/>
      <c r="K84" s="121"/>
      <c r="L84" s="121"/>
      <c r="M84" s="122"/>
      <c r="N84" s="123" t="s">
        <v>422</v>
      </c>
      <c r="O84" s="123"/>
      <c r="P84" s="123"/>
      <c r="Q84" s="123"/>
      <c r="R84" s="123"/>
      <c r="S84" s="123"/>
      <c r="T84" s="123"/>
      <c r="U84" s="123"/>
      <c r="V84" s="123"/>
      <c r="W84" s="123"/>
      <c r="X84" s="120"/>
      <c r="Y84" s="121" t="s">
        <v>427</v>
      </c>
      <c r="Z84" s="121"/>
      <c r="AA84" s="121"/>
      <c r="AB84" s="121"/>
      <c r="AC84" s="121"/>
      <c r="AD84" s="121"/>
      <c r="AE84" s="121"/>
      <c r="AF84" s="121"/>
      <c r="AG84" s="120"/>
      <c r="AH84" s="120"/>
      <c r="AI84" s="120"/>
      <c r="AJ84" s="120"/>
      <c r="AK84" s="120"/>
      <c r="AL84" s="124"/>
      <c r="AM84" s="124"/>
      <c r="AN84" s="124"/>
      <c r="AO84" s="124"/>
      <c r="AP84" s="124"/>
      <c r="AQ84" s="124"/>
      <c r="AR84" s="124"/>
      <c r="AS84" s="124"/>
      <c r="AT84" s="124"/>
      <c r="AU84" s="124"/>
      <c r="AV84" s="120"/>
      <c r="AW84" s="22"/>
    </row>
    <row r="85" spans="1:49" ht="12.75" customHeight="1" x14ac:dyDescent="0.45">
      <c r="A85" s="19"/>
      <c r="B85" s="25"/>
      <c r="C85" s="125" t="s">
        <v>56</v>
      </c>
      <c r="D85" s="125"/>
      <c r="E85" s="125"/>
      <c r="F85" s="125"/>
      <c r="G85" s="125"/>
      <c r="H85" s="125"/>
      <c r="I85" s="125"/>
      <c r="J85" s="125"/>
      <c r="K85" s="125"/>
      <c r="L85" s="125"/>
      <c r="M85" s="122"/>
      <c r="N85" s="125" t="s">
        <v>395</v>
      </c>
      <c r="O85" s="125"/>
      <c r="P85" s="125"/>
      <c r="Q85" s="125"/>
      <c r="R85" s="125"/>
      <c r="S85" s="125"/>
      <c r="T85" s="125"/>
      <c r="U85" s="125"/>
      <c r="V85" s="125"/>
      <c r="W85" s="125"/>
      <c r="X85" s="126"/>
      <c r="Y85" s="125" t="s">
        <v>123</v>
      </c>
      <c r="Z85" s="125"/>
      <c r="AA85" s="125"/>
      <c r="AB85" s="125"/>
      <c r="AC85" s="125"/>
      <c r="AD85" s="125"/>
      <c r="AE85" s="125"/>
      <c r="AF85" s="125"/>
      <c r="AG85" s="120"/>
      <c r="AH85" s="120"/>
      <c r="AI85" s="120"/>
      <c r="AJ85" s="120"/>
      <c r="AK85" s="120"/>
      <c r="AL85" s="124"/>
      <c r="AM85" s="124"/>
      <c r="AN85" s="124"/>
      <c r="AO85" s="120" t="s">
        <v>57</v>
      </c>
      <c r="AP85" s="120"/>
      <c r="AQ85" s="120"/>
      <c r="AR85" s="120"/>
      <c r="AS85" s="127" t="s">
        <v>423</v>
      </c>
      <c r="AT85" s="127" t="s">
        <v>424</v>
      </c>
      <c r="AU85" s="127" t="s">
        <v>425</v>
      </c>
      <c r="AV85" s="120"/>
      <c r="AW85" s="22"/>
    </row>
    <row r="86" spans="1:49" ht="12.75" customHeight="1" x14ac:dyDescent="0.45">
      <c r="A86" s="19"/>
      <c r="B86" s="25"/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2"/>
      <c r="N86" s="122"/>
      <c r="O86" s="122"/>
      <c r="P86" s="122"/>
      <c r="Q86" s="122"/>
      <c r="R86" s="122"/>
      <c r="S86" s="122"/>
      <c r="T86" s="120"/>
      <c r="U86" s="120"/>
      <c r="V86" s="120"/>
      <c r="W86" s="128"/>
      <c r="X86" s="128"/>
      <c r="Y86" s="128"/>
      <c r="Z86" s="128"/>
      <c r="AA86" s="128"/>
      <c r="AB86" s="128"/>
      <c r="AC86" s="128"/>
      <c r="AD86" s="128"/>
      <c r="AE86" s="120"/>
      <c r="AF86" s="120"/>
      <c r="AG86" s="120"/>
      <c r="AH86" s="120"/>
      <c r="AI86" s="120"/>
      <c r="AJ86" s="120"/>
      <c r="AK86" s="120"/>
      <c r="AL86" s="124"/>
      <c r="AM86" s="124"/>
      <c r="AN86" s="124"/>
      <c r="AO86" s="120"/>
      <c r="AP86" s="120"/>
      <c r="AQ86" s="120"/>
      <c r="AR86" s="120"/>
      <c r="AS86" s="129"/>
      <c r="AT86" s="129"/>
      <c r="AU86" s="129"/>
      <c r="AV86" s="120"/>
      <c r="AW86" s="22"/>
    </row>
    <row r="87" spans="1:49" ht="12.75" customHeight="1" x14ac:dyDescent="0.45">
      <c r="A87" s="19"/>
      <c r="B87" s="25"/>
      <c r="C87" s="124"/>
      <c r="D87" s="124"/>
      <c r="E87" s="124"/>
      <c r="F87" s="130"/>
      <c r="G87" s="124"/>
      <c r="H87" s="124"/>
      <c r="I87" s="124"/>
      <c r="J87" s="124"/>
      <c r="K87" s="124"/>
      <c r="L87" s="124"/>
      <c r="M87" s="124"/>
      <c r="N87" s="124"/>
      <c r="O87" s="124"/>
      <c r="P87" s="124"/>
      <c r="Q87" s="124"/>
      <c r="R87" s="124"/>
      <c r="S87" s="124"/>
      <c r="T87" s="124"/>
      <c r="U87" s="124"/>
      <c r="V87" s="124"/>
      <c r="W87" s="124"/>
      <c r="X87" s="124"/>
      <c r="Y87" s="124"/>
      <c r="Z87" s="124"/>
      <c r="AA87" s="124"/>
      <c r="AB87" s="124"/>
      <c r="AC87" s="124"/>
      <c r="AD87" s="124"/>
      <c r="AE87" s="124"/>
      <c r="AF87" s="124"/>
      <c r="AG87" s="124"/>
      <c r="AH87" s="124"/>
      <c r="AI87" s="124"/>
      <c r="AJ87" s="124"/>
      <c r="AK87" s="124"/>
      <c r="AL87" s="124"/>
      <c r="AM87" s="124"/>
      <c r="AN87" s="124"/>
      <c r="AO87" s="124"/>
      <c r="AP87" s="124"/>
      <c r="AQ87" s="124"/>
      <c r="AR87" s="124"/>
      <c r="AS87" s="124"/>
      <c r="AT87" s="124"/>
      <c r="AU87" s="124"/>
      <c r="AV87" s="120"/>
      <c r="AW87" s="22"/>
    </row>
    <row r="88" spans="1:49" ht="16.5" customHeight="1" x14ac:dyDescent="0.45">
      <c r="A88" s="19"/>
      <c r="B88" s="131" t="s">
        <v>410</v>
      </c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1"/>
      <c r="O88" s="131"/>
      <c r="P88" s="131"/>
      <c r="Q88" s="132"/>
      <c r="R88" s="132"/>
      <c r="S88" s="132"/>
      <c r="T88" s="132"/>
      <c r="U88" s="132"/>
      <c r="V88" s="132"/>
      <c r="W88" s="132"/>
      <c r="X88" s="132"/>
      <c r="Y88" s="132"/>
      <c r="Z88" s="132"/>
      <c r="AA88" s="132"/>
      <c r="AB88" s="132"/>
      <c r="AC88" s="132"/>
      <c r="AD88" s="132"/>
      <c r="AE88" s="132"/>
      <c r="AF88" s="132"/>
      <c r="AG88" s="133"/>
      <c r="AH88" s="133"/>
      <c r="AI88" s="133"/>
      <c r="AJ88" s="133"/>
      <c r="AK88" s="133"/>
      <c r="AL88" s="133"/>
      <c r="AM88" s="133"/>
      <c r="AN88" s="133"/>
      <c r="AO88" s="133"/>
      <c r="AP88" s="134"/>
      <c r="AQ88" s="135"/>
      <c r="AR88" s="135"/>
      <c r="AS88" s="135"/>
      <c r="AT88" s="135"/>
      <c r="AU88" s="135"/>
      <c r="AV88" s="136" t="s">
        <v>411</v>
      </c>
      <c r="AW88" s="22"/>
    </row>
    <row r="89" spans="1:49" ht="20.100000000000001" customHeight="1" x14ac:dyDescent="0.45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  <c r="AA89" s="137"/>
      <c r="AB89" s="137"/>
      <c r="AC89" s="137"/>
      <c r="AD89" s="137"/>
      <c r="AE89" s="137"/>
      <c r="AF89" s="137"/>
      <c r="AG89" s="137"/>
      <c r="AH89" s="137"/>
      <c r="AI89" s="137"/>
      <c r="AJ89" s="137"/>
      <c r="AK89" s="137"/>
      <c r="AL89" s="137"/>
      <c r="AM89" s="137"/>
      <c r="AN89" s="137"/>
      <c r="AO89" s="137"/>
      <c r="AP89" s="137"/>
      <c r="AQ89" s="137"/>
      <c r="AR89" s="137"/>
      <c r="AS89" s="137"/>
      <c r="AT89" s="137"/>
      <c r="AU89" s="137"/>
      <c r="AV89" s="137"/>
      <c r="AW89" s="137"/>
    </row>
  </sheetData>
  <mergeCells count="181">
    <mergeCell ref="AL64:AQ64"/>
    <mergeCell ref="AS64:AV64"/>
    <mergeCell ref="AS62:AV62"/>
    <mergeCell ref="AS65:AV65"/>
    <mergeCell ref="AL65:AQ65"/>
    <mergeCell ref="AL62:AQ62"/>
    <mergeCell ref="AL63:AQ63"/>
    <mergeCell ref="AS63:AV63"/>
    <mergeCell ref="AS66:AV66"/>
    <mergeCell ref="B88:P88"/>
    <mergeCell ref="Q88:X88"/>
    <mergeCell ref="Y88:AF88"/>
    <mergeCell ref="AG88:AO88"/>
    <mergeCell ref="A89:AW89"/>
    <mergeCell ref="AW1:AW88"/>
    <mergeCell ref="AT2:AU2"/>
    <mergeCell ref="AT3:AU3"/>
    <mergeCell ref="AT4:AU4"/>
    <mergeCell ref="AP55:AQ55"/>
    <mergeCell ref="B78:AL78"/>
    <mergeCell ref="B79:AL79"/>
    <mergeCell ref="B80:AL80"/>
    <mergeCell ref="C84:L84"/>
    <mergeCell ref="C85:L85"/>
    <mergeCell ref="Y84:AF84"/>
    <mergeCell ref="N85:W85"/>
    <mergeCell ref="Y85:AF85"/>
    <mergeCell ref="N84:W84"/>
    <mergeCell ref="B72:AL72"/>
    <mergeCell ref="B73:AL73"/>
    <mergeCell ref="B74:AL74"/>
    <mergeCell ref="B75:AL75"/>
    <mergeCell ref="B76:AL76"/>
    <mergeCell ref="B77:AL77"/>
    <mergeCell ref="B70:AL70"/>
    <mergeCell ref="B71:AL71"/>
    <mergeCell ref="AE65:AK65"/>
    <mergeCell ref="B66:J66"/>
    <mergeCell ref="AE66:AK66"/>
    <mergeCell ref="K66:AD66"/>
    <mergeCell ref="B65:J65"/>
    <mergeCell ref="K65:U65"/>
    <mergeCell ref="V65:AD65"/>
    <mergeCell ref="AL66:AQ66"/>
    <mergeCell ref="B67:J67"/>
    <mergeCell ref="K67:AD67"/>
    <mergeCell ref="AE67:AK67"/>
    <mergeCell ref="AL67:AQ67"/>
    <mergeCell ref="AO70:AV70"/>
    <mergeCell ref="AS67:AV67"/>
    <mergeCell ref="B60:D60"/>
    <mergeCell ref="E60:G60"/>
    <mergeCell ref="H60:J60"/>
    <mergeCell ref="K60:AJ60"/>
    <mergeCell ref="AK60:AO60"/>
    <mergeCell ref="AE64:AK64"/>
    <mergeCell ref="AR60:AV60"/>
    <mergeCell ref="AP60:AQ60"/>
    <mergeCell ref="B59:D59"/>
    <mergeCell ref="E59:G59"/>
    <mergeCell ref="H59:J59"/>
    <mergeCell ref="K59:AJ59"/>
    <mergeCell ref="AK59:AO59"/>
    <mergeCell ref="AR59:AV59"/>
    <mergeCell ref="AP59:AQ59"/>
    <mergeCell ref="K62:U62"/>
    <mergeCell ref="V62:AD62"/>
    <mergeCell ref="B63:J63"/>
    <mergeCell ref="K63:U63"/>
    <mergeCell ref="V63:AD63"/>
    <mergeCell ref="B64:J64"/>
    <mergeCell ref="K64:U64"/>
    <mergeCell ref="V64:AD64"/>
    <mergeCell ref="AE63:AK63"/>
    <mergeCell ref="B58:D58"/>
    <mergeCell ref="E58:G58"/>
    <mergeCell ref="H58:J58"/>
    <mergeCell ref="K58:AJ58"/>
    <mergeCell ref="AK58:AO58"/>
    <mergeCell ref="AR58:AV58"/>
    <mergeCell ref="AP58:AQ58"/>
    <mergeCell ref="B57:D57"/>
    <mergeCell ref="E57:G57"/>
    <mergeCell ref="H57:J57"/>
    <mergeCell ref="K57:AJ57"/>
    <mergeCell ref="AK57:AO57"/>
    <mergeCell ref="AR57:AV57"/>
    <mergeCell ref="AP57:AQ57"/>
    <mergeCell ref="B56:D56"/>
    <mergeCell ref="E56:G56"/>
    <mergeCell ref="H56:J56"/>
    <mergeCell ref="K56:AJ56"/>
    <mergeCell ref="AK56:AO56"/>
    <mergeCell ref="AR56:AV56"/>
    <mergeCell ref="AP56:AQ56"/>
    <mergeCell ref="B55:D55"/>
    <mergeCell ref="E55:G55"/>
    <mergeCell ref="H55:J55"/>
    <mergeCell ref="K55:AJ55"/>
    <mergeCell ref="AK55:AO55"/>
    <mergeCell ref="AR55:AV55"/>
    <mergeCell ref="B54:D54"/>
    <mergeCell ref="E54:G54"/>
    <mergeCell ref="H54:J54"/>
    <mergeCell ref="K54:AJ54"/>
    <mergeCell ref="AK54:AO54"/>
    <mergeCell ref="AR54:AV54"/>
    <mergeCell ref="B53:D53"/>
    <mergeCell ref="E53:G53"/>
    <mergeCell ref="H53:J53"/>
    <mergeCell ref="K53:AJ53"/>
    <mergeCell ref="AK53:AO53"/>
    <mergeCell ref="AR53:AV53"/>
    <mergeCell ref="AP53:AQ53"/>
    <mergeCell ref="AP54:AQ54"/>
    <mergeCell ref="B52:D52"/>
    <mergeCell ref="E52:G52"/>
    <mergeCell ref="H52:J52"/>
    <mergeCell ref="K52:AJ52"/>
    <mergeCell ref="AK52:AO52"/>
    <mergeCell ref="AR52:AV52"/>
    <mergeCell ref="B51:D51"/>
    <mergeCell ref="E51:G51"/>
    <mergeCell ref="H51:J51"/>
    <mergeCell ref="K51:AJ51"/>
    <mergeCell ref="AK51:AO51"/>
    <mergeCell ref="AR51:AV51"/>
    <mergeCell ref="AP51:AQ51"/>
    <mergeCell ref="AP52:AQ52"/>
    <mergeCell ref="B50:D50"/>
    <mergeCell ref="E50:G50"/>
    <mergeCell ref="H50:J50"/>
    <mergeCell ref="K50:AJ50"/>
    <mergeCell ref="AK50:AO50"/>
    <mergeCell ref="AR50:AV50"/>
    <mergeCell ref="B49:D49"/>
    <mergeCell ref="E49:G49"/>
    <mergeCell ref="H49:J49"/>
    <mergeCell ref="K49:AJ49"/>
    <mergeCell ref="AK49:AO49"/>
    <mergeCell ref="AR49:AV49"/>
    <mergeCell ref="AP49:AQ49"/>
    <mergeCell ref="AP50:AQ50"/>
    <mergeCell ref="AR8:AV8"/>
    <mergeCell ref="B46:AV46"/>
    <mergeCell ref="B48:D48"/>
    <mergeCell ref="E48:G48"/>
    <mergeCell ref="H48:J48"/>
    <mergeCell ref="K48:AJ48"/>
    <mergeCell ref="AK48:AO48"/>
    <mergeCell ref="AR48:AV48"/>
    <mergeCell ref="AO10:AS10"/>
    <mergeCell ref="I45:T45"/>
    <mergeCell ref="U45:AE45"/>
    <mergeCell ref="B11:AV43"/>
    <mergeCell ref="B44:AV44"/>
    <mergeCell ref="AP48:AQ48"/>
    <mergeCell ref="AT6:AV6"/>
    <mergeCell ref="B7:D7"/>
    <mergeCell ref="E7:T7"/>
    <mergeCell ref="U7:AD7"/>
    <mergeCell ref="AE7:AN7"/>
    <mergeCell ref="AO7:AQ7"/>
    <mergeCell ref="AR7:AV7"/>
    <mergeCell ref="B68:J68"/>
    <mergeCell ref="K68:U68"/>
    <mergeCell ref="V68:AD68"/>
    <mergeCell ref="AE68:AK68"/>
    <mergeCell ref="AL68:AQ68"/>
    <mergeCell ref="AS68:AV68"/>
    <mergeCell ref="B9:D9"/>
    <mergeCell ref="E9:T9"/>
    <mergeCell ref="U9:AD9"/>
    <mergeCell ref="AE9:AN9"/>
    <mergeCell ref="AO9:AQ9"/>
    <mergeCell ref="AR9:AV9"/>
    <mergeCell ref="B8:D8"/>
    <mergeCell ref="E8:T8"/>
    <mergeCell ref="U8:AD8"/>
    <mergeCell ref="AE8:AN8"/>
    <mergeCell ref="AO8:AQ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52" orientation="portrait" r:id="rId1"/>
  <rowBreaks count="1" manualBreakCount="1">
    <brk id="89" max="47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B1:AP43"/>
  <sheetViews>
    <sheetView view="pageBreakPreview" zoomScale="86" zoomScaleNormal="100" zoomScaleSheetLayoutView="86" workbookViewId="0">
      <selection activeCell="B2" sqref="B2:B3"/>
    </sheetView>
  </sheetViews>
  <sheetFormatPr baseColWidth="10" defaultRowHeight="18.75" x14ac:dyDescent="0.45"/>
  <cols>
    <col min="1" max="1" width="3.28515625" style="23" customWidth="1"/>
    <col min="2" max="2" width="18.140625" style="23" customWidth="1"/>
    <col min="3" max="3" width="10.28515625" style="23" customWidth="1"/>
    <col min="4" max="4" width="6.140625" style="23" customWidth="1"/>
    <col min="5" max="5" width="8.28515625" style="23" customWidth="1"/>
    <col min="6" max="6" width="5.140625" style="23" customWidth="1"/>
    <col min="7" max="7" width="6.7109375" style="23" customWidth="1"/>
    <col min="8" max="8" width="5.7109375" style="23" customWidth="1"/>
    <col min="9" max="9" width="3.85546875" style="23" customWidth="1"/>
    <col min="10" max="10" width="4.42578125" style="23" customWidth="1"/>
    <col min="11" max="11" width="3.28515625" style="23" customWidth="1"/>
    <col min="12" max="12" width="14.140625" style="23" customWidth="1"/>
    <col min="13" max="13" width="11.28515625" style="23" customWidth="1"/>
    <col min="14" max="14" width="7.42578125" style="23" customWidth="1"/>
    <col min="15" max="15" width="6.5703125" style="23" customWidth="1"/>
    <col min="16" max="16" width="3.28515625" style="23" customWidth="1"/>
    <col min="17" max="16384" width="11.42578125" style="23"/>
  </cols>
  <sheetData>
    <row r="1" spans="2:25" ht="20.100000000000001" customHeight="1" x14ac:dyDescent="0.45"/>
    <row r="2" spans="2:25" ht="27.75" customHeight="1" x14ac:dyDescent="0.45">
      <c r="B2" s="140"/>
      <c r="C2" s="141" t="s">
        <v>165</v>
      </c>
      <c r="D2" s="142"/>
      <c r="E2" s="142"/>
      <c r="F2" s="142"/>
      <c r="G2" s="142"/>
      <c r="H2" s="142"/>
      <c r="I2" s="142"/>
      <c r="J2" s="142"/>
      <c r="K2" s="142"/>
      <c r="L2" s="143"/>
      <c r="M2" s="144" t="s">
        <v>130</v>
      </c>
      <c r="N2" s="145"/>
      <c r="O2" s="146"/>
    </row>
    <row r="3" spans="2:25" ht="27.75" customHeight="1" x14ac:dyDescent="0.45">
      <c r="B3" s="147"/>
      <c r="C3" s="148"/>
      <c r="D3" s="149"/>
      <c r="E3" s="149"/>
      <c r="F3" s="149"/>
      <c r="G3" s="149"/>
      <c r="H3" s="149"/>
      <c r="I3" s="149"/>
      <c r="J3" s="149"/>
      <c r="K3" s="149"/>
      <c r="L3" s="150"/>
      <c r="M3" s="151"/>
      <c r="N3" s="152"/>
      <c r="O3" s="153"/>
    </row>
    <row r="4" spans="2:25" x14ac:dyDescent="0.45">
      <c r="B4" s="154" t="s">
        <v>201</v>
      </c>
      <c r="C4" s="155">
        <f>DATOS!AE7</f>
        <v>0</v>
      </c>
      <c r="D4" s="155"/>
      <c r="E4" s="155"/>
      <c r="F4" s="156"/>
      <c r="G4" s="156"/>
      <c r="H4" s="156"/>
      <c r="I4" s="156"/>
      <c r="J4" s="156"/>
      <c r="K4" s="156"/>
      <c r="L4" s="157" t="s">
        <v>57</v>
      </c>
      <c r="M4" s="158" t="s">
        <v>426</v>
      </c>
      <c r="N4" s="158"/>
      <c r="O4" s="159"/>
    </row>
    <row r="5" spans="2:25" x14ac:dyDescent="0.45">
      <c r="B5" s="160" t="s">
        <v>194</v>
      </c>
      <c r="C5" s="161" t="s">
        <v>184</v>
      </c>
      <c r="D5" s="105"/>
      <c r="E5" s="105"/>
      <c r="F5" s="162"/>
      <c r="G5" s="162"/>
      <c r="H5" s="162"/>
      <c r="I5" s="162"/>
      <c r="J5" s="162"/>
      <c r="K5" s="162"/>
      <c r="L5" s="162"/>
      <c r="M5" s="162"/>
      <c r="N5" s="162"/>
      <c r="O5" s="163"/>
      <c r="P5" s="38"/>
      <c r="Q5" s="38"/>
      <c r="R5" s="38"/>
      <c r="S5" s="38"/>
    </row>
    <row r="6" spans="2:25" x14ac:dyDescent="0.45">
      <c r="B6" s="164" t="s">
        <v>131</v>
      </c>
      <c r="C6" s="165" t="s">
        <v>138</v>
      </c>
      <c r="D6" s="165"/>
      <c r="E6" s="165"/>
      <c r="F6" s="165"/>
      <c r="G6" s="165"/>
      <c r="H6" s="165"/>
      <c r="I6" s="165"/>
      <c r="J6" s="165"/>
      <c r="K6" s="166"/>
      <c r="L6" s="167"/>
      <c r="M6" s="166"/>
      <c r="N6" s="166"/>
      <c r="O6" s="168"/>
      <c r="S6" s="105"/>
      <c r="T6" s="105"/>
      <c r="U6" s="105"/>
      <c r="V6" s="105"/>
      <c r="W6" s="105"/>
    </row>
    <row r="7" spans="2:25" ht="15" customHeight="1" x14ac:dyDescent="0.45">
      <c r="B7" s="169" t="s">
        <v>132</v>
      </c>
      <c r="C7" s="156"/>
      <c r="D7" s="170"/>
      <c r="E7" s="171" t="s">
        <v>133</v>
      </c>
      <c r="F7" s="170"/>
      <c r="G7" s="170"/>
      <c r="H7" s="171"/>
      <c r="I7" s="171"/>
      <c r="J7" s="171"/>
      <c r="K7" s="171"/>
      <c r="L7" s="171"/>
      <c r="M7" s="171" t="s">
        <v>141</v>
      </c>
      <c r="N7" s="171"/>
      <c r="O7" s="172"/>
      <c r="S7" s="105"/>
      <c r="T7" s="105"/>
      <c r="U7" s="105"/>
      <c r="V7" s="105"/>
      <c r="W7" s="105"/>
    </row>
    <row r="8" spans="2:25" ht="15" customHeight="1" x14ac:dyDescent="0.45">
      <c r="B8" s="173"/>
      <c r="C8" s="106"/>
      <c r="D8" s="106"/>
      <c r="E8" s="105" t="s">
        <v>134</v>
      </c>
      <c r="F8" s="106"/>
      <c r="G8" s="106"/>
      <c r="H8" s="105"/>
      <c r="I8" s="105"/>
      <c r="J8" s="105"/>
      <c r="K8" s="105"/>
      <c r="L8" s="105"/>
      <c r="M8" s="105" t="s">
        <v>142</v>
      </c>
      <c r="N8" s="105"/>
      <c r="O8" s="174"/>
      <c r="S8" s="105"/>
      <c r="T8" s="105"/>
      <c r="U8" s="105"/>
      <c r="V8" s="105"/>
      <c r="W8" s="105"/>
    </row>
    <row r="9" spans="2:25" ht="15" customHeight="1" x14ac:dyDescent="0.45">
      <c r="B9" s="175"/>
      <c r="C9" s="105"/>
      <c r="D9" s="105"/>
      <c r="E9" s="105" t="s">
        <v>143</v>
      </c>
      <c r="F9" s="105"/>
      <c r="G9" s="105"/>
      <c r="H9" s="105"/>
      <c r="I9" s="105"/>
      <c r="J9" s="105"/>
      <c r="K9" s="105"/>
      <c r="L9" s="105"/>
      <c r="M9" s="105" t="s">
        <v>144</v>
      </c>
      <c r="N9" s="105"/>
      <c r="O9" s="174"/>
      <c r="S9" s="105"/>
      <c r="T9" s="105"/>
      <c r="U9" s="105"/>
      <c r="V9" s="105"/>
      <c r="W9" s="105"/>
    </row>
    <row r="10" spans="2:25" ht="15" customHeight="1" x14ac:dyDescent="0.45">
      <c r="B10" s="176"/>
      <c r="C10" s="177"/>
      <c r="D10" s="177"/>
      <c r="E10" s="177" t="s">
        <v>145</v>
      </c>
      <c r="F10" s="177"/>
      <c r="G10" s="177"/>
      <c r="H10" s="177"/>
      <c r="I10" s="177"/>
      <c r="J10" s="177"/>
      <c r="K10" s="177"/>
      <c r="L10" s="177"/>
      <c r="M10" s="177"/>
      <c r="N10" s="177"/>
      <c r="O10" s="178"/>
      <c r="S10" s="105"/>
      <c r="T10" s="105"/>
      <c r="U10" s="105"/>
      <c r="V10" s="105"/>
      <c r="W10" s="105"/>
    </row>
    <row r="11" spans="2:25" ht="15" customHeight="1" x14ac:dyDescent="0.45">
      <c r="B11" s="179" t="s">
        <v>136</v>
      </c>
      <c r="C11" s="180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1"/>
    </row>
    <row r="12" spans="2:25" ht="30" customHeight="1" x14ac:dyDescent="0.45">
      <c r="B12" s="182"/>
      <c r="C12" s="183"/>
      <c r="D12" s="184"/>
      <c r="E12" s="185" t="s">
        <v>172</v>
      </c>
      <c r="F12" s="186"/>
      <c r="G12" s="187"/>
      <c r="H12" s="182" t="s">
        <v>202</v>
      </c>
      <c r="I12" s="183"/>
      <c r="J12" s="183"/>
      <c r="K12" s="184"/>
      <c r="L12" s="188" t="s">
        <v>173</v>
      </c>
      <c r="M12" s="182" t="s">
        <v>174</v>
      </c>
      <c r="N12" s="183"/>
      <c r="O12" s="184"/>
    </row>
    <row r="13" spans="2:25" ht="9" customHeight="1" x14ac:dyDescent="0.45">
      <c r="B13" s="189"/>
      <c r="C13" s="190"/>
      <c r="D13" s="191"/>
      <c r="E13" s="192"/>
      <c r="F13" s="193"/>
      <c r="G13" s="194"/>
      <c r="H13" s="189"/>
      <c r="I13" s="190"/>
      <c r="J13" s="190"/>
      <c r="K13" s="191"/>
      <c r="L13" s="195"/>
      <c r="M13" s="196"/>
      <c r="N13" s="197" t="s">
        <v>182</v>
      </c>
      <c r="O13" s="198" t="s">
        <v>183</v>
      </c>
    </row>
    <row r="14" spans="2:25" ht="14.25" customHeight="1" x14ac:dyDescent="0.45">
      <c r="B14" s="199"/>
      <c r="C14" s="200"/>
      <c r="D14" s="201"/>
      <c r="E14" s="202"/>
      <c r="F14" s="203"/>
      <c r="G14" s="204"/>
      <c r="H14" s="199"/>
      <c r="I14" s="200"/>
      <c r="J14" s="200"/>
      <c r="K14" s="201"/>
      <c r="L14" s="205"/>
      <c r="M14" s="206" t="s">
        <v>189</v>
      </c>
      <c r="N14" s="207">
        <v>2.0485000000000002</v>
      </c>
      <c r="O14" s="208">
        <v>2.7715000000000001</v>
      </c>
    </row>
    <row r="15" spans="2:25" ht="13.5" customHeight="1" x14ac:dyDescent="0.45">
      <c r="B15" s="209" t="s">
        <v>175</v>
      </c>
      <c r="C15" s="210"/>
      <c r="D15" s="211"/>
      <c r="E15" s="212"/>
      <c r="F15" s="213"/>
      <c r="G15" s="214">
        <v>12.1</v>
      </c>
      <c r="H15" s="215">
        <f>G15/M15</f>
        <v>5.2155172413793105</v>
      </c>
      <c r="I15" s="216"/>
      <c r="J15" s="216"/>
      <c r="K15" s="217"/>
      <c r="L15" s="218">
        <f>G15^2/M15</f>
        <v>63.107758620689658</v>
      </c>
      <c r="M15" s="219">
        <v>2.3199999999999998</v>
      </c>
      <c r="N15" s="220"/>
      <c r="O15" s="221"/>
    </row>
    <row r="16" spans="2:25" ht="15" customHeight="1" x14ac:dyDescent="0.45">
      <c r="B16" s="222" t="s">
        <v>225</v>
      </c>
      <c r="C16" s="223"/>
      <c r="D16" s="223"/>
      <c r="E16" s="223"/>
      <c r="F16" s="223"/>
      <c r="G16" s="223"/>
      <c r="H16" s="223"/>
      <c r="I16" s="223"/>
      <c r="J16" s="223"/>
      <c r="K16" s="223"/>
      <c r="L16" s="223"/>
      <c r="M16" s="223"/>
      <c r="N16" s="223"/>
      <c r="O16" s="224"/>
      <c r="S16" s="225"/>
      <c r="T16" s="225"/>
      <c r="U16" s="225"/>
      <c r="V16" s="225"/>
      <c r="W16" s="225"/>
      <c r="X16" s="225"/>
      <c r="Y16" s="225"/>
    </row>
    <row r="17" spans="2:32" ht="13.5" customHeight="1" x14ac:dyDescent="0.45">
      <c r="B17" s="226"/>
      <c r="C17" s="227"/>
      <c r="D17" s="227"/>
      <c r="E17" s="227"/>
      <c r="F17" s="227"/>
      <c r="G17" s="227"/>
      <c r="H17" s="227"/>
      <c r="I17" s="227"/>
      <c r="J17" s="227"/>
      <c r="K17" s="227"/>
      <c r="L17" s="227"/>
      <c r="M17" s="227"/>
      <c r="N17" s="227"/>
      <c r="O17" s="228"/>
      <c r="S17" s="229"/>
      <c r="T17" s="229"/>
      <c r="U17" s="229"/>
      <c r="V17" s="229"/>
      <c r="W17" s="229"/>
      <c r="X17" s="229"/>
      <c r="Y17" s="229"/>
    </row>
    <row r="18" spans="2:32" ht="13.5" customHeight="1" x14ac:dyDescent="0.45">
      <c r="B18" s="230"/>
      <c r="C18" s="231"/>
      <c r="D18" s="231"/>
      <c r="E18" s="231"/>
      <c r="F18" s="231"/>
      <c r="G18" s="231"/>
      <c r="H18" s="231"/>
      <c r="I18" s="231"/>
      <c r="J18" s="231"/>
      <c r="K18" s="231"/>
      <c r="L18" s="231"/>
      <c r="M18" s="231"/>
      <c r="N18" s="231"/>
      <c r="O18" s="232"/>
      <c r="S18" s="229"/>
      <c r="T18" s="229"/>
      <c r="U18" s="229"/>
      <c r="V18" s="229"/>
      <c r="W18" s="229"/>
      <c r="X18" s="229"/>
      <c r="Y18" s="229"/>
    </row>
    <row r="19" spans="2:32" ht="13.5" customHeight="1" x14ac:dyDescent="0.45">
      <c r="B19" s="230"/>
      <c r="C19" s="231"/>
      <c r="D19" s="231"/>
      <c r="E19" s="231"/>
      <c r="F19" s="231"/>
      <c r="G19" s="231"/>
      <c r="H19" s="231"/>
      <c r="I19" s="231"/>
      <c r="J19" s="231"/>
      <c r="K19" s="231"/>
      <c r="L19" s="231"/>
      <c r="M19" s="231"/>
      <c r="N19" s="231"/>
      <c r="O19" s="232"/>
      <c r="S19" s="229"/>
      <c r="T19" s="229"/>
      <c r="U19" s="229"/>
      <c r="V19" s="229"/>
      <c r="W19" s="229"/>
      <c r="X19" s="229"/>
      <c r="Y19" s="229"/>
    </row>
    <row r="20" spans="2:32" ht="13.5" customHeight="1" x14ac:dyDescent="0.45">
      <c r="B20" s="230"/>
      <c r="C20" s="231"/>
      <c r="D20" s="231"/>
      <c r="E20" s="231"/>
      <c r="F20" s="231"/>
      <c r="G20" s="231"/>
      <c r="H20" s="231"/>
      <c r="I20" s="231"/>
      <c r="J20" s="231"/>
      <c r="K20" s="231"/>
      <c r="L20" s="231"/>
      <c r="M20" s="231"/>
      <c r="N20" s="231"/>
      <c r="O20" s="232"/>
      <c r="S20" s="229"/>
      <c r="T20" s="229"/>
      <c r="U20" s="229"/>
      <c r="V20" s="229"/>
      <c r="W20" s="229"/>
      <c r="X20" s="229"/>
      <c r="Y20" s="229"/>
    </row>
    <row r="21" spans="2:32" ht="13.5" customHeight="1" x14ac:dyDescent="0.45">
      <c r="B21" s="230"/>
      <c r="C21" s="231"/>
      <c r="D21" s="231"/>
      <c r="E21" s="231"/>
      <c r="F21" s="231"/>
      <c r="G21" s="231"/>
      <c r="H21" s="231"/>
      <c r="I21" s="231"/>
      <c r="J21" s="231"/>
      <c r="K21" s="231"/>
      <c r="L21" s="231"/>
      <c r="M21" s="231"/>
      <c r="N21" s="231"/>
      <c r="O21" s="232"/>
      <c r="S21" s="229"/>
      <c r="T21" s="229"/>
      <c r="U21" s="229"/>
      <c r="V21" s="229"/>
      <c r="W21" s="229"/>
      <c r="X21" s="229"/>
      <c r="Y21" s="229"/>
    </row>
    <row r="22" spans="2:32" ht="13.5" customHeight="1" x14ac:dyDescent="0.45">
      <c r="B22" s="230"/>
      <c r="C22" s="231"/>
      <c r="D22" s="231"/>
      <c r="E22" s="231"/>
      <c r="F22" s="231"/>
      <c r="G22" s="231"/>
      <c r="H22" s="231"/>
      <c r="I22" s="231"/>
      <c r="J22" s="231"/>
      <c r="K22" s="231"/>
      <c r="L22" s="231"/>
      <c r="M22" s="231"/>
      <c r="N22" s="231"/>
      <c r="O22" s="232"/>
      <c r="S22" s="229"/>
      <c r="T22" s="229"/>
      <c r="U22" s="229"/>
      <c r="V22" s="229"/>
      <c r="W22" s="229"/>
      <c r="X22" s="229"/>
      <c r="Y22" s="229"/>
    </row>
    <row r="23" spans="2:32" ht="13.5" customHeight="1" x14ac:dyDescent="0.45">
      <c r="B23" s="230"/>
      <c r="C23" s="231"/>
      <c r="D23" s="231"/>
      <c r="E23" s="231"/>
      <c r="F23" s="231"/>
      <c r="G23" s="231"/>
      <c r="H23" s="231"/>
      <c r="I23" s="231"/>
      <c r="J23" s="231"/>
      <c r="K23" s="231"/>
      <c r="L23" s="231"/>
      <c r="M23" s="231"/>
      <c r="N23" s="231"/>
      <c r="O23" s="232"/>
      <c r="S23" s="229"/>
      <c r="T23" s="229"/>
      <c r="U23" s="229"/>
      <c r="V23" s="229"/>
      <c r="W23" s="229"/>
      <c r="X23" s="229"/>
      <c r="Y23" s="229"/>
    </row>
    <row r="24" spans="2:32" ht="13.5" customHeight="1" x14ac:dyDescent="0.45">
      <c r="B24" s="230"/>
      <c r="C24" s="231"/>
      <c r="D24" s="231"/>
      <c r="E24" s="231"/>
      <c r="F24" s="231"/>
      <c r="G24" s="231"/>
      <c r="H24" s="231"/>
      <c r="I24" s="231"/>
      <c r="J24" s="231"/>
      <c r="K24" s="231"/>
      <c r="L24" s="231"/>
      <c r="M24" s="231"/>
      <c r="N24" s="231"/>
      <c r="O24" s="232"/>
      <c r="S24" s="229"/>
      <c r="T24" s="229"/>
      <c r="U24" s="229"/>
      <c r="V24" s="229"/>
      <c r="W24" s="229"/>
      <c r="X24" s="229"/>
      <c r="Y24" s="229"/>
    </row>
    <row r="25" spans="2:32" ht="13.5" customHeight="1" x14ac:dyDescent="0.45">
      <c r="B25" s="230"/>
      <c r="C25" s="231"/>
      <c r="D25" s="231"/>
      <c r="E25" s="231"/>
      <c r="F25" s="231"/>
      <c r="G25" s="231"/>
      <c r="H25" s="231"/>
      <c r="I25" s="231"/>
      <c r="J25" s="231"/>
      <c r="K25" s="231"/>
      <c r="L25" s="231"/>
      <c r="M25" s="231"/>
      <c r="N25" s="231"/>
      <c r="O25" s="232"/>
      <c r="S25" s="229"/>
      <c r="T25" s="229"/>
      <c r="U25" s="229"/>
      <c r="V25" s="229"/>
      <c r="W25" s="229"/>
      <c r="X25" s="229"/>
      <c r="Y25" s="229"/>
    </row>
    <row r="26" spans="2:32" ht="13.5" customHeight="1" x14ac:dyDescent="0.45">
      <c r="B26" s="230"/>
      <c r="C26" s="231"/>
      <c r="D26" s="231"/>
      <c r="E26" s="231"/>
      <c r="F26" s="231"/>
      <c r="G26" s="231"/>
      <c r="H26" s="231"/>
      <c r="I26" s="231"/>
      <c r="J26" s="231"/>
      <c r="K26" s="231"/>
      <c r="L26" s="231"/>
      <c r="M26" s="231"/>
      <c r="N26" s="231"/>
      <c r="O26" s="232"/>
      <c r="S26" s="229"/>
      <c r="T26" s="229"/>
      <c r="U26" s="229"/>
      <c r="V26" s="229"/>
      <c r="W26" s="229"/>
      <c r="X26" s="229"/>
      <c r="Y26" s="229"/>
    </row>
    <row r="27" spans="2:32" ht="13.5" customHeight="1" x14ac:dyDescent="0.45">
      <c r="B27" s="230"/>
      <c r="C27" s="231"/>
      <c r="D27" s="231"/>
      <c r="E27" s="231"/>
      <c r="F27" s="231"/>
      <c r="G27" s="231"/>
      <c r="H27" s="231"/>
      <c r="I27" s="231"/>
      <c r="J27" s="231"/>
      <c r="K27" s="231"/>
      <c r="L27" s="231"/>
      <c r="M27" s="231"/>
      <c r="N27" s="231"/>
      <c r="O27" s="232"/>
      <c r="S27" s="229"/>
      <c r="T27" s="229"/>
      <c r="U27" s="229"/>
      <c r="V27" s="229"/>
      <c r="W27" s="229"/>
      <c r="X27" s="229"/>
      <c r="Y27" s="229"/>
    </row>
    <row r="28" spans="2:32" ht="13.5" customHeight="1" x14ac:dyDescent="0.45">
      <c r="B28" s="233"/>
      <c r="C28" s="234"/>
      <c r="D28" s="234"/>
      <c r="E28" s="234"/>
      <c r="F28" s="234"/>
      <c r="G28" s="234"/>
      <c r="H28" s="234"/>
      <c r="I28" s="234"/>
      <c r="J28" s="234"/>
      <c r="K28" s="234"/>
      <c r="L28" s="234"/>
      <c r="M28" s="234"/>
      <c r="N28" s="234"/>
      <c r="O28" s="235"/>
      <c r="S28" s="229"/>
      <c r="T28" s="229"/>
      <c r="U28" s="229"/>
      <c r="V28" s="229"/>
      <c r="W28" s="229"/>
      <c r="X28" s="229"/>
      <c r="Y28" s="229"/>
    </row>
    <row r="29" spans="2:32" ht="15" customHeight="1" x14ac:dyDescent="0.45">
      <c r="B29" s="222" t="s">
        <v>203</v>
      </c>
      <c r="C29" s="223"/>
      <c r="D29" s="223"/>
      <c r="E29" s="223"/>
      <c r="F29" s="223"/>
      <c r="G29" s="223"/>
      <c r="H29" s="223"/>
      <c r="I29" s="223"/>
      <c r="J29" s="223"/>
      <c r="K29" s="223"/>
      <c r="L29" s="223"/>
      <c r="M29" s="223"/>
      <c r="N29" s="223"/>
      <c r="O29" s="224"/>
      <c r="S29" s="236"/>
      <c r="T29" s="236"/>
      <c r="U29" s="236"/>
      <c r="V29" s="236"/>
      <c r="W29" s="236"/>
      <c r="X29" s="236"/>
      <c r="Y29" s="236"/>
      <c r="Z29" s="236"/>
      <c r="AA29" s="236"/>
      <c r="AB29" s="236"/>
      <c r="AC29" s="236"/>
      <c r="AD29" s="236"/>
      <c r="AE29" s="236"/>
      <c r="AF29" s="236"/>
    </row>
    <row r="30" spans="2:32" ht="15" customHeight="1" x14ac:dyDescent="0.45">
      <c r="B30" s="237"/>
      <c r="C30" s="238"/>
      <c r="D30" s="238"/>
      <c r="E30" s="238"/>
      <c r="F30" s="238"/>
      <c r="G30" s="238"/>
      <c r="H30" s="238"/>
      <c r="I30" s="238"/>
      <c r="J30" s="238"/>
      <c r="K30" s="238"/>
      <c r="L30" s="238"/>
      <c r="M30" s="238"/>
      <c r="N30" s="238"/>
      <c r="O30" s="239"/>
      <c r="S30" s="236"/>
      <c r="T30" s="236"/>
      <c r="U30" s="236"/>
      <c r="V30" s="236"/>
      <c r="W30" s="236"/>
      <c r="X30" s="236"/>
      <c r="Y30" s="236"/>
      <c r="Z30" s="236"/>
      <c r="AA30" s="236"/>
      <c r="AB30" s="236"/>
      <c r="AC30" s="236"/>
      <c r="AD30" s="236"/>
      <c r="AE30" s="236"/>
      <c r="AF30" s="236"/>
    </row>
    <row r="31" spans="2:32" ht="156" customHeight="1" x14ac:dyDescent="0.4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2"/>
      <c r="S31" s="236"/>
      <c r="T31" s="236"/>
      <c r="U31" s="236"/>
      <c r="V31" s="236"/>
      <c r="W31" s="236"/>
      <c r="X31" s="236"/>
      <c r="Y31" s="236"/>
      <c r="Z31" s="236"/>
      <c r="AA31" s="236"/>
      <c r="AB31" s="236"/>
      <c r="AC31" s="236"/>
      <c r="AD31" s="243"/>
      <c r="AE31" s="243"/>
      <c r="AF31" s="243"/>
    </row>
    <row r="32" spans="2:32" x14ac:dyDescent="0.45">
      <c r="B32" s="212" t="s">
        <v>185</v>
      </c>
      <c r="C32" s="244"/>
      <c r="D32" s="244"/>
      <c r="E32" s="244"/>
      <c r="F32" s="244"/>
      <c r="G32" s="244"/>
      <c r="H32" s="244"/>
      <c r="I32" s="244"/>
      <c r="J32" s="244"/>
      <c r="K32" s="244"/>
      <c r="L32" s="244"/>
      <c r="M32" s="244"/>
      <c r="N32" s="244"/>
      <c r="O32" s="213"/>
      <c r="S32" s="243"/>
      <c r="T32" s="243"/>
      <c r="U32" s="243"/>
      <c r="V32" s="243"/>
      <c r="W32" s="243"/>
      <c r="X32" s="243"/>
      <c r="Y32" s="243"/>
      <c r="Z32" s="243"/>
      <c r="AA32" s="243"/>
      <c r="AB32" s="243"/>
      <c r="AC32" s="243"/>
      <c r="AD32" s="243"/>
      <c r="AE32" s="243"/>
      <c r="AF32" s="243"/>
    </row>
    <row r="33" spans="2:42" x14ac:dyDescent="0.45">
      <c r="B33" s="245"/>
      <c r="C33" s="245"/>
      <c r="D33" s="245"/>
      <c r="E33" s="245"/>
      <c r="F33" s="245"/>
      <c r="G33" s="245"/>
      <c r="H33" s="245"/>
      <c r="I33" s="245"/>
      <c r="J33" s="245"/>
      <c r="K33" s="245"/>
      <c r="L33" s="245"/>
      <c r="M33" s="245"/>
      <c r="N33" s="245"/>
      <c r="O33" s="245"/>
      <c r="S33" s="245"/>
      <c r="T33" s="245"/>
      <c r="U33" s="245"/>
      <c r="V33" s="245"/>
      <c r="W33" s="245"/>
      <c r="X33" s="245"/>
      <c r="Y33" s="245"/>
      <c r="Z33" s="245"/>
      <c r="AA33" s="245"/>
      <c r="AB33" s="245"/>
      <c r="AC33" s="245"/>
      <c r="AD33" s="245"/>
      <c r="AE33" s="245"/>
      <c r="AF33" s="245"/>
    </row>
    <row r="34" spans="2:42" x14ac:dyDescent="0.45">
      <c r="B34" s="245"/>
      <c r="C34" s="245"/>
      <c r="D34" s="245"/>
      <c r="E34" s="245"/>
      <c r="F34" s="245"/>
      <c r="G34" s="245"/>
      <c r="H34" s="245"/>
      <c r="I34" s="245"/>
      <c r="J34" s="245"/>
      <c r="K34" s="245"/>
      <c r="L34" s="245"/>
      <c r="M34" s="245"/>
      <c r="N34" s="245"/>
      <c r="O34" s="245"/>
      <c r="S34" s="245"/>
      <c r="T34" s="245"/>
      <c r="U34" s="245"/>
      <c r="V34" s="245"/>
      <c r="W34" s="245"/>
      <c r="X34" s="245"/>
      <c r="Y34" s="245"/>
      <c r="Z34" s="245"/>
      <c r="AA34" s="245"/>
      <c r="AB34" s="245"/>
      <c r="AC34" s="245"/>
      <c r="AD34" s="245"/>
      <c r="AE34" s="245"/>
      <c r="AF34" s="245"/>
    </row>
    <row r="35" spans="2:42" x14ac:dyDescent="0.45">
      <c r="B35" s="245"/>
      <c r="C35" s="245"/>
      <c r="D35" s="245"/>
      <c r="E35" s="245"/>
      <c r="F35" s="245"/>
      <c r="G35" s="245"/>
      <c r="H35" s="245"/>
      <c r="I35" s="245"/>
      <c r="J35" s="245"/>
      <c r="K35" s="245"/>
      <c r="L35" s="245"/>
      <c r="M35" s="245"/>
      <c r="N35" s="245"/>
      <c r="O35" s="245"/>
      <c r="S35" s="245"/>
      <c r="T35" s="245"/>
      <c r="U35" s="245"/>
      <c r="V35" s="245"/>
      <c r="W35" s="245"/>
      <c r="X35" s="245"/>
      <c r="Y35" s="245"/>
      <c r="Z35" s="245"/>
      <c r="AA35" s="245"/>
      <c r="AB35" s="245"/>
      <c r="AC35" s="245"/>
      <c r="AD35" s="245"/>
      <c r="AE35" s="245"/>
      <c r="AF35" s="245"/>
    </row>
    <row r="36" spans="2:42" x14ac:dyDescent="0.45">
      <c r="B36" s="245"/>
      <c r="C36" s="245"/>
      <c r="D36" s="245"/>
      <c r="E36" s="245"/>
      <c r="F36" s="245"/>
      <c r="G36" s="245"/>
      <c r="H36" s="245"/>
      <c r="I36" s="245"/>
      <c r="J36" s="245"/>
      <c r="K36" s="245"/>
      <c r="L36" s="245"/>
      <c r="M36" s="245"/>
      <c r="N36" s="245"/>
      <c r="O36" s="245"/>
      <c r="S36" s="245"/>
      <c r="T36" s="245"/>
      <c r="U36" s="245"/>
      <c r="V36" s="245"/>
      <c r="W36" s="245"/>
      <c r="X36" s="245"/>
      <c r="Y36" s="245"/>
      <c r="Z36" s="245"/>
      <c r="AA36" s="245"/>
      <c r="AB36" s="245"/>
      <c r="AC36" s="245"/>
      <c r="AD36" s="245"/>
      <c r="AE36" s="245"/>
      <c r="AF36" s="245"/>
    </row>
    <row r="37" spans="2:42" x14ac:dyDescent="0.45">
      <c r="B37" s="246" t="s">
        <v>428</v>
      </c>
      <c r="C37" s="246"/>
      <c r="D37" s="245"/>
      <c r="E37" s="245"/>
      <c r="F37" s="234" t="s">
        <v>422</v>
      </c>
      <c r="G37" s="234"/>
      <c r="H37" s="234"/>
      <c r="I37" s="234"/>
      <c r="J37" s="234"/>
      <c r="K37" s="234"/>
      <c r="L37" s="245"/>
      <c r="M37" s="246" t="s">
        <v>427</v>
      </c>
      <c r="N37" s="246"/>
      <c r="O37" s="246"/>
      <c r="S37" s="245"/>
      <c r="T37" s="245"/>
      <c r="U37" s="245"/>
      <c r="V37" s="245"/>
      <c r="W37" s="245"/>
      <c r="X37" s="245"/>
      <c r="Y37" s="245"/>
      <c r="Z37" s="245"/>
      <c r="AA37" s="245"/>
      <c r="AB37" s="245"/>
      <c r="AC37" s="245"/>
      <c r="AD37" s="245"/>
      <c r="AE37" s="245"/>
      <c r="AF37" s="245"/>
    </row>
    <row r="38" spans="2:42" ht="14.25" customHeight="1" x14ac:dyDescent="0.45">
      <c r="B38" s="247" t="s">
        <v>56</v>
      </c>
      <c r="C38" s="247"/>
      <c r="D38" s="248"/>
      <c r="E38" s="248"/>
      <c r="F38" s="247" t="s">
        <v>395</v>
      </c>
      <c r="G38" s="247"/>
      <c r="H38" s="247"/>
      <c r="I38" s="247"/>
      <c r="J38" s="247"/>
      <c r="K38" s="247"/>
      <c r="L38" s="248"/>
      <c r="M38" s="247" t="s">
        <v>227</v>
      </c>
      <c r="N38" s="247"/>
      <c r="O38" s="247"/>
      <c r="S38" s="245"/>
      <c r="T38" s="245"/>
      <c r="U38" s="245"/>
      <c r="V38" s="245"/>
      <c r="W38" s="245"/>
      <c r="X38" s="245"/>
      <c r="Y38" s="245"/>
      <c r="Z38" s="245"/>
      <c r="AA38" s="245"/>
      <c r="AB38" s="245"/>
      <c r="AC38" s="245"/>
      <c r="AD38" s="245"/>
      <c r="AE38" s="245"/>
      <c r="AF38" s="245"/>
    </row>
    <row r="39" spans="2:42" ht="14.25" customHeight="1" x14ac:dyDescent="0.45">
      <c r="B39" s="245"/>
      <c r="C39" s="249"/>
      <c r="D39" s="249"/>
      <c r="E39" s="249"/>
      <c r="F39" s="249"/>
      <c r="G39" s="245"/>
      <c r="H39" s="245"/>
      <c r="I39" s="249"/>
      <c r="J39" s="249"/>
      <c r="K39" s="249"/>
      <c r="L39" s="249"/>
      <c r="M39" s="245"/>
      <c r="N39" s="245"/>
      <c r="O39" s="245"/>
      <c r="S39" s="245"/>
      <c r="T39" s="245"/>
      <c r="U39" s="245"/>
      <c r="V39" s="245"/>
      <c r="W39" s="245"/>
      <c r="X39" s="245"/>
      <c r="Y39" s="245"/>
      <c r="Z39" s="245"/>
      <c r="AA39" s="245"/>
      <c r="AB39" s="245"/>
      <c r="AC39" s="245"/>
      <c r="AD39" s="245"/>
      <c r="AE39" s="245"/>
      <c r="AF39" s="245"/>
    </row>
    <row r="40" spans="2:42" x14ac:dyDescent="0.45">
      <c r="B40" s="250"/>
      <c r="C40" s="106"/>
      <c r="D40" s="106"/>
      <c r="E40" s="106"/>
      <c r="F40" s="105"/>
      <c r="G40" s="105"/>
      <c r="H40" s="105"/>
      <c r="I40" s="105"/>
      <c r="J40" s="105"/>
      <c r="K40" s="105"/>
      <c r="L40" s="105"/>
      <c r="M40" s="105"/>
      <c r="N40" s="105"/>
      <c r="O40" s="105"/>
    </row>
    <row r="41" spans="2:42" ht="15.75" customHeight="1" x14ac:dyDescent="0.45">
      <c r="B41" s="251" t="s">
        <v>410</v>
      </c>
      <c r="C41" s="251"/>
      <c r="D41" s="105"/>
      <c r="E41" s="105"/>
      <c r="F41" s="190"/>
      <c r="G41" s="190"/>
      <c r="H41" s="190"/>
      <c r="I41" s="190"/>
      <c r="J41" s="190"/>
      <c r="K41" s="252"/>
      <c r="L41" s="252"/>
      <c r="M41" s="105"/>
      <c r="N41" s="253" t="s">
        <v>412</v>
      </c>
      <c r="O41" s="253"/>
    </row>
    <row r="42" spans="2:42" ht="20.100000000000001" customHeight="1" x14ac:dyDescent="0.45"/>
    <row r="43" spans="2:42" x14ac:dyDescent="0.45">
      <c r="AP43" s="254"/>
    </row>
  </sheetData>
  <mergeCells count="46">
    <mergeCell ref="F38:K38"/>
    <mergeCell ref="M38:O38"/>
    <mergeCell ref="Z31:AC31"/>
    <mergeCell ref="AD31:AF31"/>
    <mergeCell ref="S32:T32"/>
    <mergeCell ref="U32:Y32"/>
    <mergeCell ref="Z32:AC32"/>
    <mergeCell ref="AD32:AF32"/>
    <mergeCell ref="U31:Y31"/>
    <mergeCell ref="U30:Y30"/>
    <mergeCell ref="Z30:AC30"/>
    <mergeCell ref="AD30:AF30"/>
    <mergeCell ref="S31:T31"/>
    <mergeCell ref="B41:C41"/>
    <mergeCell ref="F41:J41"/>
    <mergeCell ref="K41:L41"/>
    <mergeCell ref="N41:O41"/>
    <mergeCell ref="S29:T30"/>
    <mergeCell ref="B30:O31"/>
    <mergeCell ref="B32:O32"/>
    <mergeCell ref="B29:O29"/>
    <mergeCell ref="B37:C37"/>
    <mergeCell ref="F37:K37"/>
    <mergeCell ref="M37:O37"/>
    <mergeCell ref="B38:C38"/>
    <mergeCell ref="H15:K15"/>
    <mergeCell ref="M15:O15"/>
    <mergeCell ref="S16:Y16"/>
    <mergeCell ref="E15:F15"/>
    <mergeCell ref="U29:AF29"/>
    <mergeCell ref="B11:O11"/>
    <mergeCell ref="B2:B3"/>
    <mergeCell ref="C2:L3"/>
    <mergeCell ref="B16:O16"/>
    <mergeCell ref="B17:O28"/>
    <mergeCell ref="M2:O3"/>
    <mergeCell ref="C4:E4"/>
    <mergeCell ref="F4:K4"/>
    <mergeCell ref="C6:J6"/>
    <mergeCell ref="B7:C7"/>
    <mergeCell ref="B15:D15"/>
    <mergeCell ref="B12:D14"/>
    <mergeCell ref="E12:G14"/>
    <mergeCell ref="H12:K14"/>
    <mergeCell ref="L12:L14"/>
    <mergeCell ref="M12:O1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5" orientation="portrait" r:id="rId1"/>
  <rowBreaks count="1" manualBreakCount="1">
    <brk id="42" max="16383" man="1"/>
  </rowBreaks>
  <colBreaks count="1" manualBreakCount="1">
    <brk id="16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7089" r:id="rId4" name="Check Box 1">
              <controlPr defaultSize="0" autoFill="0" autoLine="0" autoPict="0">
                <anchor moveWithCells="1">
                  <from>
                    <xdr:col>1</xdr:col>
                    <xdr:colOff>1047750</xdr:colOff>
                    <xdr:row>0</xdr:row>
                    <xdr:rowOff>161925</xdr:rowOff>
                  </from>
                  <to>
                    <xdr:col>1</xdr:col>
                    <xdr:colOff>1047750</xdr:colOff>
                    <xdr:row>0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90" r:id="rId5" name="Check Box 2">
              <controlPr defaultSize="0" autoFill="0" autoLine="0" autoPict="0">
                <anchor moveWithCells="1">
                  <from>
                    <xdr:col>1</xdr:col>
                    <xdr:colOff>1047750</xdr:colOff>
                    <xdr:row>0</xdr:row>
                    <xdr:rowOff>180975</xdr:rowOff>
                  </from>
                  <to>
                    <xdr:col>1</xdr:col>
                    <xdr:colOff>1047750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91" r:id="rId6" name="Check Box 3">
              <controlPr defaultSize="0" autoFill="0" autoLine="0" autoPict="0">
                <anchor moveWithCells="1">
                  <from>
                    <xdr:col>1</xdr:col>
                    <xdr:colOff>1047750</xdr:colOff>
                    <xdr:row>0</xdr:row>
                    <xdr:rowOff>228600</xdr:rowOff>
                  </from>
                  <to>
                    <xdr:col>1</xdr:col>
                    <xdr:colOff>1047750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92" r:id="rId7" name="Check Box 4">
              <controlPr defaultSize="0" autoFill="0" autoLine="0" autoPict="0">
                <anchor moveWithCells="1">
                  <from>
                    <xdr:col>1</xdr:col>
                    <xdr:colOff>1047750</xdr:colOff>
                    <xdr:row>0</xdr:row>
                    <xdr:rowOff>238125</xdr:rowOff>
                  </from>
                  <to>
                    <xdr:col>1</xdr:col>
                    <xdr:colOff>1047750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93" r:id="rId8" name="Check Box 5">
              <controlPr defaultSize="0" autoFill="0" autoLine="0" autoPict="0">
                <anchor moveWithCells="1">
                  <from>
                    <xdr:col>1</xdr:col>
                    <xdr:colOff>1276350</xdr:colOff>
                    <xdr:row>0</xdr:row>
                    <xdr:rowOff>161925</xdr:rowOff>
                  </from>
                  <to>
                    <xdr:col>2</xdr:col>
                    <xdr:colOff>9525</xdr:colOff>
                    <xdr:row>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94" r:id="rId9" name="Check Box 6">
              <controlPr defaultSize="0" autoFill="0" autoLine="0" autoPict="0">
                <anchor moveWithCells="1">
                  <from>
                    <xdr:col>1</xdr:col>
                    <xdr:colOff>1276350</xdr:colOff>
                    <xdr:row>0</xdr:row>
                    <xdr:rowOff>180975</xdr:rowOff>
                  </from>
                  <to>
                    <xdr:col>2</xdr:col>
                    <xdr:colOff>9525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95" r:id="rId10" name="Check Box 7">
              <controlPr defaultSize="0" autoFill="0" autoLine="0" autoPict="0">
                <anchor moveWithCells="1">
                  <from>
                    <xdr:col>1</xdr:col>
                    <xdr:colOff>1276350</xdr:colOff>
                    <xdr:row>0</xdr:row>
                    <xdr:rowOff>190500</xdr:rowOff>
                  </from>
                  <to>
                    <xdr:col>2</xdr:col>
                    <xdr:colOff>9525</xdr:colOff>
                    <xdr:row>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42" r:id="rId11" name="Check Box 54">
              <controlPr defaultSize="0" autoFill="0" autoLine="0" autoPict="0">
                <anchor moveWithCells="1">
                  <from>
                    <xdr:col>3</xdr:col>
                    <xdr:colOff>238125</xdr:colOff>
                    <xdr:row>6</xdr:row>
                    <xdr:rowOff>9525</xdr:rowOff>
                  </from>
                  <to>
                    <xdr:col>4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43" r:id="rId12" name="Check Box 55">
              <controlPr defaultSize="0" autoFill="0" autoLine="0" autoPict="0">
                <anchor moveWithCells="1">
                  <from>
                    <xdr:col>3</xdr:col>
                    <xdr:colOff>238125</xdr:colOff>
                    <xdr:row>7</xdr:row>
                    <xdr:rowOff>9525</xdr:rowOff>
                  </from>
                  <to>
                    <xdr:col>4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44" r:id="rId13" name="Check Box 56">
              <controlPr defaultSize="0" autoFill="0" autoLine="0" autoPict="0">
                <anchor moveWithCells="1">
                  <from>
                    <xdr:col>3</xdr:col>
                    <xdr:colOff>238125</xdr:colOff>
                    <xdr:row>8</xdr:row>
                    <xdr:rowOff>9525</xdr:rowOff>
                  </from>
                  <to>
                    <xdr:col>4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45" r:id="rId14" name="Check Box 57">
              <controlPr defaultSize="0" autoFill="0" autoLine="0" autoPict="0">
                <anchor moveWithCells="1">
                  <from>
                    <xdr:col>3</xdr:col>
                    <xdr:colOff>238125</xdr:colOff>
                    <xdr:row>9</xdr:row>
                    <xdr:rowOff>9525</xdr:rowOff>
                  </from>
                  <to>
                    <xdr:col>4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46" r:id="rId15" name="Check Box 58">
              <controlPr defaultSize="0" autoFill="0" autoLine="0" autoPict="0">
                <anchor moveWithCells="1">
                  <from>
                    <xdr:col>11</xdr:col>
                    <xdr:colOff>781050</xdr:colOff>
                    <xdr:row>6</xdr:row>
                    <xdr:rowOff>9525</xdr:rowOff>
                  </from>
                  <to>
                    <xdr:col>12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47" r:id="rId16" name="Check Box 59">
              <controlPr defaultSize="0" autoFill="0" autoLine="0" autoPict="0">
                <anchor moveWithCells="1">
                  <from>
                    <xdr:col>11</xdr:col>
                    <xdr:colOff>781050</xdr:colOff>
                    <xdr:row>7</xdr:row>
                    <xdr:rowOff>9525</xdr:rowOff>
                  </from>
                  <to>
                    <xdr:col>12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48" r:id="rId17" name="Check Box 60">
              <controlPr defaultSize="0" autoFill="0" autoLine="0" autoPict="0">
                <anchor moveWithCells="1">
                  <from>
                    <xdr:col>11</xdr:col>
                    <xdr:colOff>781050</xdr:colOff>
                    <xdr:row>8</xdr:row>
                    <xdr:rowOff>9525</xdr:rowOff>
                  </from>
                  <to>
                    <xdr:col>12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81"/>
  <sheetViews>
    <sheetView view="pageBreakPreview" zoomScale="93" zoomScaleNormal="100" zoomScaleSheetLayoutView="93" workbookViewId="0">
      <selection activeCell="D39" sqref="D39"/>
    </sheetView>
  </sheetViews>
  <sheetFormatPr baseColWidth="10" defaultRowHeight="18.75" x14ac:dyDescent="0.45"/>
  <cols>
    <col min="1" max="1" width="4.7109375" style="23" customWidth="1"/>
    <col min="2" max="2" width="13.7109375" style="23" customWidth="1"/>
    <col min="3" max="8" width="14.28515625" style="23" customWidth="1"/>
    <col min="9" max="9" width="13.7109375" style="23" customWidth="1"/>
    <col min="10" max="10" width="4.7109375" style="23" customWidth="1"/>
    <col min="11" max="13" width="11.42578125" style="23"/>
    <col min="14" max="14" width="13.7109375" style="23" customWidth="1"/>
    <col min="15" max="16384" width="11.42578125" style="23"/>
  </cols>
  <sheetData>
    <row r="1" spans="2:9" ht="15" customHeight="1" x14ac:dyDescent="0.45"/>
    <row r="2" spans="2:9" ht="12.75" customHeight="1" x14ac:dyDescent="0.45">
      <c r="B2" s="255"/>
      <c r="C2" s="256"/>
      <c r="D2" s="142" t="s">
        <v>431</v>
      </c>
      <c r="E2" s="142"/>
      <c r="F2" s="142"/>
      <c r="G2" s="143"/>
      <c r="H2" s="257" t="s">
        <v>139</v>
      </c>
      <c r="I2" s="258"/>
    </row>
    <row r="3" spans="2:9" ht="12.75" customHeight="1" x14ac:dyDescent="0.45">
      <c r="B3" s="259"/>
      <c r="C3" s="260"/>
      <c r="D3" s="261"/>
      <c r="E3" s="261"/>
      <c r="F3" s="261"/>
      <c r="G3" s="262"/>
      <c r="H3" s="263"/>
      <c r="I3" s="264"/>
    </row>
    <row r="4" spans="2:9" ht="12.75" customHeight="1" x14ac:dyDescent="0.45">
      <c r="B4" s="259"/>
      <c r="C4" s="260"/>
      <c r="D4" s="261"/>
      <c r="E4" s="261"/>
      <c r="F4" s="261"/>
      <c r="G4" s="262"/>
      <c r="H4" s="263"/>
      <c r="I4" s="264"/>
    </row>
    <row r="5" spans="2:9" ht="12.75" customHeight="1" x14ac:dyDescent="0.45">
      <c r="B5" s="265"/>
      <c r="C5" s="266"/>
      <c r="D5" s="149"/>
      <c r="E5" s="149"/>
      <c r="F5" s="149"/>
      <c r="G5" s="150"/>
      <c r="H5" s="267"/>
      <c r="I5" s="268"/>
    </row>
    <row r="6" spans="2:9" x14ac:dyDescent="0.45">
      <c r="B6" s="269" t="s">
        <v>201</v>
      </c>
      <c r="C6" s="270"/>
      <c r="D6" s="271">
        <f>DATOS!AE7</f>
        <v>0</v>
      </c>
      <c r="E6" s="272"/>
      <c r="F6" s="272"/>
      <c r="G6" s="157" t="s">
        <v>57</v>
      </c>
      <c r="H6" s="273" t="str">
        <f>TERMOGRAFIA!M4</f>
        <v>4/2/2021</v>
      </c>
      <c r="I6" s="256"/>
    </row>
    <row r="7" spans="2:9" x14ac:dyDescent="0.45">
      <c r="B7" s="274" t="s">
        <v>140</v>
      </c>
      <c r="C7" s="275"/>
      <c r="D7" s="177" t="s">
        <v>421</v>
      </c>
      <c r="E7" s="276"/>
      <c r="F7" s="276"/>
      <c r="G7" s="277" t="s">
        <v>131</v>
      </c>
      <c r="H7" s="278" t="s">
        <v>192</v>
      </c>
      <c r="I7" s="279"/>
    </row>
    <row r="8" spans="2:9" x14ac:dyDescent="0.45">
      <c r="B8" s="280" t="s">
        <v>396</v>
      </c>
      <c r="C8" s="281"/>
      <c r="D8" s="272"/>
      <c r="E8" s="272"/>
      <c r="F8" s="272"/>
      <c r="G8" s="272"/>
      <c r="H8" s="272"/>
      <c r="I8" s="282"/>
    </row>
    <row r="9" spans="2:9" ht="4.5" customHeight="1" x14ac:dyDescent="0.45">
      <c r="B9" s="283"/>
      <c r="C9" s="284"/>
      <c r="I9" s="285"/>
    </row>
    <row r="10" spans="2:9" x14ac:dyDescent="0.45">
      <c r="B10" s="286"/>
      <c r="D10" s="105" t="s">
        <v>133</v>
      </c>
      <c r="G10" s="105" t="s">
        <v>141</v>
      </c>
      <c r="I10" s="285"/>
    </row>
    <row r="11" spans="2:9" x14ac:dyDescent="0.45">
      <c r="B11" s="286"/>
      <c r="D11" s="105" t="s">
        <v>134</v>
      </c>
      <c r="G11" s="105" t="s">
        <v>142</v>
      </c>
      <c r="I11" s="285"/>
    </row>
    <row r="12" spans="2:9" x14ac:dyDescent="0.45">
      <c r="B12" s="286"/>
      <c r="D12" s="105" t="s">
        <v>143</v>
      </c>
      <c r="G12" s="105" t="s">
        <v>144</v>
      </c>
      <c r="I12" s="285"/>
    </row>
    <row r="13" spans="2:9" x14ac:dyDescent="0.45">
      <c r="B13" s="287"/>
      <c r="C13" s="276"/>
      <c r="D13" s="177" t="s">
        <v>145</v>
      </c>
      <c r="E13" s="276"/>
      <c r="F13" s="276"/>
      <c r="G13" s="276"/>
      <c r="H13" s="276"/>
      <c r="I13" s="288"/>
    </row>
    <row r="14" spans="2:9" x14ac:dyDescent="0.45">
      <c r="B14" s="269" t="s">
        <v>135</v>
      </c>
      <c r="C14" s="270"/>
      <c r="D14" s="270"/>
      <c r="E14" s="272" t="s">
        <v>146</v>
      </c>
      <c r="F14" s="272"/>
      <c r="G14" s="170" t="s">
        <v>147</v>
      </c>
      <c r="H14" s="171" t="s">
        <v>204</v>
      </c>
      <c r="I14" s="282"/>
    </row>
    <row r="15" spans="2:9" ht="4.5" customHeight="1" x14ac:dyDescent="0.45">
      <c r="B15" s="287"/>
      <c r="C15" s="276"/>
      <c r="D15" s="276"/>
      <c r="E15" s="276"/>
      <c r="F15" s="276"/>
      <c r="G15" s="177"/>
      <c r="H15" s="276"/>
      <c r="I15" s="288"/>
    </row>
    <row r="16" spans="2:9" x14ac:dyDescent="0.45">
      <c r="B16" s="280" t="s">
        <v>148</v>
      </c>
      <c r="C16" s="281"/>
      <c r="D16" s="272"/>
      <c r="E16" s="272"/>
      <c r="F16" s="272"/>
      <c r="G16" s="272"/>
      <c r="H16" s="272"/>
      <c r="I16" s="282"/>
    </row>
    <row r="17" spans="2:9" x14ac:dyDescent="0.45">
      <c r="B17" s="289" t="s">
        <v>397</v>
      </c>
      <c r="C17" s="290"/>
      <c r="D17" s="290"/>
      <c r="E17" s="290"/>
      <c r="F17" s="290"/>
      <c r="G17" s="290"/>
      <c r="H17" s="290"/>
      <c r="I17" s="285"/>
    </row>
    <row r="18" spans="2:9" ht="4.5" customHeight="1" x14ac:dyDescent="0.45">
      <c r="B18" s="287"/>
      <c r="C18" s="276"/>
      <c r="D18" s="276"/>
      <c r="E18" s="276"/>
      <c r="F18" s="276"/>
      <c r="G18" s="276"/>
      <c r="H18" s="276"/>
      <c r="I18" s="288"/>
    </row>
    <row r="20" spans="2:9" x14ac:dyDescent="0.45">
      <c r="B20" s="284" t="s">
        <v>149</v>
      </c>
      <c r="C20" s="284"/>
      <c r="D20" s="291"/>
      <c r="E20" s="291"/>
    </row>
    <row r="21" spans="2:9" x14ac:dyDescent="0.45">
      <c r="D21" s="291" t="s">
        <v>432</v>
      </c>
      <c r="E21" s="291" t="s">
        <v>433</v>
      </c>
    </row>
    <row r="23" spans="2:9" x14ac:dyDescent="0.45">
      <c r="B23" s="284" t="s">
        <v>150</v>
      </c>
      <c r="C23" s="284"/>
    </row>
    <row r="24" spans="2:9" x14ac:dyDescent="0.45">
      <c r="E24" s="292" t="s">
        <v>151</v>
      </c>
      <c r="F24" s="292"/>
      <c r="G24" s="292" t="s">
        <v>152</v>
      </c>
      <c r="H24" s="292"/>
    </row>
    <row r="25" spans="2:9" x14ac:dyDescent="0.45">
      <c r="E25" s="292" t="s">
        <v>153</v>
      </c>
      <c r="F25" s="292"/>
      <c r="G25" s="292" t="s">
        <v>154</v>
      </c>
      <c r="H25" s="292"/>
    </row>
    <row r="26" spans="2:9" x14ac:dyDescent="0.45">
      <c r="D26" s="293" t="s">
        <v>155</v>
      </c>
      <c r="E26" s="294">
        <v>11.55</v>
      </c>
      <c r="F26" s="295"/>
      <c r="G26" s="294">
        <v>11.32</v>
      </c>
      <c r="H26" s="295"/>
    </row>
    <row r="27" spans="2:9" x14ac:dyDescent="0.45">
      <c r="D27" s="293" t="s">
        <v>156</v>
      </c>
      <c r="E27" s="294">
        <v>10.5</v>
      </c>
      <c r="F27" s="295"/>
      <c r="G27" s="294">
        <v>10.3</v>
      </c>
      <c r="H27" s="295"/>
    </row>
    <row r="28" spans="2:9" hidden="1" x14ac:dyDescent="0.45">
      <c r="D28" s="296" t="s">
        <v>205</v>
      </c>
      <c r="E28" s="297">
        <f>E26-E27</f>
        <v>1.0500000000000007</v>
      </c>
      <c r="F28" s="297">
        <f>F26-F27</f>
        <v>0</v>
      </c>
      <c r="G28" s="297">
        <f>G26-G27</f>
        <v>1.0199999999999996</v>
      </c>
      <c r="H28" s="297">
        <f>H26-H27</f>
        <v>0</v>
      </c>
    </row>
    <row r="29" spans="2:9" hidden="1" x14ac:dyDescent="0.45">
      <c r="D29" s="296" t="s">
        <v>157</v>
      </c>
      <c r="E29" s="297">
        <v>3.32</v>
      </c>
      <c r="F29" s="297">
        <v>3.32</v>
      </c>
      <c r="G29" s="297">
        <v>3.32</v>
      </c>
      <c r="H29" s="297">
        <v>3.32</v>
      </c>
    </row>
    <row r="30" spans="2:9" hidden="1" x14ac:dyDescent="0.45">
      <c r="D30" s="296" t="s">
        <v>158</v>
      </c>
      <c r="E30" s="296">
        <v>5.3</v>
      </c>
      <c r="F30" s="296">
        <v>5.3</v>
      </c>
      <c r="G30" s="296">
        <v>5.3</v>
      </c>
      <c r="H30" s="296">
        <v>5.3</v>
      </c>
    </row>
    <row r="31" spans="2:9" hidden="1" x14ac:dyDescent="0.45">
      <c r="D31" s="296" t="s">
        <v>159</v>
      </c>
      <c r="E31" s="298">
        <v>12</v>
      </c>
      <c r="F31" s="298">
        <v>12</v>
      </c>
      <c r="G31" s="298">
        <v>12</v>
      </c>
      <c r="H31" s="298">
        <v>12</v>
      </c>
    </row>
    <row r="32" spans="2:9" hidden="1" x14ac:dyDescent="0.45">
      <c r="D32" s="296" t="s">
        <v>160</v>
      </c>
      <c r="E32" s="299">
        <v>1.5</v>
      </c>
      <c r="F32" s="299">
        <v>1.5</v>
      </c>
      <c r="G32" s="299">
        <v>1.5</v>
      </c>
      <c r="H32" s="299">
        <v>1.5</v>
      </c>
    </row>
    <row r="33" spans="2:9" hidden="1" x14ac:dyDescent="0.45">
      <c r="D33" s="296" t="s">
        <v>161</v>
      </c>
      <c r="E33" s="297">
        <v>58</v>
      </c>
      <c r="F33" s="297">
        <v>58</v>
      </c>
      <c r="G33" s="297">
        <v>58</v>
      </c>
      <c r="H33" s="297">
        <v>58</v>
      </c>
    </row>
    <row r="34" spans="2:9" hidden="1" x14ac:dyDescent="0.45">
      <c r="D34" s="296" t="s">
        <v>162</v>
      </c>
      <c r="E34" s="299">
        <f>RADIANS(E33)</f>
        <v>1.0122909661567112</v>
      </c>
      <c r="F34" s="299">
        <f>RADIANS(F33)</f>
        <v>1.0122909661567112</v>
      </c>
      <c r="G34" s="299">
        <f>RADIANS(G33)</f>
        <v>1.0122909661567112</v>
      </c>
      <c r="H34" s="299">
        <f>RADIANS(H33)</f>
        <v>1.0122909661567112</v>
      </c>
    </row>
    <row r="35" spans="2:9" hidden="1" x14ac:dyDescent="0.45">
      <c r="D35" s="296" t="s">
        <v>206</v>
      </c>
      <c r="E35" s="299">
        <f>(E32^2-(SIN(E34))^2)^0.5/(COS(E34))-1</f>
        <v>1.3348101113476663</v>
      </c>
      <c r="F35" s="299">
        <f>(F32^2-(SIN(F34))^2)^0.5/(COS(F34))-1</f>
        <v>1.3348101113476663</v>
      </c>
      <c r="G35" s="299">
        <f>(G32^2-(SIN(G34))^2)^0.5/(COS(G34))-1</f>
        <v>1.3348101113476663</v>
      </c>
      <c r="H35" s="299">
        <f>(H32^2-(SIN(H34))^2)^0.5/(COS(H34))-1</f>
        <v>1.3348101113476663</v>
      </c>
    </row>
    <row r="36" spans="2:9" hidden="1" x14ac:dyDescent="0.45">
      <c r="D36" s="296" t="s">
        <v>163</v>
      </c>
      <c r="E36" s="300">
        <f>(E28*(E29+E30)*(E32-1)*COS(E34))/(E31*E29*E30*E35)</f>
        <v>8.5086682269932944E-3</v>
      </c>
      <c r="F36" s="300">
        <f>(F28*(F29+F30)*(F32-1)*COS(F34))/(F31*F29*F30*F35)</f>
        <v>0</v>
      </c>
      <c r="G36" s="300">
        <f>(G28*(G29+G30)*(G32-1)*COS(G34))/(G31*G29*G30*G35)</f>
        <v>8.2655634205077624E-3</v>
      </c>
      <c r="H36" s="300">
        <f>(H28*(H29+H30)*(H32-1)*COS(H34))/(H31*H29*H30*H35)</f>
        <v>0</v>
      </c>
    </row>
    <row r="37" spans="2:9" x14ac:dyDescent="0.45">
      <c r="B37" s="301"/>
      <c r="C37" s="302" t="s">
        <v>398</v>
      </c>
      <c r="D37" s="293" t="s">
        <v>164</v>
      </c>
      <c r="E37" s="303">
        <f>E36*10000</f>
        <v>85.08668226993295</v>
      </c>
      <c r="F37" s="304">
        <f>F36*10000</f>
        <v>0</v>
      </c>
      <c r="G37" s="303">
        <f>G36*10000</f>
        <v>82.655634205077618</v>
      </c>
      <c r="H37" s="304">
        <f>H36*10000</f>
        <v>0</v>
      </c>
    </row>
    <row r="38" spans="2:9" x14ac:dyDescent="0.45">
      <c r="B38" s="301"/>
      <c r="C38" s="305" t="s">
        <v>399</v>
      </c>
      <c r="D38" s="293" t="s">
        <v>164</v>
      </c>
      <c r="E38" s="293" t="s">
        <v>242</v>
      </c>
      <c r="F38" s="293" t="s">
        <v>242</v>
      </c>
      <c r="G38" s="293" t="s">
        <v>243</v>
      </c>
      <c r="H38" s="293" t="s">
        <v>243</v>
      </c>
    </row>
    <row r="39" spans="2:9" x14ac:dyDescent="0.45">
      <c r="B39" s="301"/>
      <c r="C39" s="301"/>
      <c r="D39" s="306"/>
    </row>
    <row r="41" spans="2:9" x14ac:dyDescent="0.45">
      <c r="B41" s="307" t="s">
        <v>207</v>
      </c>
      <c r="C41" s="308"/>
      <c r="D41" s="309"/>
      <c r="G41" s="307" t="s">
        <v>208</v>
      </c>
      <c r="H41" s="308"/>
      <c r="I41" s="309"/>
    </row>
    <row r="42" spans="2:9" x14ac:dyDescent="0.45">
      <c r="B42" s="310"/>
      <c r="C42" s="310"/>
      <c r="D42" s="310"/>
      <c r="G42" s="310"/>
      <c r="H42" s="310"/>
      <c r="I42" s="310"/>
    </row>
    <row r="43" spans="2:9" x14ac:dyDescent="0.45">
      <c r="B43" s="310"/>
      <c r="C43" s="310"/>
      <c r="D43" s="310"/>
      <c r="G43" s="310"/>
      <c r="H43" s="310"/>
      <c r="I43" s="310"/>
    </row>
    <row r="44" spans="2:9" x14ac:dyDescent="0.45">
      <c r="B44" s="310"/>
      <c r="C44" s="310"/>
      <c r="D44" s="310"/>
      <c r="G44" s="310"/>
      <c r="H44" s="310"/>
      <c r="I44" s="310"/>
    </row>
    <row r="45" spans="2:9" x14ac:dyDescent="0.45">
      <c r="B45" s="310"/>
      <c r="C45" s="310"/>
      <c r="D45" s="310"/>
      <c r="G45" s="310"/>
      <c r="H45" s="310"/>
      <c r="I45" s="310"/>
    </row>
    <row r="46" spans="2:9" x14ac:dyDescent="0.45">
      <c r="B46" s="310"/>
      <c r="C46" s="310"/>
      <c r="D46" s="310"/>
      <c r="G46" s="310"/>
      <c r="H46" s="310"/>
      <c r="I46" s="310"/>
    </row>
    <row r="47" spans="2:9" x14ac:dyDescent="0.45">
      <c r="B47" s="310"/>
      <c r="C47" s="310"/>
      <c r="D47" s="310"/>
      <c r="G47" s="310"/>
      <c r="H47" s="310"/>
      <c r="I47" s="310"/>
    </row>
    <row r="48" spans="2:9" x14ac:dyDescent="0.45">
      <c r="B48" s="310"/>
      <c r="C48" s="310"/>
      <c r="D48" s="310"/>
      <c r="G48" s="310"/>
      <c r="H48" s="310"/>
      <c r="I48" s="310"/>
    </row>
    <row r="49" spans="2:9" x14ac:dyDescent="0.45">
      <c r="B49" s="310"/>
      <c r="C49" s="310"/>
      <c r="D49" s="310"/>
      <c r="G49" s="310"/>
      <c r="H49" s="310"/>
      <c r="I49" s="310"/>
    </row>
    <row r="50" spans="2:9" x14ac:dyDescent="0.45">
      <c r="B50" s="310"/>
      <c r="C50" s="310"/>
      <c r="D50" s="310"/>
      <c r="G50" s="310"/>
      <c r="H50" s="310"/>
      <c r="I50" s="310"/>
    </row>
    <row r="51" spans="2:9" x14ac:dyDescent="0.45">
      <c r="B51" s="310"/>
      <c r="C51" s="310"/>
      <c r="D51" s="310"/>
      <c r="G51" s="310"/>
      <c r="H51" s="310"/>
      <c r="I51" s="310"/>
    </row>
    <row r="52" spans="2:9" x14ac:dyDescent="0.45">
      <c r="B52" s="310"/>
      <c r="C52" s="310"/>
      <c r="D52" s="310"/>
      <c r="G52" s="310"/>
      <c r="H52" s="310"/>
      <c r="I52" s="310"/>
    </row>
    <row r="53" spans="2:9" x14ac:dyDescent="0.45">
      <c r="B53" s="310"/>
      <c r="C53" s="310"/>
      <c r="D53" s="310"/>
      <c r="G53" s="310"/>
      <c r="H53" s="310"/>
      <c r="I53" s="310"/>
    </row>
    <row r="56" spans="2:9" x14ac:dyDescent="0.45">
      <c r="B56" s="307" t="s">
        <v>209</v>
      </c>
      <c r="C56" s="308"/>
      <c r="D56" s="309"/>
      <c r="G56" s="307" t="s">
        <v>210</v>
      </c>
      <c r="H56" s="308"/>
      <c r="I56" s="309"/>
    </row>
    <row r="57" spans="2:9" x14ac:dyDescent="0.45">
      <c r="B57" s="310"/>
      <c r="C57" s="310"/>
      <c r="D57" s="310"/>
      <c r="G57" s="310"/>
      <c r="H57" s="310"/>
      <c r="I57" s="310"/>
    </row>
    <row r="58" spans="2:9" x14ac:dyDescent="0.45">
      <c r="B58" s="310"/>
      <c r="C58" s="310"/>
      <c r="D58" s="310"/>
      <c r="G58" s="310"/>
      <c r="H58" s="310"/>
      <c r="I58" s="310"/>
    </row>
    <row r="59" spans="2:9" x14ac:dyDescent="0.45">
      <c r="B59" s="310"/>
      <c r="C59" s="310"/>
      <c r="D59" s="310"/>
      <c r="G59" s="310"/>
      <c r="H59" s="310"/>
      <c r="I59" s="310"/>
    </row>
    <row r="60" spans="2:9" x14ac:dyDescent="0.45">
      <c r="B60" s="310"/>
      <c r="C60" s="310"/>
      <c r="D60" s="310"/>
      <c r="G60" s="310"/>
      <c r="H60" s="310"/>
      <c r="I60" s="310"/>
    </row>
    <row r="61" spans="2:9" x14ac:dyDescent="0.45">
      <c r="B61" s="310"/>
      <c r="C61" s="310"/>
      <c r="D61" s="310"/>
      <c r="G61" s="310"/>
      <c r="H61" s="310"/>
      <c r="I61" s="310"/>
    </row>
    <row r="62" spans="2:9" x14ac:dyDescent="0.45">
      <c r="B62" s="310"/>
      <c r="C62" s="310"/>
      <c r="D62" s="310"/>
      <c r="G62" s="310"/>
      <c r="H62" s="310"/>
      <c r="I62" s="310"/>
    </row>
    <row r="63" spans="2:9" x14ac:dyDescent="0.45">
      <c r="B63" s="310"/>
      <c r="C63" s="310"/>
      <c r="D63" s="310"/>
      <c r="G63" s="310"/>
      <c r="H63" s="310"/>
      <c r="I63" s="310"/>
    </row>
    <row r="64" spans="2:9" x14ac:dyDescent="0.45">
      <c r="B64" s="310"/>
      <c r="C64" s="310"/>
      <c r="D64" s="310"/>
      <c r="G64" s="310"/>
      <c r="H64" s="310"/>
      <c r="I64" s="310"/>
    </row>
    <row r="65" spans="2:9" x14ac:dyDescent="0.45">
      <c r="B65" s="310"/>
      <c r="C65" s="310"/>
      <c r="D65" s="310"/>
      <c r="G65" s="310"/>
      <c r="H65" s="310"/>
      <c r="I65" s="310"/>
    </row>
    <row r="66" spans="2:9" x14ac:dyDescent="0.45">
      <c r="B66" s="310"/>
      <c r="C66" s="310"/>
      <c r="D66" s="310"/>
      <c r="G66" s="310"/>
      <c r="H66" s="310"/>
      <c r="I66" s="310"/>
    </row>
    <row r="67" spans="2:9" x14ac:dyDescent="0.45">
      <c r="B67" s="310"/>
      <c r="C67" s="310"/>
      <c r="D67" s="310"/>
      <c r="G67" s="310"/>
      <c r="H67" s="310"/>
      <c r="I67" s="310"/>
    </row>
    <row r="68" spans="2:9" x14ac:dyDescent="0.45">
      <c r="B68" s="310"/>
      <c r="C68" s="310"/>
      <c r="D68" s="310"/>
      <c r="G68" s="310"/>
      <c r="H68" s="310"/>
      <c r="I68" s="310"/>
    </row>
    <row r="69" spans="2:9" x14ac:dyDescent="0.45">
      <c r="B69" s="311" t="s">
        <v>211</v>
      </c>
      <c r="C69" s="311"/>
      <c r="D69" s="311"/>
      <c r="G69" s="311" t="s">
        <v>211</v>
      </c>
      <c r="H69" s="311"/>
      <c r="I69" s="311"/>
    </row>
    <row r="72" spans="2:9" x14ac:dyDescent="0.45">
      <c r="B72" s="284" t="s">
        <v>137</v>
      </c>
    </row>
    <row r="73" spans="2:9" x14ac:dyDescent="0.45">
      <c r="B73" s="312" t="s">
        <v>400</v>
      </c>
      <c r="C73" s="312"/>
      <c r="D73" s="312"/>
      <c r="E73" s="312"/>
      <c r="F73" s="312"/>
      <c r="G73" s="312"/>
      <c r="H73" s="312"/>
    </row>
    <row r="76" spans="2:9" x14ac:dyDescent="0.45">
      <c r="B76" s="313" t="s">
        <v>428</v>
      </c>
      <c r="C76" s="313"/>
      <c r="E76" s="314" t="s">
        <v>422</v>
      </c>
      <c r="F76" s="314"/>
      <c r="H76" s="313" t="s">
        <v>427</v>
      </c>
      <c r="I76" s="313"/>
    </row>
    <row r="77" spans="2:9" x14ac:dyDescent="0.45">
      <c r="B77" s="315" t="s">
        <v>56</v>
      </c>
      <c r="C77" s="315"/>
      <c r="E77" s="315" t="s">
        <v>395</v>
      </c>
      <c r="F77" s="315"/>
      <c r="H77" s="315" t="s">
        <v>227</v>
      </c>
      <c r="I77" s="315"/>
    </row>
    <row r="80" spans="2:9" x14ac:dyDescent="0.45">
      <c r="B80" s="251" t="s">
        <v>410</v>
      </c>
      <c r="C80" s="251"/>
      <c r="H80" s="253" t="s">
        <v>413</v>
      </c>
      <c r="I80" s="253"/>
    </row>
    <row r="81" s="23" customFormat="1" ht="15" customHeight="1" x14ac:dyDescent="0.45"/>
  </sheetData>
  <mergeCells count="32">
    <mergeCell ref="B77:C77"/>
    <mergeCell ref="E77:F77"/>
    <mergeCell ref="H77:I77"/>
    <mergeCell ref="B80:C80"/>
    <mergeCell ref="H80:I80"/>
    <mergeCell ref="B76:C76"/>
    <mergeCell ref="E76:F76"/>
    <mergeCell ref="H76:I76"/>
    <mergeCell ref="B41:D41"/>
    <mergeCell ref="G41:I41"/>
    <mergeCell ref="B42:D53"/>
    <mergeCell ref="G42:I53"/>
    <mergeCell ref="B56:D56"/>
    <mergeCell ref="G56:I56"/>
    <mergeCell ref="B57:D68"/>
    <mergeCell ref="G57:I68"/>
    <mergeCell ref="B69:D69"/>
    <mergeCell ref="G69:I69"/>
    <mergeCell ref="B73:H73"/>
    <mergeCell ref="B14:D14"/>
    <mergeCell ref="B17:H17"/>
    <mergeCell ref="E24:F24"/>
    <mergeCell ref="G24:H24"/>
    <mergeCell ref="E25:F25"/>
    <mergeCell ref="G25:H25"/>
    <mergeCell ref="B7:C7"/>
    <mergeCell ref="H7:I7"/>
    <mergeCell ref="B2:C5"/>
    <mergeCell ref="D2:G5"/>
    <mergeCell ref="H2:I5"/>
    <mergeCell ref="B6:C6"/>
    <mergeCell ref="H6:I6"/>
  </mergeCells>
  <pageMargins left="0.7" right="0.7" top="0.75" bottom="0.75" header="0.3" footer="0.3"/>
  <pageSetup paperSize="9" scale="72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8360" r:id="rId4" name="Check Box 8">
              <controlPr defaultSize="0" autoFill="0" autoLine="0" autoPict="0">
                <anchor moveWithCells="1">
                  <from>
                    <xdr:col>2</xdr:col>
                    <xdr:colOff>742950</xdr:colOff>
                    <xdr:row>8</xdr:row>
                    <xdr:rowOff>47625</xdr:rowOff>
                  </from>
                  <to>
                    <xdr:col>2</xdr:col>
                    <xdr:colOff>923925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361" r:id="rId5" name="Check Box 9">
              <controlPr defaultSize="0" autoFill="0" autoLine="0" autoPict="0">
                <anchor moveWithCells="1">
                  <from>
                    <xdr:col>2</xdr:col>
                    <xdr:colOff>742950</xdr:colOff>
                    <xdr:row>9</xdr:row>
                    <xdr:rowOff>161925</xdr:rowOff>
                  </from>
                  <to>
                    <xdr:col>2</xdr:col>
                    <xdr:colOff>923925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362" r:id="rId6" name="Check Box 10">
              <controlPr defaultSize="0" autoFill="0" autoLine="0" autoPict="0">
                <anchor moveWithCells="1">
                  <from>
                    <xdr:col>2</xdr:col>
                    <xdr:colOff>742950</xdr:colOff>
                    <xdr:row>10</xdr:row>
                    <xdr:rowOff>161925</xdr:rowOff>
                  </from>
                  <to>
                    <xdr:col>2</xdr:col>
                    <xdr:colOff>923925</xdr:colOff>
                    <xdr:row>11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363" r:id="rId7" name="Check Box 11">
              <controlPr defaultSize="0" autoFill="0" autoLine="0" autoPict="0">
                <anchor moveWithCells="1">
                  <from>
                    <xdr:col>2</xdr:col>
                    <xdr:colOff>742950</xdr:colOff>
                    <xdr:row>11</xdr:row>
                    <xdr:rowOff>161925</xdr:rowOff>
                  </from>
                  <to>
                    <xdr:col>2</xdr:col>
                    <xdr:colOff>923925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364" r:id="rId8" name="Check Box 12">
              <controlPr defaultSize="0" autoFill="0" autoLine="0" autoPict="0">
                <anchor moveWithCells="1">
                  <from>
                    <xdr:col>5</xdr:col>
                    <xdr:colOff>723900</xdr:colOff>
                    <xdr:row>8</xdr:row>
                    <xdr:rowOff>57150</xdr:rowOff>
                  </from>
                  <to>
                    <xdr:col>5</xdr:col>
                    <xdr:colOff>914400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365" r:id="rId9" name="Check Box 13">
              <controlPr defaultSize="0" autoFill="0" autoLine="0" autoPict="0">
                <anchor moveWithCells="1">
                  <from>
                    <xdr:col>5</xdr:col>
                    <xdr:colOff>723900</xdr:colOff>
                    <xdr:row>9</xdr:row>
                    <xdr:rowOff>142875</xdr:rowOff>
                  </from>
                  <to>
                    <xdr:col>5</xdr:col>
                    <xdr:colOff>914400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366" r:id="rId10" name="Check Box 14">
              <controlPr defaultSize="0" autoFill="0" autoLine="0" autoPict="0">
                <anchor moveWithCells="1">
                  <from>
                    <xdr:col>5</xdr:col>
                    <xdr:colOff>723900</xdr:colOff>
                    <xdr:row>10</xdr:row>
                    <xdr:rowOff>171450</xdr:rowOff>
                  </from>
                  <to>
                    <xdr:col>5</xdr:col>
                    <xdr:colOff>914400</xdr:colOff>
                    <xdr:row>11</xdr:row>
                    <xdr:rowOff>104775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B1:H51"/>
  <sheetViews>
    <sheetView view="pageBreakPreview" zoomScale="91" zoomScaleNormal="100" zoomScaleSheetLayoutView="91" workbookViewId="0">
      <selection activeCell="B4" sqref="B4"/>
    </sheetView>
  </sheetViews>
  <sheetFormatPr baseColWidth="10" defaultColWidth="9.140625" defaultRowHeight="18.75" x14ac:dyDescent="0.45"/>
  <cols>
    <col min="1" max="1" width="4.7109375" style="23" customWidth="1"/>
    <col min="2" max="2" width="20.42578125" style="23" customWidth="1"/>
    <col min="3" max="3" width="13.85546875" style="23" customWidth="1"/>
    <col min="4" max="5" width="13" style="23" customWidth="1"/>
    <col min="6" max="6" width="14.42578125" style="23" customWidth="1"/>
    <col min="7" max="7" width="13" style="23" customWidth="1"/>
    <col min="8" max="8" width="11.5703125" style="23" customWidth="1"/>
    <col min="9" max="9" width="4.7109375" style="23" customWidth="1"/>
    <col min="10" max="16384" width="9.140625" style="23"/>
  </cols>
  <sheetData>
    <row r="1" spans="2:8" ht="18" customHeight="1" x14ac:dyDescent="0.45"/>
    <row r="2" spans="2:8" ht="12.75" customHeight="1" x14ac:dyDescent="0.45">
      <c r="B2" s="316"/>
      <c r="C2" s="317" t="s">
        <v>217</v>
      </c>
      <c r="D2" s="318"/>
      <c r="E2" s="318"/>
      <c r="F2" s="319"/>
      <c r="G2" s="145" t="s">
        <v>130</v>
      </c>
      <c r="H2" s="146"/>
    </row>
    <row r="3" spans="2:8" ht="12.75" customHeight="1" x14ac:dyDescent="0.45">
      <c r="B3" s="286"/>
      <c r="C3" s="320"/>
      <c r="D3" s="321"/>
      <c r="E3" s="321"/>
      <c r="F3" s="322"/>
      <c r="G3" s="323"/>
      <c r="H3" s="324"/>
    </row>
    <row r="4" spans="2:8" ht="12.75" customHeight="1" x14ac:dyDescent="0.45">
      <c r="B4" s="286"/>
      <c r="C4" s="320"/>
      <c r="D4" s="321"/>
      <c r="E4" s="321"/>
      <c r="F4" s="322"/>
      <c r="G4" s="323"/>
      <c r="H4" s="324"/>
    </row>
    <row r="5" spans="2:8" ht="12.75" customHeight="1" x14ac:dyDescent="0.45">
      <c r="B5" s="287"/>
      <c r="C5" s="325"/>
      <c r="D5" s="326"/>
      <c r="E5" s="326"/>
      <c r="F5" s="327"/>
      <c r="G5" s="152"/>
      <c r="H5" s="153"/>
    </row>
    <row r="6" spans="2:8" x14ac:dyDescent="0.45">
      <c r="B6" s="328" t="s">
        <v>201</v>
      </c>
      <c r="C6" s="329">
        <f>DATOS!AE7</f>
        <v>0</v>
      </c>
      <c r="F6" s="330" t="s">
        <v>57</v>
      </c>
      <c r="G6" s="273" t="str">
        <f>TERMOGRAFIA!M4</f>
        <v>4/2/2021</v>
      </c>
      <c r="H6" s="256"/>
    </row>
    <row r="7" spans="2:8" x14ac:dyDescent="0.45">
      <c r="B7" s="331" t="s">
        <v>140</v>
      </c>
      <c r="C7" s="332" t="s">
        <v>421</v>
      </c>
      <c r="F7" s="330" t="s">
        <v>131</v>
      </c>
      <c r="G7" s="165" t="s">
        <v>218</v>
      </c>
      <c r="H7" s="333"/>
    </row>
    <row r="8" spans="2:8" ht="21" x14ac:dyDescent="0.5">
      <c r="B8" s="280" t="s">
        <v>132</v>
      </c>
      <c r="C8" s="272"/>
      <c r="D8" s="334" t="s">
        <v>133</v>
      </c>
      <c r="E8" s="272"/>
      <c r="F8" s="272"/>
      <c r="G8" s="334" t="s">
        <v>141</v>
      </c>
      <c r="H8" s="282"/>
    </row>
    <row r="9" spans="2:8" ht="21" x14ac:dyDescent="0.5">
      <c r="B9" s="286"/>
      <c r="D9" s="76" t="s">
        <v>134</v>
      </c>
      <c r="G9" s="76" t="s">
        <v>142</v>
      </c>
      <c r="H9" s="285"/>
    </row>
    <row r="10" spans="2:8" ht="21" x14ac:dyDescent="0.5">
      <c r="B10" s="286"/>
      <c r="D10" s="76" t="s">
        <v>143</v>
      </c>
      <c r="G10" s="76" t="s">
        <v>144</v>
      </c>
      <c r="H10" s="285"/>
    </row>
    <row r="11" spans="2:8" ht="21" x14ac:dyDescent="0.5">
      <c r="B11" s="287"/>
      <c r="C11" s="276"/>
      <c r="D11" s="335" t="s">
        <v>145</v>
      </c>
      <c r="E11" s="276"/>
      <c r="F11" s="276"/>
      <c r="G11" s="276"/>
      <c r="H11" s="288"/>
    </row>
    <row r="12" spans="2:8" ht="21.75" x14ac:dyDescent="0.45">
      <c r="B12" s="336" t="s">
        <v>135</v>
      </c>
      <c r="C12" s="337" t="s">
        <v>219</v>
      </c>
      <c r="D12" s="338"/>
      <c r="E12" s="338"/>
      <c r="F12" s="339" t="s">
        <v>147</v>
      </c>
      <c r="G12" s="340" t="s">
        <v>220</v>
      </c>
      <c r="H12" s="341"/>
    </row>
    <row r="14" spans="2:8" x14ac:dyDescent="0.45">
      <c r="B14" s="284" t="s">
        <v>148</v>
      </c>
    </row>
    <row r="20" spans="2:7" x14ac:dyDescent="0.45">
      <c r="B20" s="284" t="s">
        <v>221</v>
      </c>
    </row>
    <row r="21" spans="2:7" x14ac:dyDescent="0.45">
      <c r="B21" s="284" t="s">
        <v>149</v>
      </c>
    </row>
    <row r="22" spans="2:7" x14ac:dyDescent="0.45">
      <c r="B22" s="330" t="s">
        <v>222</v>
      </c>
      <c r="C22" s="342">
        <v>0.6</v>
      </c>
    </row>
    <row r="23" spans="2:7" x14ac:dyDescent="0.45">
      <c r="B23" s="330" t="s">
        <v>223</v>
      </c>
      <c r="C23" s="343" t="s">
        <v>224</v>
      </c>
    </row>
    <row r="24" spans="2:7" x14ac:dyDescent="0.45">
      <c r="B24" s="330"/>
      <c r="C24" s="343"/>
    </row>
    <row r="25" spans="2:7" x14ac:dyDescent="0.45">
      <c r="C25" s="291"/>
      <c r="D25" s="315" t="s">
        <v>346</v>
      </c>
      <c r="E25" s="315"/>
      <c r="F25" s="315"/>
      <c r="G25" s="284"/>
    </row>
    <row r="27" spans="2:7" x14ac:dyDescent="0.45">
      <c r="D27" s="307" t="s">
        <v>316</v>
      </c>
      <c r="E27" s="308"/>
      <c r="F27" s="309"/>
      <c r="G27" s="344"/>
    </row>
    <row r="28" spans="2:7" x14ac:dyDescent="0.45">
      <c r="D28" s="345"/>
      <c r="E28" s="346"/>
      <c r="F28" s="347"/>
    </row>
    <row r="29" spans="2:7" x14ac:dyDescent="0.45">
      <c r="D29" s="348"/>
      <c r="E29" s="349"/>
      <c r="F29" s="350"/>
    </row>
    <row r="30" spans="2:7" x14ac:dyDescent="0.45">
      <c r="D30" s="348"/>
      <c r="E30" s="349"/>
      <c r="F30" s="350"/>
    </row>
    <row r="31" spans="2:7" x14ac:dyDescent="0.45">
      <c r="D31" s="348"/>
      <c r="E31" s="349"/>
      <c r="F31" s="350"/>
    </row>
    <row r="32" spans="2:7" x14ac:dyDescent="0.45">
      <c r="D32" s="348"/>
      <c r="E32" s="349"/>
      <c r="F32" s="350"/>
    </row>
    <row r="33" spans="2:8" x14ac:dyDescent="0.45">
      <c r="D33" s="348"/>
      <c r="E33" s="349"/>
      <c r="F33" s="350"/>
    </row>
    <row r="34" spans="2:8" x14ac:dyDescent="0.45">
      <c r="D34" s="348"/>
      <c r="E34" s="349"/>
      <c r="F34" s="350"/>
    </row>
    <row r="35" spans="2:8" x14ac:dyDescent="0.45">
      <c r="D35" s="348"/>
      <c r="E35" s="349"/>
      <c r="F35" s="350"/>
    </row>
    <row r="36" spans="2:8" x14ac:dyDescent="0.45">
      <c r="D36" s="348"/>
      <c r="E36" s="349"/>
      <c r="F36" s="350"/>
    </row>
    <row r="37" spans="2:8" ht="21" x14ac:dyDescent="0.5">
      <c r="C37" s="351"/>
      <c r="D37" s="348"/>
      <c r="E37" s="349"/>
      <c r="F37" s="350"/>
      <c r="G37" s="352"/>
    </row>
    <row r="38" spans="2:8" x14ac:dyDescent="0.45">
      <c r="D38" s="348"/>
      <c r="E38" s="349"/>
      <c r="F38" s="350"/>
    </row>
    <row r="39" spans="2:8" x14ac:dyDescent="0.45">
      <c r="D39" s="353"/>
      <c r="E39" s="354"/>
      <c r="F39" s="355"/>
    </row>
    <row r="41" spans="2:8" x14ac:dyDescent="0.45">
      <c r="B41" s="284" t="s">
        <v>434</v>
      </c>
    </row>
    <row r="46" spans="2:8" x14ac:dyDescent="0.45">
      <c r="B46" s="356" t="s">
        <v>428</v>
      </c>
      <c r="D46" s="314" t="s">
        <v>422</v>
      </c>
      <c r="E46" s="314"/>
      <c r="F46" s="357"/>
      <c r="G46" s="358" t="s">
        <v>427</v>
      </c>
      <c r="H46" s="358"/>
    </row>
    <row r="47" spans="2:8" x14ac:dyDescent="0.45">
      <c r="B47" s="306" t="s">
        <v>56</v>
      </c>
      <c r="C47" s="284"/>
      <c r="D47" s="315" t="s">
        <v>395</v>
      </c>
      <c r="E47" s="315"/>
      <c r="F47" s="284"/>
      <c r="G47" s="359" t="s">
        <v>123</v>
      </c>
      <c r="H47" s="359"/>
    </row>
    <row r="48" spans="2:8" x14ac:dyDescent="0.45">
      <c r="C48" s="344"/>
      <c r="D48" s="344"/>
      <c r="F48" s="344"/>
      <c r="G48" s="344"/>
    </row>
    <row r="49" spans="2:8" x14ac:dyDescent="0.45">
      <c r="C49" s="344"/>
      <c r="D49" s="344"/>
      <c r="F49" s="344"/>
      <c r="G49" s="344"/>
    </row>
    <row r="50" spans="2:8" x14ac:dyDescent="0.45">
      <c r="B50" s="251" t="s">
        <v>410</v>
      </c>
      <c r="C50" s="251"/>
      <c r="D50" s="344"/>
      <c r="F50" s="344"/>
      <c r="G50" s="253" t="s">
        <v>414</v>
      </c>
      <c r="H50" s="253"/>
    </row>
    <row r="51" spans="2:8" ht="18" customHeight="1" x14ac:dyDescent="0.45"/>
  </sheetData>
  <mergeCells count="13">
    <mergeCell ref="B50:C50"/>
    <mergeCell ref="G50:H50"/>
    <mergeCell ref="D47:E47"/>
    <mergeCell ref="G47:H47"/>
    <mergeCell ref="D25:F25"/>
    <mergeCell ref="C2:F5"/>
    <mergeCell ref="G2:H5"/>
    <mergeCell ref="G7:H7"/>
    <mergeCell ref="D28:F39"/>
    <mergeCell ref="D46:E46"/>
    <mergeCell ref="G6:H6"/>
    <mergeCell ref="G46:H46"/>
    <mergeCell ref="D27:F2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83" orientation="portrait" r:id="rId1"/>
  <rowBreaks count="1" manualBreakCount="1">
    <brk id="51" max="8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0295" r:id="rId4" name="Check Box 135">
              <controlPr defaultSize="0" autoFill="0" autoLine="0" autoPict="0">
                <anchor moveWithCells="1">
                  <from>
                    <xdr:col>2</xdr:col>
                    <xdr:colOff>714375</xdr:colOff>
                    <xdr:row>7</xdr:row>
                    <xdr:rowOff>9525</xdr:rowOff>
                  </from>
                  <to>
                    <xdr:col>2</xdr:col>
                    <xdr:colOff>904875</xdr:colOff>
                    <xdr:row>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296" r:id="rId5" name="Check Box 136">
              <controlPr defaultSize="0" autoFill="0" autoLine="0" autoPict="0">
                <anchor moveWithCells="1">
                  <from>
                    <xdr:col>2</xdr:col>
                    <xdr:colOff>714375</xdr:colOff>
                    <xdr:row>8</xdr:row>
                    <xdr:rowOff>9525</xdr:rowOff>
                  </from>
                  <to>
                    <xdr:col>2</xdr:col>
                    <xdr:colOff>904875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297" r:id="rId6" name="Check Box 137">
              <controlPr defaultSize="0" autoFill="0" autoLine="0" autoPict="0">
                <anchor moveWithCells="1">
                  <from>
                    <xdr:col>2</xdr:col>
                    <xdr:colOff>714375</xdr:colOff>
                    <xdr:row>9</xdr:row>
                    <xdr:rowOff>9525</xdr:rowOff>
                  </from>
                  <to>
                    <xdr:col>2</xdr:col>
                    <xdr:colOff>904875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298" r:id="rId7" name="Check Box 138">
              <controlPr defaultSize="0" autoFill="0" autoLine="0" autoPict="0">
                <anchor moveWithCells="1">
                  <from>
                    <xdr:col>2</xdr:col>
                    <xdr:colOff>714375</xdr:colOff>
                    <xdr:row>10</xdr:row>
                    <xdr:rowOff>9525</xdr:rowOff>
                  </from>
                  <to>
                    <xdr:col>2</xdr:col>
                    <xdr:colOff>904875</xdr:colOff>
                    <xdr:row>10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299" r:id="rId8" name="Check Box 139">
              <controlPr defaultSize="0" autoFill="0" autoLine="0" autoPict="0">
                <anchor moveWithCells="1">
                  <from>
                    <xdr:col>5</xdr:col>
                    <xdr:colOff>781050</xdr:colOff>
                    <xdr:row>7</xdr:row>
                    <xdr:rowOff>0</xdr:rowOff>
                  </from>
                  <to>
                    <xdr:col>6</xdr:col>
                    <xdr:colOff>0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300" r:id="rId9" name="Check Box 140">
              <controlPr defaultSize="0" autoFill="0" autoLine="0" autoPict="0">
                <anchor moveWithCells="1">
                  <from>
                    <xdr:col>5</xdr:col>
                    <xdr:colOff>781050</xdr:colOff>
                    <xdr:row>7</xdr:row>
                    <xdr:rowOff>171450</xdr:rowOff>
                  </from>
                  <to>
                    <xdr:col>6</xdr:col>
                    <xdr:colOff>0</xdr:colOff>
                    <xdr:row>8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301" r:id="rId10" name="Check Box 141">
              <controlPr defaultSize="0" autoFill="0" autoLine="0" autoPict="0">
                <anchor moveWithCells="1">
                  <from>
                    <xdr:col>5</xdr:col>
                    <xdr:colOff>781050</xdr:colOff>
                    <xdr:row>9</xdr:row>
                    <xdr:rowOff>0</xdr:rowOff>
                  </from>
                  <to>
                    <xdr:col>6</xdr:col>
                    <xdr:colOff>0</xdr:colOff>
                    <xdr:row>9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8"/>
  <dimension ref="B1:AP66"/>
  <sheetViews>
    <sheetView view="pageBreakPreview" zoomScaleNormal="100" zoomScaleSheetLayoutView="100" workbookViewId="0">
      <selection activeCell="B2" sqref="B2:B3"/>
    </sheetView>
  </sheetViews>
  <sheetFormatPr baseColWidth="10" defaultRowHeight="18.75" x14ac:dyDescent="0.45"/>
  <cols>
    <col min="1" max="1" width="3.28515625" style="23" customWidth="1"/>
    <col min="2" max="2" width="19.28515625" style="23" customWidth="1"/>
    <col min="3" max="3" width="9.140625" style="23" customWidth="1"/>
    <col min="4" max="4" width="6.140625" style="23" customWidth="1"/>
    <col min="5" max="5" width="7.7109375" style="23" customWidth="1"/>
    <col min="6" max="6" width="4.28515625" style="23" customWidth="1"/>
    <col min="7" max="7" width="5.140625" style="23" customWidth="1"/>
    <col min="8" max="8" width="4.5703125" style="23" customWidth="1"/>
    <col min="9" max="9" width="4.85546875" style="23" customWidth="1"/>
    <col min="10" max="10" width="4.28515625" style="23" customWidth="1"/>
    <col min="11" max="11" width="7" style="23" customWidth="1"/>
    <col min="12" max="12" width="12.42578125" style="23" customWidth="1"/>
    <col min="13" max="13" width="13.42578125" style="23" customWidth="1"/>
    <col min="14" max="14" width="7.85546875" style="23" customWidth="1"/>
    <col min="15" max="15" width="7.5703125" style="23" customWidth="1"/>
    <col min="16" max="16" width="3.28515625" style="23" customWidth="1"/>
    <col min="17" max="16384" width="11.42578125" style="23"/>
  </cols>
  <sheetData>
    <row r="1" spans="2:25" ht="20.100000000000001" customHeight="1" x14ac:dyDescent="0.45"/>
    <row r="2" spans="2:25" ht="27.75" customHeight="1" x14ac:dyDescent="0.45">
      <c r="B2" s="140"/>
      <c r="C2" s="141" t="s">
        <v>213</v>
      </c>
      <c r="D2" s="142"/>
      <c r="E2" s="142"/>
      <c r="F2" s="142"/>
      <c r="G2" s="142"/>
      <c r="H2" s="142"/>
      <c r="I2" s="142"/>
      <c r="J2" s="142"/>
      <c r="K2" s="142"/>
      <c r="L2" s="142"/>
      <c r="M2" s="144" t="s">
        <v>130</v>
      </c>
      <c r="N2" s="145"/>
      <c r="O2" s="146"/>
    </row>
    <row r="3" spans="2:25" ht="27.75" customHeight="1" x14ac:dyDescent="0.45">
      <c r="B3" s="147"/>
      <c r="C3" s="148"/>
      <c r="D3" s="149"/>
      <c r="E3" s="149"/>
      <c r="F3" s="149"/>
      <c r="G3" s="149"/>
      <c r="H3" s="149"/>
      <c r="I3" s="149"/>
      <c r="J3" s="149"/>
      <c r="K3" s="149"/>
      <c r="L3" s="149"/>
      <c r="M3" s="151"/>
      <c r="N3" s="152"/>
      <c r="O3" s="153"/>
    </row>
    <row r="4" spans="2:25" x14ac:dyDescent="0.45">
      <c r="B4" s="154" t="s">
        <v>201</v>
      </c>
      <c r="C4" s="155">
        <f>DATOS!AE7</f>
        <v>0</v>
      </c>
      <c r="D4" s="155"/>
      <c r="E4" s="155"/>
      <c r="F4" s="156"/>
      <c r="G4" s="156"/>
      <c r="H4" s="156"/>
      <c r="I4" s="156"/>
      <c r="J4" s="156"/>
      <c r="K4" s="156"/>
      <c r="L4" s="157" t="s">
        <v>57</v>
      </c>
      <c r="M4" s="158" t="str">
        <f>TERMOGRAFIA!M4</f>
        <v>4/2/2021</v>
      </c>
      <c r="N4" s="158"/>
      <c r="O4" s="159"/>
    </row>
    <row r="5" spans="2:25" x14ac:dyDescent="0.45">
      <c r="B5" s="160" t="s">
        <v>194</v>
      </c>
      <c r="C5" s="161" t="s">
        <v>184</v>
      </c>
      <c r="D5" s="105"/>
      <c r="E5" s="105"/>
      <c r="F5" s="162"/>
      <c r="G5" s="162"/>
      <c r="H5" s="162"/>
      <c r="I5" s="162"/>
      <c r="J5" s="162"/>
      <c r="K5" s="162"/>
      <c r="L5" s="162"/>
      <c r="M5" s="162"/>
      <c r="N5" s="162"/>
      <c r="O5" s="163"/>
      <c r="P5" s="38"/>
      <c r="Q5" s="38"/>
      <c r="R5" s="38"/>
      <c r="S5" s="360"/>
    </row>
    <row r="6" spans="2:25" x14ac:dyDescent="0.45">
      <c r="B6" s="164" t="s">
        <v>131</v>
      </c>
      <c r="C6" s="165" t="s">
        <v>138</v>
      </c>
      <c r="D6" s="165"/>
      <c r="E6" s="165"/>
      <c r="F6" s="165"/>
      <c r="G6" s="165"/>
      <c r="H6" s="165"/>
      <c r="I6" s="165"/>
      <c r="J6" s="165"/>
      <c r="K6" s="166"/>
      <c r="L6" s="167"/>
      <c r="M6" s="166"/>
      <c r="N6" s="166"/>
      <c r="O6" s="168"/>
      <c r="S6" s="105"/>
      <c r="T6" s="105"/>
      <c r="U6" s="105"/>
      <c r="V6" s="105"/>
      <c r="W6" s="105"/>
    </row>
    <row r="7" spans="2:25" ht="15" customHeight="1" x14ac:dyDescent="0.45">
      <c r="B7" s="169" t="s">
        <v>132</v>
      </c>
      <c r="C7" s="156"/>
      <c r="D7" s="170"/>
      <c r="E7" s="171" t="s">
        <v>133</v>
      </c>
      <c r="F7" s="170"/>
      <c r="G7" s="170"/>
      <c r="H7" s="171"/>
      <c r="I7" s="171"/>
      <c r="J7" s="171"/>
      <c r="K7" s="171"/>
      <c r="L7" s="171"/>
      <c r="M7" s="171" t="s">
        <v>141</v>
      </c>
      <c r="N7" s="171"/>
      <c r="O7" s="172"/>
      <c r="S7" s="105"/>
      <c r="T7" s="105"/>
      <c r="U7" s="105"/>
      <c r="V7" s="105"/>
      <c r="W7" s="105"/>
    </row>
    <row r="8" spans="2:25" ht="15" customHeight="1" x14ac:dyDescent="0.45">
      <c r="B8" s="173"/>
      <c r="C8" s="106"/>
      <c r="D8" s="106"/>
      <c r="E8" s="105" t="s">
        <v>134</v>
      </c>
      <c r="F8" s="106"/>
      <c r="G8" s="106"/>
      <c r="H8" s="105"/>
      <c r="I8" s="105"/>
      <c r="J8" s="105"/>
      <c r="K8" s="105"/>
      <c r="L8" s="105"/>
      <c r="M8" s="105" t="s">
        <v>142</v>
      </c>
      <c r="N8" s="105"/>
      <c r="O8" s="174"/>
      <c r="S8" s="105"/>
      <c r="T8" s="105"/>
      <c r="U8" s="105"/>
      <c r="V8" s="105"/>
      <c r="W8" s="105"/>
    </row>
    <row r="9" spans="2:25" ht="15" customHeight="1" x14ac:dyDescent="0.45">
      <c r="B9" s="175"/>
      <c r="C9" s="105"/>
      <c r="D9" s="105"/>
      <c r="E9" s="105" t="s">
        <v>143</v>
      </c>
      <c r="F9" s="105"/>
      <c r="G9" s="105"/>
      <c r="H9" s="105"/>
      <c r="I9" s="105"/>
      <c r="J9" s="105"/>
      <c r="K9" s="105"/>
      <c r="L9" s="105"/>
      <c r="M9" s="105" t="s">
        <v>144</v>
      </c>
      <c r="N9" s="105"/>
      <c r="O9" s="174"/>
      <c r="S9" s="105"/>
      <c r="T9" s="105"/>
      <c r="U9" s="105"/>
      <c r="V9" s="105"/>
      <c r="W9" s="105"/>
    </row>
    <row r="10" spans="2:25" ht="15" customHeight="1" x14ac:dyDescent="0.45">
      <c r="B10" s="176"/>
      <c r="C10" s="177"/>
      <c r="D10" s="177"/>
      <c r="E10" s="177" t="s">
        <v>145</v>
      </c>
      <c r="F10" s="177"/>
      <c r="G10" s="177"/>
      <c r="H10" s="177"/>
      <c r="I10" s="177"/>
      <c r="J10" s="177"/>
      <c r="K10" s="177"/>
      <c r="L10" s="177"/>
      <c r="M10" s="177"/>
      <c r="N10" s="177"/>
      <c r="O10" s="178"/>
      <c r="S10" s="105"/>
      <c r="T10" s="105"/>
      <c r="U10" s="105"/>
      <c r="V10" s="105"/>
      <c r="W10" s="105"/>
    </row>
    <row r="11" spans="2:25" ht="15" customHeight="1" x14ac:dyDescent="0.45"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S11" s="105"/>
      <c r="T11" s="105"/>
      <c r="U11" s="105"/>
      <c r="V11" s="105"/>
      <c r="W11" s="105"/>
    </row>
    <row r="12" spans="2:25" ht="15" customHeight="1" x14ac:dyDescent="0.45">
      <c r="B12" s="105"/>
      <c r="C12" s="105"/>
      <c r="D12" s="105"/>
      <c r="E12" s="361" t="s">
        <v>214</v>
      </c>
      <c r="F12" s="361"/>
      <c r="G12" s="361"/>
      <c r="H12" s="361"/>
      <c r="I12" s="361"/>
      <c r="J12" s="361"/>
      <c r="K12" s="361"/>
      <c r="L12" s="361"/>
      <c r="M12" s="105"/>
      <c r="N12" s="105"/>
      <c r="O12" s="105"/>
      <c r="S12" s="105"/>
      <c r="T12" s="105"/>
      <c r="U12" s="105"/>
      <c r="V12" s="105"/>
      <c r="W12" s="105"/>
    </row>
    <row r="13" spans="2:25" ht="15" customHeight="1" x14ac:dyDescent="0.45">
      <c r="B13" s="284"/>
      <c r="C13" s="284"/>
      <c r="D13" s="284"/>
      <c r="E13" s="362"/>
      <c r="F13" s="362"/>
      <c r="G13" s="362"/>
      <c r="H13" s="362"/>
      <c r="I13" s="362"/>
      <c r="J13" s="362"/>
      <c r="K13" s="362"/>
      <c r="L13" s="362"/>
      <c r="M13" s="284"/>
      <c r="N13" s="284"/>
      <c r="O13" s="284"/>
    </row>
    <row r="14" spans="2:25" ht="15" customHeight="1" x14ac:dyDescent="0.45">
      <c r="B14" s="106"/>
      <c r="C14" s="106"/>
      <c r="D14" s="106"/>
      <c r="E14" s="362"/>
      <c r="F14" s="362"/>
      <c r="G14" s="362"/>
      <c r="H14" s="362"/>
      <c r="I14" s="362"/>
      <c r="J14" s="362"/>
      <c r="K14" s="362"/>
      <c r="L14" s="362"/>
      <c r="M14" s="106"/>
      <c r="N14" s="106"/>
      <c r="O14" s="106"/>
      <c r="S14" s="225"/>
      <c r="T14" s="225"/>
      <c r="U14" s="225"/>
      <c r="V14" s="225"/>
      <c r="W14" s="225"/>
      <c r="X14" s="225"/>
      <c r="Y14" s="225"/>
    </row>
    <row r="15" spans="2:25" ht="13.5" customHeight="1" x14ac:dyDescent="0.45">
      <c r="B15" s="106"/>
      <c r="C15" s="106"/>
      <c r="D15" s="106"/>
      <c r="E15" s="362"/>
      <c r="F15" s="362"/>
      <c r="G15" s="362"/>
      <c r="H15" s="362"/>
      <c r="I15" s="362"/>
      <c r="J15" s="362"/>
      <c r="K15" s="362"/>
      <c r="L15" s="362"/>
      <c r="M15" s="106"/>
      <c r="N15" s="106"/>
      <c r="O15" s="106"/>
      <c r="S15" s="363"/>
      <c r="T15" s="363"/>
      <c r="U15" s="363"/>
      <c r="V15" s="363"/>
      <c r="W15" s="363"/>
      <c r="X15" s="363"/>
      <c r="Y15" s="363"/>
    </row>
    <row r="16" spans="2:25" ht="13.5" customHeight="1" x14ac:dyDescent="0.45">
      <c r="B16" s="106"/>
      <c r="C16" s="106"/>
      <c r="D16" s="106"/>
      <c r="E16" s="362"/>
      <c r="F16" s="362"/>
      <c r="G16" s="362"/>
      <c r="H16" s="362"/>
      <c r="I16" s="362"/>
      <c r="J16" s="362"/>
      <c r="K16" s="362"/>
      <c r="L16" s="362"/>
      <c r="M16" s="106"/>
      <c r="N16" s="106"/>
      <c r="O16" s="106"/>
      <c r="S16" s="363"/>
      <c r="T16" s="363"/>
      <c r="U16" s="363"/>
      <c r="V16" s="363"/>
      <c r="W16" s="363"/>
      <c r="X16" s="363"/>
      <c r="Y16" s="363"/>
    </row>
    <row r="17" spans="2:25" ht="13.5" customHeight="1" x14ac:dyDescent="0.45">
      <c r="B17" s="106"/>
      <c r="C17" s="106"/>
      <c r="D17" s="106"/>
      <c r="E17" s="362"/>
      <c r="F17" s="362"/>
      <c r="G17" s="362"/>
      <c r="H17" s="362"/>
      <c r="I17" s="362"/>
      <c r="J17" s="362"/>
      <c r="K17" s="362"/>
      <c r="L17" s="362"/>
      <c r="M17" s="106"/>
      <c r="N17" s="106"/>
      <c r="O17" s="106"/>
      <c r="S17" s="363"/>
      <c r="T17" s="363"/>
      <c r="U17" s="363"/>
      <c r="V17" s="363"/>
      <c r="W17" s="363"/>
      <c r="X17" s="363"/>
      <c r="Y17" s="363"/>
    </row>
    <row r="18" spans="2:25" ht="13.5" customHeight="1" x14ac:dyDescent="0.45">
      <c r="B18" s="106"/>
      <c r="C18" s="106"/>
      <c r="D18" s="106"/>
      <c r="E18" s="362"/>
      <c r="F18" s="362"/>
      <c r="G18" s="362"/>
      <c r="H18" s="362"/>
      <c r="I18" s="362"/>
      <c r="J18" s="362"/>
      <c r="K18" s="362"/>
      <c r="L18" s="362"/>
      <c r="M18" s="106"/>
      <c r="N18" s="106"/>
      <c r="O18" s="106"/>
      <c r="S18" s="363"/>
      <c r="T18" s="363"/>
      <c r="U18" s="363"/>
      <c r="V18" s="363"/>
      <c r="W18" s="363"/>
      <c r="X18" s="363"/>
      <c r="Y18" s="363"/>
    </row>
    <row r="19" spans="2:25" ht="13.5" customHeight="1" x14ac:dyDescent="0.45">
      <c r="B19" s="106"/>
      <c r="C19" s="106"/>
      <c r="D19" s="106"/>
      <c r="E19" s="362"/>
      <c r="F19" s="362"/>
      <c r="G19" s="362"/>
      <c r="H19" s="362"/>
      <c r="I19" s="362"/>
      <c r="J19" s="362"/>
      <c r="K19" s="362"/>
      <c r="L19" s="362"/>
      <c r="M19" s="106"/>
      <c r="N19" s="106"/>
      <c r="O19" s="106"/>
      <c r="S19" s="363"/>
      <c r="T19" s="363"/>
      <c r="U19" s="363"/>
      <c r="V19" s="363"/>
      <c r="W19" s="363"/>
      <c r="X19" s="363"/>
      <c r="Y19" s="363"/>
    </row>
    <row r="20" spans="2:25" ht="13.5" customHeight="1" x14ac:dyDescent="0.45">
      <c r="B20" s="106"/>
      <c r="C20" s="106"/>
      <c r="D20" s="106"/>
      <c r="E20" s="362"/>
      <c r="F20" s="362"/>
      <c r="G20" s="362"/>
      <c r="H20" s="362"/>
      <c r="I20" s="362"/>
      <c r="J20" s="362"/>
      <c r="K20" s="362"/>
      <c r="L20" s="362"/>
      <c r="M20" s="106"/>
      <c r="N20" s="106"/>
      <c r="O20" s="106"/>
      <c r="S20" s="363"/>
      <c r="T20" s="363"/>
      <c r="U20" s="363"/>
      <c r="V20" s="363"/>
      <c r="W20" s="363"/>
      <c r="X20" s="363"/>
      <c r="Y20" s="363"/>
    </row>
    <row r="21" spans="2:25" ht="13.5" customHeight="1" x14ac:dyDescent="0.45">
      <c r="B21" s="106"/>
      <c r="C21" s="106"/>
      <c r="D21" s="106"/>
      <c r="E21" s="362"/>
      <c r="F21" s="362"/>
      <c r="G21" s="362"/>
      <c r="H21" s="362"/>
      <c r="I21" s="362"/>
      <c r="J21" s="362"/>
      <c r="K21" s="362"/>
      <c r="L21" s="362"/>
      <c r="M21" s="106"/>
      <c r="N21" s="106"/>
      <c r="O21" s="106"/>
      <c r="S21" s="363"/>
      <c r="T21" s="363"/>
      <c r="U21" s="363"/>
      <c r="V21" s="363"/>
      <c r="W21" s="363"/>
      <c r="X21" s="363"/>
      <c r="Y21" s="363"/>
    </row>
    <row r="22" spans="2:25" ht="13.5" customHeight="1" x14ac:dyDescent="0.45">
      <c r="B22" s="106"/>
      <c r="C22" s="106"/>
      <c r="D22" s="106"/>
      <c r="E22" s="362"/>
      <c r="F22" s="362"/>
      <c r="G22" s="362"/>
      <c r="H22" s="362"/>
      <c r="I22" s="362"/>
      <c r="J22" s="362"/>
      <c r="K22" s="362"/>
      <c r="L22" s="362"/>
      <c r="M22" s="106"/>
      <c r="N22" s="106"/>
      <c r="O22" s="106"/>
      <c r="S22" s="363"/>
      <c r="T22" s="363"/>
      <c r="U22" s="363"/>
      <c r="V22" s="363"/>
      <c r="W22" s="363"/>
      <c r="X22" s="363"/>
      <c r="Y22" s="363"/>
    </row>
    <row r="23" spans="2:25" ht="13.5" customHeight="1" x14ac:dyDescent="0.45">
      <c r="B23" s="106"/>
      <c r="C23" s="106"/>
      <c r="D23" s="106"/>
      <c r="E23" s="362"/>
      <c r="F23" s="362"/>
      <c r="G23" s="362"/>
      <c r="H23" s="362"/>
      <c r="I23" s="362"/>
      <c r="J23" s="362"/>
      <c r="K23" s="362"/>
      <c r="L23" s="362"/>
      <c r="M23" s="106"/>
      <c r="N23" s="106"/>
      <c r="O23" s="106"/>
      <c r="S23" s="363"/>
      <c r="T23" s="363"/>
      <c r="U23" s="363"/>
      <c r="V23" s="363"/>
      <c r="W23" s="363"/>
      <c r="X23" s="363"/>
      <c r="Y23" s="363"/>
    </row>
    <row r="24" spans="2:25" ht="13.5" customHeight="1" x14ac:dyDescent="0.45">
      <c r="B24" s="106"/>
      <c r="C24" s="106"/>
      <c r="D24" s="106"/>
      <c r="E24" s="362"/>
      <c r="F24" s="362"/>
      <c r="G24" s="362"/>
      <c r="H24" s="362"/>
      <c r="I24" s="362"/>
      <c r="J24" s="362"/>
      <c r="K24" s="362"/>
      <c r="L24" s="362"/>
      <c r="M24" s="106"/>
      <c r="N24" s="106"/>
      <c r="O24" s="106"/>
      <c r="S24" s="363"/>
      <c r="T24" s="363"/>
      <c r="U24" s="363"/>
      <c r="V24" s="363"/>
      <c r="W24" s="363"/>
      <c r="X24" s="363"/>
      <c r="Y24" s="363"/>
    </row>
    <row r="25" spans="2:25" ht="13.5" customHeight="1" x14ac:dyDescent="0.45">
      <c r="B25" s="106"/>
      <c r="C25" s="106"/>
      <c r="D25" s="106"/>
      <c r="E25" s="362"/>
      <c r="F25" s="362"/>
      <c r="G25" s="362"/>
      <c r="H25" s="362"/>
      <c r="I25" s="362"/>
      <c r="J25" s="362"/>
      <c r="K25" s="362"/>
      <c r="L25" s="362"/>
      <c r="M25" s="106"/>
      <c r="N25" s="106"/>
      <c r="O25" s="106"/>
      <c r="S25" s="363"/>
      <c r="T25" s="363"/>
      <c r="U25" s="363"/>
      <c r="V25" s="363"/>
      <c r="W25" s="363"/>
      <c r="X25" s="363"/>
      <c r="Y25" s="363"/>
    </row>
    <row r="26" spans="2:25" ht="13.5" customHeight="1" x14ac:dyDescent="0.45">
      <c r="B26" s="106"/>
      <c r="C26" s="106"/>
      <c r="D26" s="106"/>
      <c r="E26" s="106"/>
      <c r="F26" s="106"/>
      <c r="G26" s="106"/>
      <c r="H26" s="248"/>
      <c r="I26" s="248"/>
      <c r="J26" s="248"/>
      <c r="K26" s="106"/>
      <c r="L26" s="106"/>
      <c r="M26" s="106"/>
      <c r="N26" s="106"/>
      <c r="O26" s="106"/>
      <c r="S26" s="363"/>
      <c r="T26" s="363"/>
      <c r="U26" s="363"/>
      <c r="V26" s="363"/>
      <c r="W26" s="363"/>
      <c r="X26" s="363"/>
      <c r="Y26" s="363"/>
    </row>
    <row r="27" spans="2:25" ht="13.5" customHeight="1" x14ac:dyDescent="0.45">
      <c r="B27" s="106"/>
      <c r="C27" s="106"/>
      <c r="D27" s="106"/>
      <c r="E27" s="361" t="s">
        <v>215</v>
      </c>
      <c r="F27" s="361"/>
      <c r="G27" s="361"/>
      <c r="H27" s="361"/>
      <c r="I27" s="361"/>
      <c r="J27" s="361"/>
      <c r="K27" s="361"/>
      <c r="L27" s="361"/>
      <c r="M27" s="106"/>
      <c r="N27" s="106"/>
      <c r="O27" s="106"/>
      <c r="S27" s="363"/>
      <c r="T27" s="363"/>
      <c r="U27" s="363"/>
      <c r="V27" s="363"/>
      <c r="W27" s="363"/>
      <c r="X27" s="363"/>
      <c r="Y27" s="363"/>
    </row>
    <row r="28" spans="2:25" ht="13.5" customHeight="1" x14ac:dyDescent="0.45">
      <c r="B28" s="106"/>
      <c r="C28" s="106"/>
      <c r="D28" s="106"/>
      <c r="E28" s="364"/>
      <c r="F28" s="364"/>
      <c r="G28" s="364"/>
      <c r="H28" s="364"/>
      <c r="I28" s="364"/>
      <c r="J28" s="364"/>
      <c r="K28" s="364"/>
      <c r="L28" s="364"/>
      <c r="M28" s="106"/>
      <c r="N28" s="106"/>
      <c r="O28" s="106"/>
      <c r="S28" s="363"/>
      <c r="T28" s="363"/>
      <c r="U28" s="363"/>
      <c r="V28" s="363"/>
      <c r="W28" s="363"/>
      <c r="X28" s="363"/>
      <c r="Y28" s="363"/>
    </row>
    <row r="29" spans="2:25" ht="13.5" customHeight="1" x14ac:dyDescent="0.45">
      <c r="B29" s="106"/>
      <c r="C29" s="106"/>
      <c r="D29" s="106"/>
      <c r="E29" s="364"/>
      <c r="F29" s="364"/>
      <c r="G29" s="364"/>
      <c r="H29" s="364"/>
      <c r="I29" s="364"/>
      <c r="J29" s="364"/>
      <c r="K29" s="364"/>
      <c r="L29" s="364"/>
      <c r="M29" s="106"/>
      <c r="N29" s="106"/>
      <c r="O29" s="106"/>
      <c r="S29" s="363"/>
      <c r="T29" s="363"/>
      <c r="U29" s="363"/>
      <c r="V29" s="363"/>
      <c r="W29" s="363"/>
      <c r="X29" s="363"/>
      <c r="Y29" s="363"/>
    </row>
    <row r="30" spans="2:25" ht="13.5" customHeight="1" x14ac:dyDescent="0.45">
      <c r="B30" s="106"/>
      <c r="C30" s="106"/>
      <c r="D30" s="106"/>
      <c r="E30" s="364"/>
      <c r="F30" s="364"/>
      <c r="G30" s="364"/>
      <c r="H30" s="364"/>
      <c r="I30" s="364"/>
      <c r="J30" s="364"/>
      <c r="K30" s="364"/>
      <c r="L30" s="364"/>
      <c r="M30" s="106"/>
      <c r="N30" s="106"/>
      <c r="O30" s="106"/>
      <c r="S30" s="363"/>
      <c r="T30" s="363"/>
      <c r="U30" s="363"/>
      <c r="V30" s="363"/>
      <c r="W30" s="363"/>
      <c r="X30" s="363"/>
      <c r="Y30" s="363"/>
    </row>
    <row r="31" spans="2:25" ht="13.5" customHeight="1" x14ac:dyDescent="0.45">
      <c r="B31" s="106"/>
      <c r="C31" s="106"/>
      <c r="D31" s="106"/>
      <c r="E31" s="364"/>
      <c r="F31" s="364"/>
      <c r="G31" s="364"/>
      <c r="H31" s="364"/>
      <c r="I31" s="364"/>
      <c r="J31" s="364"/>
      <c r="K31" s="364"/>
      <c r="L31" s="364"/>
      <c r="M31" s="106"/>
      <c r="N31" s="106"/>
      <c r="O31" s="106"/>
      <c r="S31" s="363"/>
      <c r="T31" s="363"/>
      <c r="U31" s="363"/>
      <c r="V31" s="363"/>
      <c r="W31" s="363"/>
      <c r="X31" s="363"/>
      <c r="Y31" s="363"/>
    </row>
    <row r="32" spans="2:25" ht="13.5" customHeight="1" x14ac:dyDescent="0.45">
      <c r="B32" s="106"/>
      <c r="C32" s="106"/>
      <c r="D32" s="106"/>
      <c r="E32" s="364"/>
      <c r="F32" s="364"/>
      <c r="G32" s="364"/>
      <c r="H32" s="364"/>
      <c r="I32" s="364"/>
      <c r="J32" s="364"/>
      <c r="K32" s="364"/>
      <c r="L32" s="364"/>
      <c r="M32" s="106"/>
      <c r="N32" s="106"/>
      <c r="O32" s="106"/>
      <c r="S32" s="363"/>
      <c r="T32" s="363"/>
      <c r="U32" s="363"/>
      <c r="V32" s="363"/>
      <c r="W32" s="363"/>
      <c r="X32" s="363"/>
      <c r="Y32" s="363"/>
    </row>
    <row r="33" spans="2:25" ht="13.5" customHeight="1" x14ac:dyDescent="0.45">
      <c r="B33" s="106"/>
      <c r="C33" s="106"/>
      <c r="D33" s="106"/>
      <c r="E33" s="364"/>
      <c r="F33" s="364"/>
      <c r="G33" s="364"/>
      <c r="H33" s="364"/>
      <c r="I33" s="364"/>
      <c r="J33" s="364"/>
      <c r="K33" s="364"/>
      <c r="L33" s="364"/>
      <c r="M33" s="106"/>
      <c r="N33" s="106"/>
      <c r="O33" s="106"/>
      <c r="S33" s="363"/>
      <c r="T33" s="363"/>
      <c r="U33" s="363"/>
      <c r="V33" s="363"/>
      <c r="W33" s="363"/>
      <c r="X33" s="363"/>
      <c r="Y33" s="363"/>
    </row>
    <row r="34" spans="2:25" ht="13.5" customHeight="1" x14ac:dyDescent="0.45">
      <c r="B34" s="106"/>
      <c r="C34" s="106"/>
      <c r="D34" s="106"/>
      <c r="E34" s="364"/>
      <c r="F34" s="364"/>
      <c r="G34" s="364"/>
      <c r="H34" s="364"/>
      <c r="I34" s="364"/>
      <c r="J34" s="364"/>
      <c r="K34" s="364"/>
      <c r="L34" s="364"/>
      <c r="M34" s="106"/>
      <c r="N34" s="106"/>
      <c r="O34" s="106"/>
      <c r="S34" s="363"/>
      <c r="T34" s="363"/>
      <c r="U34" s="363"/>
      <c r="V34" s="363"/>
      <c r="W34" s="363"/>
      <c r="X34" s="363"/>
      <c r="Y34" s="363"/>
    </row>
    <row r="35" spans="2:25" ht="13.5" customHeight="1" x14ac:dyDescent="0.45">
      <c r="B35" s="106"/>
      <c r="C35" s="106"/>
      <c r="D35" s="106"/>
      <c r="E35" s="364"/>
      <c r="F35" s="364"/>
      <c r="G35" s="364"/>
      <c r="H35" s="364"/>
      <c r="I35" s="364"/>
      <c r="J35" s="364"/>
      <c r="K35" s="364"/>
      <c r="L35" s="364"/>
      <c r="M35" s="106"/>
      <c r="N35" s="106"/>
      <c r="O35" s="106"/>
      <c r="S35" s="363"/>
      <c r="T35" s="363"/>
      <c r="U35" s="363"/>
      <c r="V35" s="363"/>
      <c r="W35" s="363"/>
      <c r="X35" s="363"/>
      <c r="Y35" s="363"/>
    </row>
    <row r="36" spans="2:25" ht="15" customHeight="1" x14ac:dyDescent="0.45">
      <c r="B36" s="106"/>
      <c r="C36" s="106"/>
      <c r="D36" s="106"/>
      <c r="E36" s="364"/>
      <c r="F36" s="364"/>
      <c r="G36" s="364"/>
      <c r="H36" s="364"/>
      <c r="I36" s="364"/>
      <c r="J36" s="364"/>
      <c r="K36" s="364"/>
      <c r="L36" s="364"/>
      <c r="M36" s="106"/>
      <c r="N36" s="106"/>
      <c r="O36" s="106"/>
      <c r="S36" s="363"/>
      <c r="T36" s="363"/>
      <c r="U36" s="363"/>
      <c r="V36" s="363"/>
      <c r="W36" s="363"/>
      <c r="X36" s="363"/>
      <c r="Y36" s="363"/>
    </row>
    <row r="37" spans="2:25" ht="15" customHeight="1" x14ac:dyDescent="0.45">
      <c r="B37" s="106"/>
      <c r="C37" s="106"/>
      <c r="D37" s="106"/>
      <c r="E37" s="364"/>
      <c r="F37" s="364"/>
      <c r="G37" s="364"/>
      <c r="H37" s="364"/>
      <c r="I37" s="364"/>
      <c r="J37" s="364"/>
      <c r="K37" s="364"/>
      <c r="L37" s="364"/>
      <c r="M37" s="106"/>
      <c r="N37" s="106"/>
      <c r="O37" s="106"/>
      <c r="S37" s="363"/>
      <c r="T37" s="363"/>
      <c r="U37" s="363"/>
      <c r="V37" s="363"/>
      <c r="W37" s="363"/>
      <c r="X37" s="363"/>
      <c r="Y37" s="363"/>
    </row>
    <row r="38" spans="2:25" ht="15" customHeight="1" x14ac:dyDescent="0.45">
      <c r="B38" s="106"/>
      <c r="C38" s="106"/>
      <c r="D38" s="106"/>
      <c r="E38" s="364"/>
      <c r="F38" s="364"/>
      <c r="G38" s="364"/>
      <c r="H38" s="364"/>
      <c r="I38" s="364"/>
      <c r="J38" s="364"/>
      <c r="K38" s="364"/>
      <c r="L38" s="364"/>
      <c r="M38" s="106"/>
      <c r="N38" s="106"/>
      <c r="O38" s="106"/>
      <c r="S38" s="363"/>
      <c r="T38" s="363"/>
      <c r="U38" s="363"/>
      <c r="V38" s="363"/>
      <c r="W38" s="363"/>
      <c r="X38" s="363"/>
      <c r="Y38" s="363"/>
    </row>
    <row r="39" spans="2:25" ht="15" customHeight="1" x14ac:dyDescent="0.45">
      <c r="B39" s="106"/>
      <c r="C39" s="106"/>
      <c r="D39" s="106"/>
      <c r="E39" s="364"/>
      <c r="F39" s="364"/>
      <c r="G39" s="364"/>
      <c r="H39" s="364"/>
      <c r="I39" s="364"/>
      <c r="J39" s="364"/>
      <c r="K39" s="364"/>
      <c r="L39" s="364"/>
      <c r="M39" s="106"/>
      <c r="N39" s="106"/>
      <c r="O39" s="106"/>
      <c r="S39" s="363"/>
      <c r="T39" s="363"/>
      <c r="U39" s="363"/>
      <c r="V39" s="363"/>
      <c r="W39" s="363"/>
      <c r="X39" s="363"/>
      <c r="Y39" s="363"/>
    </row>
    <row r="40" spans="2:25" ht="15" customHeight="1" x14ac:dyDescent="0.45">
      <c r="B40" s="106"/>
      <c r="C40" s="106"/>
      <c r="D40" s="106"/>
      <c r="E40" s="364"/>
      <c r="F40" s="364"/>
      <c r="G40" s="364"/>
      <c r="H40" s="364"/>
      <c r="I40" s="364"/>
      <c r="J40" s="364"/>
      <c r="K40" s="364"/>
      <c r="L40" s="364"/>
      <c r="M40" s="106"/>
      <c r="N40" s="106"/>
      <c r="O40" s="106"/>
      <c r="S40" s="363"/>
      <c r="T40" s="363"/>
      <c r="U40" s="363"/>
      <c r="V40" s="363"/>
      <c r="W40" s="363"/>
      <c r="X40" s="363"/>
      <c r="Y40" s="363"/>
    </row>
    <row r="41" spans="2:25" ht="15" customHeight="1" x14ac:dyDescent="0.45">
      <c r="B41" s="106"/>
      <c r="C41" s="106"/>
      <c r="D41" s="106"/>
      <c r="E41" s="106"/>
      <c r="F41" s="106"/>
      <c r="G41" s="106"/>
      <c r="H41" s="245"/>
      <c r="I41" s="245"/>
      <c r="J41" s="245"/>
      <c r="K41" s="106"/>
      <c r="L41" s="106"/>
      <c r="M41" s="106"/>
      <c r="N41" s="106"/>
      <c r="O41" s="106"/>
      <c r="S41" s="363"/>
      <c r="T41" s="363"/>
      <c r="U41" s="363"/>
      <c r="V41" s="363"/>
      <c r="W41" s="363"/>
      <c r="X41" s="363"/>
      <c r="Y41" s="363"/>
    </row>
    <row r="42" spans="2:25" ht="15" customHeight="1" x14ac:dyDescent="0.45">
      <c r="B42" s="106"/>
      <c r="C42" s="106"/>
      <c r="D42" s="106"/>
      <c r="E42" s="361" t="s">
        <v>216</v>
      </c>
      <c r="F42" s="361"/>
      <c r="G42" s="361"/>
      <c r="H42" s="361"/>
      <c r="I42" s="361"/>
      <c r="J42" s="361"/>
      <c r="K42" s="361"/>
      <c r="L42" s="361"/>
      <c r="M42" s="106"/>
      <c r="N42" s="106"/>
      <c r="O42" s="106"/>
      <c r="S42" s="363"/>
      <c r="T42" s="363"/>
      <c r="U42" s="363"/>
      <c r="V42" s="363"/>
      <c r="W42" s="363"/>
      <c r="X42" s="363"/>
      <c r="Y42" s="363"/>
    </row>
    <row r="43" spans="2:25" ht="15" customHeight="1" x14ac:dyDescent="0.45">
      <c r="B43" s="106"/>
      <c r="C43" s="106"/>
      <c r="D43" s="106"/>
      <c r="E43" s="364"/>
      <c r="F43" s="364"/>
      <c r="G43" s="364"/>
      <c r="H43" s="364"/>
      <c r="I43" s="364"/>
      <c r="J43" s="364"/>
      <c r="K43" s="364"/>
      <c r="L43" s="364"/>
      <c r="M43" s="106"/>
      <c r="N43" s="106"/>
      <c r="O43" s="106"/>
      <c r="S43" s="363"/>
      <c r="T43" s="363"/>
      <c r="U43" s="363"/>
      <c r="V43" s="363"/>
      <c r="W43" s="363"/>
      <c r="X43" s="363"/>
      <c r="Y43" s="363"/>
    </row>
    <row r="44" spans="2:25" ht="15" customHeight="1" x14ac:dyDescent="0.45">
      <c r="B44" s="106"/>
      <c r="C44" s="106"/>
      <c r="D44" s="106"/>
      <c r="E44" s="364"/>
      <c r="F44" s="364"/>
      <c r="G44" s="364"/>
      <c r="H44" s="364"/>
      <c r="I44" s="364"/>
      <c r="J44" s="364"/>
      <c r="K44" s="364"/>
      <c r="L44" s="364"/>
      <c r="M44" s="106"/>
      <c r="N44" s="106"/>
      <c r="O44" s="106"/>
      <c r="S44" s="363"/>
      <c r="T44" s="363"/>
      <c r="U44" s="363"/>
      <c r="V44" s="363"/>
      <c r="W44" s="363"/>
      <c r="X44" s="363"/>
      <c r="Y44" s="363"/>
    </row>
    <row r="45" spans="2:25" ht="15" customHeight="1" x14ac:dyDescent="0.45">
      <c r="B45" s="106"/>
      <c r="C45" s="106"/>
      <c r="D45" s="106"/>
      <c r="E45" s="364"/>
      <c r="F45" s="364"/>
      <c r="G45" s="364"/>
      <c r="H45" s="364"/>
      <c r="I45" s="364"/>
      <c r="J45" s="364"/>
      <c r="K45" s="364"/>
      <c r="L45" s="364"/>
      <c r="M45" s="106"/>
      <c r="N45" s="106"/>
      <c r="O45" s="106"/>
      <c r="S45" s="363"/>
      <c r="T45" s="363"/>
      <c r="U45" s="363"/>
      <c r="V45" s="363"/>
      <c r="W45" s="363"/>
      <c r="X45" s="363"/>
      <c r="Y45" s="363"/>
    </row>
    <row r="46" spans="2:25" ht="15" customHeight="1" x14ac:dyDescent="0.45">
      <c r="B46" s="245"/>
      <c r="C46" s="245"/>
      <c r="D46" s="245"/>
      <c r="E46" s="364"/>
      <c r="F46" s="364"/>
      <c r="G46" s="364"/>
      <c r="H46" s="364"/>
      <c r="I46" s="364"/>
      <c r="J46" s="364"/>
      <c r="K46" s="364"/>
      <c r="L46" s="364"/>
      <c r="M46" s="245"/>
      <c r="N46" s="245"/>
      <c r="O46" s="245"/>
      <c r="S46" s="363"/>
      <c r="T46" s="363"/>
      <c r="U46" s="363"/>
      <c r="V46" s="363"/>
      <c r="W46" s="363"/>
      <c r="X46" s="363"/>
      <c r="Y46" s="363"/>
    </row>
    <row r="47" spans="2:25" ht="15" customHeight="1" x14ac:dyDescent="0.45">
      <c r="B47" s="245"/>
      <c r="C47" s="245"/>
      <c r="D47" s="245"/>
      <c r="E47" s="364"/>
      <c r="F47" s="364"/>
      <c r="G47" s="364"/>
      <c r="H47" s="364"/>
      <c r="I47" s="364"/>
      <c r="J47" s="364"/>
      <c r="K47" s="364"/>
      <c r="L47" s="364"/>
      <c r="M47" s="245"/>
      <c r="N47" s="245"/>
      <c r="O47" s="245"/>
      <c r="S47" s="363"/>
      <c r="T47" s="363"/>
      <c r="U47" s="363"/>
      <c r="V47" s="363"/>
      <c r="W47" s="363"/>
      <c r="X47" s="363"/>
      <c r="Y47" s="363"/>
    </row>
    <row r="48" spans="2:25" ht="15" customHeight="1" x14ac:dyDescent="0.45">
      <c r="B48" s="245"/>
      <c r="C48" s="245"/>
      <c r="D48" s="245"/>
      <c r="E48" s="364"/>
      <c r="F48" s="364"/>
      <c r="G48" s="364"/>
      <c r="H48" s="364"/>
      <c r="I48" s="364"/>
      <c r="J48" s="364"/>
      <c r="K48" s="364"/>
      <c r="L48" s="364"/>
      <c r="M48" s="245"/>
      <c r="N48" s="245"/>
      <c r="O48" s="245"/>
      <c r="S48" s="363"/>
      <c r="T48" s="363"/>
      <c r="U48" s="363"/>
      <c r="V48" s="363"/>
      <c r="W48" s="363"/>
      <c r="X48" s="363"/>
      <c r="Y48" s="363"/>
    </row>
    <row r="49" spans="2:42" ht="15" customHeight="1" x14ac:dyDescent="0.45">
      <c r="B49" s="245"/>
      <c r="C49" s="245"/>
      <c r="D49" s="245"/>
      <c r="E49" s="364"/>
      <c r="F49" s="364"/>
      <c r="G49" s="364"/>
      <c r="H49" s="364"/>
      <c r="I49" s="364"/>
      <c r="J49" s="364"/>
      <c r="K49" s="364"/>
      <c r="L49" s="364"/>
      <c r="M49" s="245"/>
      <c r="N49" s="245"/>
      <c r="O49" s="245"/>
      <c r="S49" s="363"/>
      <c r="T49" s="363"/>
      <c r="U49" s="363"/>
      <c r="V49" s="363"/>
      <c r="W49" s="363"/>
      <c r="X49" s="363"/>
      <c r="Y49" s="363"/>
    </row>
    <row r="50" spans="2:42" ht="15" customHeight="1" x14ac:dyDescent="0.45">
      <c r="B50" s="245"/>
      <c r="C50" s="245"/>
      <c r="D50" s="245"/>
      <c r="E50" s="364"/>
      <c r="F50" s="364"/>
      <c r="G50" s="364"/>
      <c r="H50" s="364"/>
      <c r="I50" s="364"/>
      <c r="J50" s="364"/>
      <c r="K50" s="364"/>
      <c r="L50" s="364"/>
      <c r="M50" s="245"/>
      <c r="N50" s="245"/>
      <c r="O50" s="245"/>
      <c r="S50" s="363"/>
      <c r="T50" s="363"/>
      <c r="U50" s="363"/>
      <c r="V50" s="363"/>
      <c r="W50" s="363"/>
      <c r="X50" s="363"/>
      <c r="Y50" s="363"/>
    </row>
    <row r="51" spans="2:42" ht="15" customHeight="1" x14ac:dyDescent="0.45">
      <c r="B51" s="245"/>
      <c r="C51" s="245"/>
      <c r="D51" s="245"/>
      <c r="E51" s="364"/>
      <c r="F51" s="364"/>
      <c r="G51" s="364"/>
      <c r="H51" s="364"/>
      <c r="I51" s="364"/>
      <c r="J51" s="364"/>
      <c r="K51" s="364"/>
      <c r="L51" s="364"/>
      <c r="M51" s="245"/>
      <c r="N51" s="245"/>
      <c r="O51" s="245"/>
      <c r="S51" s="363"/>
      <c r="T51" s="363"/>
      <c r="U51" s="363"/>
      <c r="V51" s="363"/>
      <c r="W51" s="363"/>
      <c r="X51" s="363"/>
      <c r="Y51" s="363"/>
    </row>
    <row r="52" spans="2:42" ht="15" customHeight="1" x14ac:dyDescent="0.45">
      <c r="B52" s="284"/>
      <c r="C52" s="284"/>
      <c r="D52" s="284"/>
      <c r="E52" s="364"/>
      <c r="F52" s="364"/>
      <c r="G52" s="364"/>
      <c r="H52" s="364"/>
      <c r="I52" s="364"/>
      <c r="J52" s="364"/>
      <c r="K52" s="364"/>
      <c r="L52" s="364"/>
      <c r="M52" s="106"/>
      <c r="N52" s="106"/>
      <c r="O52" s="106"/>
      <c r="S52" s="363"/>
      <c r="T52" s="363"/>
      <c r="U52" s="363"/>
      <c r="V52" s="363"/>
      <c r="W52" s="363"/>
      <c r="X52" s="363"/>
      <c r="Y52" s="363"/>
    </row>
    <row r="53" spans="2:42" ht="15" customHeight="1" x14ac:dyDescent="0.45">
      <c r="B53" s="250"/>
      <c r="C53" s="250"/>
      <c r="D53" s="250"/>
      <c r="E53" s="364"/>
      <c r="F53" s="364"/>
      <c r="G53" s="364"/>
      <c r="H53" s="364"/>
      <c r="I53" s="364"/>
      <c r="J53" s="364"/>
      <c r="K53" s="364"/>
      <c r="L53" s="364"/>
      <c r="M53" s="250"/>
      <c r="N53" s="250"/>
      <c r="O53" s="250"/>
      <c r="S53" s="363"/>
      <c r="T53" s="363"/>
      <c r="U53" s="363"/>
      <c r="V53" s="363"/>
      <c r="W53" s="363"/>
      <c r="X53" s="363"/>
      <c r="Y53" s="363"/>
    </row>
    <row r="54" spans="2:42" ht="15" customHeight="1" x14ac:dyDescent="0.45">
      <c r="B54" s="250"/>
      <c r="C54" s="250"/>
      <c r="D54" s="250"/>
      <c r="E54" s="364"/>
      <c r="F54" s="364"/>
      <c r="G54" s="364"/>
      <c r="H54" s="364"/>
      <c r="I54" s="364"/>
      <c r="J54" s="364"/>
      <c r="K54" s="364"/>
      <c r="L54" s="364"/>
      <c r="M54" s="250"/>
      <c r="N54" s="250"/>
      <c r="O54" s="250"/>
    </row>
    <row r="55" spans="2:42" ht="15" customHeight="1" x14ac:dyDescent="0.45">
      <c r="B55" s="250"/>
      <c r="C55" s="250"/>
      <c r="D55" s="250"/>
      <c r="E55" s="364"/>
      <c r="F55" s="364"/>
      <c r="G55" s="364"/>
      <c r="H55" s="364"/>
      <c r="I55" s="364"/>
      <c r="J55" s="364"/>
      <c r="K55" s="364"/>
      <c r="L55" s="364"/>
      <c r="M55" s="250"/>
      <c r="N55" s="250"/>
      <c r="O55" s="250"/>
    </row>
    <row r="56" spans="2:42" ht="15" customHeight="1" x14ac:dyDescent="0.45">
      <c r="B56" s="250"/>
      <c r="C56" s="250"/>
      <c r="D56" s="250"/>
      <c r="E56" s="250"/>
      <c r="F56" s="250"/>
      <c r="G56" s="250"/>
      <c r="H56" s="245"/>
      <c r="I56" s="245"/>
      <c r="J56" s="245"/>
      <c r="K56" s="250"/>
      <c r="L56" s="250"/>
      <c r="M56" s="250"/>
      <c r="N56" s="250"/>
      <c r="O56" s="250"/>
    </row>
    <row r="57" spans="2:42" ht="15" customHeight="1" x14ac:dyDescent="0.45">
      <c r="B57" s="245"/>
      <c r="C57" s="245"/>
      <c r="D57" s="245"/>
      <c r="E57" s="245"/>
      <c r="F57" s="245"/>
      <c r="G57" s="245"/>
      <c r="H57" s="245"/>
      <c r="I57" s="245"/>
      <c r="J57" s="245"/>
      <c r="K57" s="245"/>
      <c r="L57" s="245"/>
      <c r="M57" s="245"/>
      <c r="N57" s="245"/>
      <c r="O57" s="245"/>
      <c r="V57" s="365"/>
      <c r="W57" s="366"/>
      <c r="X57" s="366"/>
      <c r="Y57" s="366"/>
      <c r="Z57" s="366"/>
      <c r="AA57" s="366"/>
      <c r="AB57" s="366"/>
      <c r="AC57" s="366"/>
      <c r="AD57" s="366"/>
      <c r="AE57" s="366"/>
      <c r="AF57" s="366"/>
      <c r="AG57" s="366"/>
    </row>
    <row r="58" spans="2:42" ht="15" customHeight="1" x14ac:dyDescent="0.45">
      <c r="B58" s="246" t="s">
        <v>428</v>
      </c>
      <c r="C58" s="246"/>
      <c r="D58" s="248"/>
      <c r="E58" s="248"/>
      <c r="F58" s="234" t="s">
        <v>422</v>
      </c>
      <c r="G58" s="234"/>
      <c r="H58" s="234"/>
      <c r="I58" s="234"/>
      <c r="J58" s="234"/>
      <c r="K58" s="234"/>
      <c r="L58" s="248"/>
      <c r="M58" s="246" t="s">
        <v>427</v>
      </c>
      <c r="N58" s="246"/>
      <c r="O58" s="246"/>
    </row>
    <row r="59" spans="2:42" ht="15" customHeight="1" x14ac:dyDescent="0.45">
      <c r="B59" s="236" t="s">
        <v>56</v>
      </c>
      <c r="C59" s="236"/>
      <c r="D59" s="248"/>
      <c r="E59" s="250"/>
      <c r="F59" s="236" t="s">
        <v>395</v>
      </c>
      <c r="G59" s="236"/>
      <c r="H59" s="236"/>
      <c r="I59" s="236"/>
      <c r="J59" s="236"/>
      <c r="K59" s="236"/>
      <c r="L59" s="250"/>
      <c r="M59" s="236" t="s">
        <v>123</v>
      </c>
      <c r="N59" s="236"/>
      <c r="O59" s="236"/>
    </row>
    <row r="60" spans="2:42" ht="15" customHeight="1" x14ac:dyDescent="0.45">
      <c r="B60" s="245"/>
      <c r="C60" s="249"/>
      <c r="D60" s="249"/>
      <c r="E60" s="249"/>
      <c r="F60" s="249"/>
      <c r="G60" s="245"/>
      <c r="H60" s="245"/>
      <c r="I60" s="249"/>
      <c r="J60" s="249"/>
      <c r="K60" s="249"/>
      <c r="L60" s="249"/>
      <c r="M60" s="245"/>
      <c r="N60" s="245"/>
      <c r="O60" s="245"/>
    </row>
    <row r="61" spans="2:42" x14ac:dyDescent="0.45">
      <c r="B61" s="250"/>
      <c r="C61" s="106"/>
      <c r="D61" s="106"/>
      <c r="E61" s="106"/>
      <c r="F61" s="105"/>
      <c r="G61" s="105"/>
      <c r="H61" s="105"/>
      <c r="I61" s="105"/>
      <c r="J61" s="105"/>
      <c r="K61" s="105"/>
      <c r="L61" s="105"/>
      <c r="M61" s="105"/>
      <c r="N61" s="105"/>
      <c r="O61" s="105"/>
    </row>
    <row r="62" spans="2:42" ht="15.75" customHeight="1" x14ac:dyDescent="0.45">
      <c r="B62" s="251" t="s">
        <v>410</v>
      </c>
      <c r="C62" s="251"/>
      <c r="D62" s="105"/>
      <c r="E62" s="105"/>
      <c r="F62" s="190"/>
      <c r="G62" s="190"/>
      <c r="H62" s="190"/>
      <c r="I62" s="190"/>
      <c r="J62" s="190"/>
      <c r="K62" s="252"/>
      <c r="L62" s="252"/>
      <c r="M62" s="105"/>
      <c r="N62" s="253" t="s">
        <v>415</v>
      </c>
      <c r="O62" s="253"/>
    </row>
    <row r="63" spans="2:42" ht="20.100000000000001" customHeight="1" x14ac:dyDescent="0.45"/>
    <row r="64" spans="2:42" x14ac:dyDescent="0.45">
      <c r="S64" s="236"/>
      <c r="T64" s="236"/>
      <c r="U64" s="236"/>
      <c r="V64" s="236"/>
      <c r="W64" s="236"/>
      <c r="X64" s="236"/>
      <c r="Y64" s="236"/>
      <c r="Z64" s="236"/>
      <c r="AA64" s="236"/>
      <c r="AB64" s="236"/>
      <c r="AC64" s="236"/>
      <c r="AD64" s="236"/>
      <c r="AE64" s="236"/>
      <c r="AF64" s="236"/>
      <c r="AP64" s="254"/>
    </row>
    <row r="65" spans="19:32" x14ac:dyDescent="0.45">
      <c r="S65" s="236"/>
      <c r="T65" s="236"/>
      <c r="U65" s="236"/>
      <c r="V65" s="236"/>
      <c r="W65" s="236"/>
      <c r="X65" s="236"/>
      <c r="Y65" s="236"/>
      <c r="Z65" s="236"/>
      <c r="AA65" s="236"/>
      <c r="AB65" s="236"/>
      <c r="AC65" s="236"/>
      <c r="AD65" s="236"/>
      <c r="AE65" s="236"/>
      <c r="AF65" s="236"/>
    </row>
    <row r="66" spans="19:32" x14ac:dyDescent="0.45">
      <c r="S66" s="236"/>
      <c r="T66" s="236"/>
      <c r="U66" s="236"/>
      <c r="V66" s="236"/>
      <c r="W66" s="236"/>
      <c r="X66" s="236"/>
      <c r="Y66" s="236"/>
      <c r="Z66" s="236"/>
      <c r="AA66" s="236"/>
      <c r="AB66" s="236"/>
      <c r="AC66" s="236"/>
      <c r="AD66" s="243"/>
      <c r="AE66" s="243"/>
      <c r="AF66" s="243"/>
    </row>
  </sheetData>
  <mergeCells count="35">
    <mergeCell ref="B59:C59"/>
    <mergeCell ref="F59:K59"/>
    <mergeCell ref="M59:O59"/>
    <mergeCell ref="M2:O3"/>
    <mergeCell ref="C4:E4"/>
    <mergeCell ref="F4:K4"/>
    <mergeCell ref="B58:C58"/>
    <mergeCell ref="F58:K58"/>
    <mergeCell ref="M58:O58"/>
    <mergeCell ref="E28:L40"/>
    <mergeCell ref="E42:L42"/>
    <mergeCell ref="E43:L55"/>
    <mergeCell ref="B2:B3"/>
    <mergeCell ref="C2:L3"/>
    <mergeCell ref="C6:J6"/>
    <mergeCell ref="B7:C7"/>
    <mergeCell ref="E12:L12"/>
    <mergeCell ref="E13:L25"/>
    <mergeCell ref="E27:L27"/>
    <mergeCell ref="S66:T66"/>
    <mergeCell ref="U66:Y66"/>
    <mergeCell ref="S15:Y53"/>
    <mergeCell ref="S14:Y14"/>
    <mergeCell ref="V57:AG57"/>
    <mergeCell ref="Z66:AC66"/>
    <mergeCell ref="AD66:AF66"/>
    <mergeCell ref="U64:AF64"/>
    <mergeCell ref="U65:Y65"/>
    <mergeCell ref="Z65:AC65"/>
    <mergeCell ref="AD65:AF65"/>
    <mergeCell ref="B62:C62"/>
    <mergeCell ref="F62:J62"/>
    <mergeCell ref="K62:L62"/>
    <mergeCell ref="N62:O62"/>
    <mergeCell ref="S64:T6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9137" r:id="rId4" name="Check Box 1">
              <controlPr defaultSize="0" autoFill="0" autoLine="0" autoPict="0">
                <anchor moveWithCells="1">
                  <from>
                    <xdr:col>1</xdr:col>
                    <xdr:colOff>400050</xdr:colOff>
                    <xdr:row>0</xdr:row>
                    <xdr:rowOff>76200</xdr:rowOff>
                  </from>
                  <to>
                    <xdr:col>1</xdr:col>
                    <xdr:colOff>409575</xdr:colOff>
                    <xdr:row>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38" r:id="rId5" name="Check Box 2">
              <controlPr defaultSize="0" autoFill="0" autoLine="0" autoPict="0">
                <anchor moveWithCells="1">
                  <from>
                    <xdr:col>1</xdr:col>
                    <xdr:colOff>400050</xdr:colOff>
                    <xdr:row>0</xdr:row>
                    <xdr:rowOff>95250</xdr:rowOff>
                  </from>
                  <to>
                    <xdr:col>1</xdr:col>
                    <xdr:colOff>409575</xdr:colOff>
                    <xdr:row>0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39" r:id="rId6" name="Check Box 3">
              <controlPr defaultSize="0" autoFill="0" autoLine="0" autoPict="0">
                <anchor moveWithCells="1">
                  <from>
                    <xdr:col>1</xdr:col>
                    <xdr:colOff>400050</xdr:colOff>
                    <xdr:row>0</xdr:row>
                    <xdr:rowOff>114300</xdr:rowOff>
                  </from>
                  <to>
                    <xdr:col>1</xdr:col>
                    <xdr:colOff>409575</xdr:colOff>
                    <xdr:row>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40" r:id="rId7" name="Check Box 4">
              <controlPr defaultSize="0" autoFill="0" autoLine="0" autoPict="0">
                <anchor moveWithCells="1">
                  <from>
                    <xdr:col>1</xdr:col>
                    <xdr:colOff>400050</xdr:colOff>
                    <xdr:row>0</xdr:row>
                    <xdr:rowOff>123825</xdr:rowOff>
                  </from>
                  <to>
                    <xdr:col>1</xdr:col>
                    <xdr:colOff>409575</xdr:colOff>
                    <xdr:row>0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41" r:id="rId8" name="Check Box 5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42" r:id="rId9" name="Check Box 6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43" r:id="rId10" name="Check Box 7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208" r:id="rId11" name="Check Box 72">
              <controlPr defaultSize="0" autoFill="0" autoLine="0" autoPict="0">
                <anchor moveWithCells="1">
                  <from>
                    <xdr:col>3</xdr:col>
                    <xdr:colOff>219075</xdr:colOff>
                    <xdr:row>6</xdr:row>
                    <xdr:rowOff>9525</xdr:rowOff>
                  </from>
                  <to>
                    <xdr:col>4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211" r:id="rId12" name="Check Box 75">
              <controlPr defaultSize="0" autoFill="0" autoLine="0" autoPict="0">
                <anchor moveWithCells="1">
                  <from>
                    <xdr:col>3</xdr:col>
                    <xdr:colOff>219075</xdr:colOff>
                    <xdr:row>7</xdr:row>
                    <xdr:rowOff>9525</xdr:rowOff>
                  </from>
                  <to>
                    <xdr:col>4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212" r:id="rId13" name="Check Box 76">
              <controlPr defaultSize="0" autoFill="0" autoLine="0" autoPict="0">
                <anchor moveWithCells="1">
                  <from>
                    <xdr:col>3</xdr:col>
                    <xdr:colOff>219075</xdr:colOff>
                    <xdr:row>8</xdr:row>
                    <xdr:rowOff>9525</xdr:rowOff>
                  </from>
                  <to>
                    <xdr:col>4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213" r:id="rId14" name="Check Box 77">
              <controlPr defaultSize="0" autoFill="0" autoLine="0" autoPict="0">
                <anchor moveWithCells="1">
                  <from>
                    <xdr:col>3</xdr:col>
                    <xdr:colOff>219075</xdr:colOff>
                    <xdr:row>9</xdr:row>
                    <xdr:rowOff>9525</xdr:rowOff>
                  </from>
                  <to>
                    <xdr:col>4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214" r:id="rId15" name="Check Box 78">
              <controlPr defaultSize="0" autoFill="0" autoLine="0" autoPict="0">
                <anchor moveWithCells="1">
                  <from>
                    <xdr:col>11</xdr:col>
                    <xdr:colOff>657225</xdr:colOff>
                    <xdr:row>6</xdr:row>
                    <xdr:rowOff>9525</xdr:rowOff>
                  </from>
                  <to>
                    <xdr:col>12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215" r:id="rId16" name="Check Box 79">
              <controlPr defaultSize="0" autoFill="0" autoLine="0" autoPict="0">
                <anchor moveWithCells="1">
                  <from>
                    <xdr:col>11</xdr:col>
                    <xdr:colOff>657225</xdr:colOff>
                    <xdr:row>7</xdr:row>
                    <xdr:rowOff>9525</xdr:rowOff>
                  </from>
                  <to>
                    <xdr:col>12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216" r:id="rId17" name="Check Box 80">
              <controlPr defaultSize="0" autoFill="0" autoLine="0" autoPict="0">
                <anchor moveWithCells="1">
                  <from>
                    <xdr:col>11</xdr:col>
                    <xdr:colOff>657225</xdr:colOff>
                    <xdr:row>8</xdr:row>
                    <xdr:rowOff>9525</xdr:rowOff>
                  </from>
                  <to>
                    <xdr:col>12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9"/>
  <dimension ref="B1:AP56"/>
  <sheetViews>
    <sheetView view="pageBreakPreview" zoomScale="86" zoomScaleNormal="100" zoomScaleSheetLayoutView="86" workbookViewId="0">
      <selection activeCell="B2" sqref="B2:B3"/>
    </sheetView>
  </sheetViews>
  <sheetFormatPr baseColWidth="10" defaultRowHeight="18.75" x14ac:dyDescent="0.45"/>
  <cols>
    <col min="1" max="1" width="3.28515625" style="23" customWidth="1"/>
    <col min="2" max="2" width="19.28515625" style="23" customWidth="1"/>
    <col min="3" max="3" width="9.140625" style="23" customWidth="1"/>
    <col min="4" max="4" width="6.140625" style="23" customWidth="1"/>
    <col min="5" max="5" width="7.7109375" style="23" customWidth="1"/>
    <col min="6" max="6" width="4.28515625" style="23" customWidth="1"/>
    <col min="7" max="7" width="5.140625" style="23" customWidth="1"/>
    <col min="8" max="8" width="4.5703125" style="23" customWidth="1"/>
    <col min="9" max="9" width="4.85546875" style="23" customWidth="1"/>
    <col min="10" max="10" width="4.28515625" style="23" customWidth="1"/>
    <col min="11" max="11" width="7" style="23" customWidth="1"/>
    <col min="12" max="12" width="12.42578125" style="23" customWidth="1"/>
    <col min="13" max="13" width="13.42578125" style="23" customWidth="1"/>
    <col min="14" max="14" width="9.85546875" style="23" customWidth="1"/>
    <col min="15" max="15" width="8.5703125" style="23" customWidth="1"/>
    <col min="16" max="16" width="3.28515625" style="23" customWidth="1"/>
    <col min="17" max="16384" width="11.42578125" style="23"/>
  </cols>
  <sheetData>
    <row r="1" spans="2:25" ht="20.100000000000001" customHeight="1" x14ac:dyDescent="0.45"/>
    <row r="2" spans="2:25" ht="27.75" customHeight="1" x14ac:dyDescent="0.45">
      <c r="B2" s="140"/>
      <c r="C2" s="141" t="s">
        <v>317</v>
      </c>
      <c r="D2" s="142"/>
      <c r="E2" s="142"/>
      <c r="F2" s="142"/>
      <c r="G2" s="142"/>
      <c r="H2" s="142"/>
      <c r="I2" s="142"/>
      <c r="J2" s="142"/>
      <c r="K2" s="142"/>
      <c r="L2" s="142"/>
      <c r="M2" s="144" t="s">
        <v>130</v>
      </c>
      <c r="N2" s="145"/>
      <c r="O2" s="146"/>
    </row>
    <row r="3" spans="2:25" ht="27.75" customHeight="1" x14ac:dyDescent="0.45">
      <c r="B3" s="147"/>
      <c r="C3" s="148"/>
      <c r="D3" s="149"/>
      <c r="E3" s="149"/>
      <c r="F3" s="149"/>
      <c r="G3" s="149"/>
      <c r="H3" s="149"/>
      <c r="I3" s="149"/>
      <c r="J3" s="149"/>
      <c r="K3" s="149"/>
      <c r="L3" s="149"/>
      <c r="M3" s="151"/>
      <c r="N3" s="152"/>
      <c r="O3" s="153"/>
    </row>
    <row r="4" spans="2:25" x14ac:dyDescent="0.45">
      <c r="B4" s="154" t="s">
        <v>201</v>
      </c>
      <c r="C4" s="155">
        <f>DATOS!AE7</f>
        <v>0</v>
      </c>
      <c r="D4" s="155"/>
      <c r="E4" s="155"/>
      <c r="F4" s="156"/>
      <c r="G4" s="156"/>
      <c r="H4" s="156"/>
      <c r="I4" s="156"/>
      <c r="J4" s="156"/>
      <c r="K4" s="156"/>
      <c r="L4" s="157" t="s">
        <v>57</v>
      </c>
      <c r="M4" s="158" t="str">
        <f>TERMOGRAFIA!M4</f>
        <v>4/2/2021</v>
      </c>
      <c r="N4" s="158"/>
      <c r="O4" s="159"/>
    </row>
    <row r="5" spans="2:25" x14ac:dyDescent="0.45">
      <c r="B5" s="160" t="s">
        <v>194</v>
      </c>
      <c r="C5" s="161" t="s">
        <v>318</v>
      </c>
      <c r="D5" s="105"/>
      <c r="E5" s="105"/>
      <c r="F5" s="162"/>
      <c r="G5" s="162"/>
      <c r="H5" s="162"/>
      <c r="I5" s="162"/>
      <c r="J5" s="162"/>
      <c r="K5" s="162"/>
      <c r="L5" s="162"/>
      <c r="M5" s="162"/>
      <c r="N5" s="162"/>
      <c r="O5" s="163"/>
      <c r="P5" s="38"/>
      <c r="Q5" s="360"/>
      <c r="R5" s="360"/>
      <c r="S5" s="360"/>
    </row>
    <row r="6" spans="2:25" x14ac:dyDescent="0.45">
      <c r="B6" s="164" t="s">
        <v>131</v>
      </c>
      <c r="C6" s="165" t="s">
        <v>138</v>
      </c>
      <c r="D6" s="165"/>
      <c r="E6" s="165"/>
      <c r="F6" s="165"/>
      <c r="G6" s="165"/>
      <c r="H6" s="165"/>
      <c r="I6" s="165"/>
      <c r="J6" s="165"/>
      <c r="K6" s="166"/>
      <c r="L6" s="167"/>
      <c r="M6" s="166"/>
      <c r="N6" s="166"/>
      <c r="O6" s="168"/>
      <c r="S6" s="105"/>
      <c r="T6" s="105"/>
      <c r="U6" s="105"/>
      <c r="V6" s="105"/>
      <c r="W6" s="105"/>
    </row>
    <row r="7" spans="2:25" ht="15" customHeight="1" x14ac:dyDescent="0.45">
      <c r="B7" s="169" t="s">
        <v>132</v>
      </c>
      <c r="C7" s="156"/>
      <c r="D7" s="170"/>
      <c r="E7" s="171" t="s">
        <v>133</v>
      </c>
      <c r="F7" s="170"/>
      <c r="G7" s="170"/>
      <c r="H7" s="171"/>
      <c r="I7" s="171"/>
      <c r="J7" s="171"/>
      <c r="K7" s="171"/>
      <c r="L7" s="171"/>
      <c r="M7" s="171" t="s">
        <v>141</v>
      </c>
      <c r="N7" s="171"/>
      <c r="O7" s="172"/>
      <c r="S7" s="105"/>
      <c r="T7" s="105"/>
      <c r="U7" s="105"/>
      <c r="V7" s="105"/>
      <c r="W7" s="105"/>
    </row>
    <row r="8" spans="2:25" ht="15" customHeight="1" x14ac:dyDescent="0.45">
      <c r="B8" s="173"/>
      <c r="C8" s="106"/>
      <c r="D8" s="106"/>
      <c r="E8" s="105" t="s">
        <v>134</v>
      </c>
      <c r="F8" s="106"/>
      <c r="G8" s="106"/>
      <c r="H8" s="105"/>
      <c r="I8" s="105"/>
      <c r="J8" s="105"/>
      <c r="K8" s="105"/>
      <c r="L8" s="105"/>
      <c r="M8" s="105" t="s">
        <v>142</v>
      </c>
      <c r="N8" s="105"/>
      <c r="O8" s="174"/>
      <c r="S8" s="105"/>
      <c r="T8" s="105"/>
      <c r="U8" s="105"/>
      <c r="V8" s="105"/>
      <c r="W8" s="105"/>
    </row>
    <row r="9" spans="2:25" ht="15" customHeight="1" x14ac:dyDescent="0.45">
      <c r="B9" s="175"/>
      <c r="C9" s="105"/>
      <c r="D9" s="105"/>
      <c r="E9" s="105" t="s">
        <v>143</v>
      </c>
      <c r="F9" s="105"/>
      <c r="G9" s="105"/>
      <c r="H9" s="105"/>
      <c r="I9" s="105"/>
      <c r="J9" s="105"/>
      <c r="K9" s="105"/>
      <c r="L9" s="105"/>
      <c r="M9" s="105" t="s">
        <v>144</v>
      </c>
      <c r="N9" s="105"/>
      <c r="O9" s="174"/>
      <c r="S9" s="105"/>
      <c r="T9" s="105"/>
      <c r="U9" s="105"/>
      <c r="V9" s="105"/>
      <c r="W9" s="105"/>
    </row>
    <row r="10" spans="2:25" ht="15" customHeight="1" x14ac:dyDescent="0.45">
      <c r="B10" s="176"/>
      <c r="C10" s="177"/>
      <c r="D10" s="177"/>
      <c r="E10" s="177" t="s">
        <v>145</v>
      </c>
      <c r="F10" s="177"/>
      <c r="G10" s="177"/>
      <c r="H10" s="177"/>
      <c r="I10" s="177"/>
      <c r="J10" s="177"/>
      <c r="K10" s="177"/>
      <c r="L10" s="177"/>
      <c r="M10" s="177"/>
      <c r="N10" s="177"/>
      <c r="O10" s="178"/>
      <c r="S10" s="105"/>
      <c r="T10" s="105"/>
      <c r="U10" s="105"/>
      <c r="V10" s="105"/>
      <c r="W10" s="105"/>
    </row>
    <row r="11" spans="2:25" ht="15" customHeight="1" x14ac:dyDescent="0.45"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S11" s="105"/>
      <c r="T11" s="105"/>
      <c r="U11" s="105"/>
      <c r="V11" s="105"/>
      <c r="W11" s="105"/>
    </row>
    <row r="12" spans="2:25" ht="15" customHeight="1" x14ac:dyDescent="0.45">
      <c r="B12" s="105"/>
      <c r="C12" s="179" t="s">
        <v>315</v>
      </c>
      <c r="D12" s="180"/>
      <c r="E12" s="180"/>
      <c r="F12" s="180"/>
      <c r="G12" s="180"/>
      <c r="H12" s="180"/>
      <c r="I12" s="180"/>
      <c r="J12" s="180"/>
      <c r="K12" s="180"/>
      <c r="L12" s="180"/>
      <c r="M12" s="181"/>
      <c r="N12" s="105"/>
      <c r="O12" s="105"/>
      <c r="S12" s="105"/>
      <c r="T12" s="105"/>
      <c r="U12" s="105"/>
      <c r="V12" s="105"/>
      <c r="W12" s="105"/>
    </row>
    <row r="13" spans="2:25" ht="15" customHeight="1" x14ac:dyDescent="0.45">
      <c r="B13" s="284"/>
      <c r="C13" s="367"/>
      <c r="D13" s="359"/>
      <c r="E13" s="359"/>
      <c r="F13" s="359"/>
      <c r="G13" s="359"/>
      <c r="H13" s="359"/>
      <c r="I13" s="359"/>
      <c r="J13" s="359"/>
      <c r="K13" s="359"/>
      <c r="L13" s="359"/>
      <c r="M13" s="368"/>
      <c r="N13" s="284"/>
      <c r="O13" s="284"/>
    </row>
    <row r="14" spans="2:25" ht="15" customHeight="1" x14ac:dyDescent="0.45">
      <c r="B14" s="106"/>
      <c r="C14" s="369"/>
      <c r="D14" s="315"/>
      <c r="E14" s="315"/>
      <c r="F14" s="315"/>
      <c r="G14" s="315"/>
      <c r="H14" s="315"/>
      <c r="I14" s="315"/>
      <c r="J14" s="315"/>
      <c r="K14" s="315"/>
      <c r="L14" s="315"/>
      <c r="M14" s="370"/>
      <c r="N14" s="106"/>
      <c r="O14" s="106"/>
      <c r="S14" s="371" t="s">
        <v>313</v>
      </c>
      <c r="T14" s="371"/>
      <c r="U14" s="371"/>
      <c r="V14" s="371"/>
      <c r="W14" s="371"/>
      <c r="X14" s="371"/>
      <c r="Y14" s="371"/>
    </row>
    <row r="15" spans="2:25" ht="13.5" customHeight="1" x14ac:dyDescent="0.45">
      <c r="B15" s="106"/>
      <c r="C15" s="369"/>
      <c r="D15" s="315"/>
      <c r="E15" s="315"/>
      <c r="F15" s="315"/>
      <c r="G15" s="315"/>
      <c r="H15" s="315"/>
      <c r="I15" s="315"/>
      <c r="J15" s="315"/>
      <c r="K15" s="315"/>
      <c r="L15" s="315"/>
      <c r="M15" s="370"/>
      <c r="N15" s="106"/>
      <c r="O15" s="106"/>
      <c r="S15" s="229"/>
      <c r="T15" s="229"/>
      <c r="U15" s="229"/>
      <c r="V15" s="229"/>
      <c r="W15" s="229"/>
      <c r="X15" s="229"/>
      <c r="Y15" s="229"/>
    </row>
    <row r="16" spans="2:25" ht="13.5" customHeight="1" x14ac:dyDescent="0.45">
      <c r="B16" s="106"/>
      <c r="C16" s="369"/>
      <c r="D16" s="315"/>
      <c r="E16" s="315"/>
      <c r="F16" s="315"/>
      <c r="G16" s="315"/>
      <c r="H16" s="315"/>
      <c r="I16" s="315"/>
      <c r="J16" s="315"/>
      <c r="K16" s="315"/>
      <c r="L16" s="315"/>
      <c r="M16" s="370"/>
      <c r="N16" s="106"/>
      <c r="O16" s="106"/>
      <c r="S16" s="229"/>
      <c r="T16" s="229"/>
      <c r="U16" s="229"/>
      <c r="V16" s="229"/>
      <c r="W16" s="229"/>
      <c r="X16" s="229"/>
      <c r="Y16" s="229"/>
    </row>
    <row r="17" spans="2:25" ht="13.5" customHeight="1" x14ac:dyDescent="0.45">
      <c r="B17" s="106"/>
      <c r="C17" s="369"/>
      <c r="D17" s="315"/>
      <c r="E17" s="315"/>
      <c r="F17" s="315"/>
      <c r="G17" s="315"/>
      <c r="H17" s="315"/>
      <c r="I17" s="315"/>
      <c r="J17" s="315"/>
      <c r="K17" s="315"/>
      <c r="L17" s="315"/>
      <c r="M17" s="370"/>
      <c r="N17" s="106"/>
      <c r="O17" s="106"/>
      <c r="S17" s="229"/>
      <c r="T17" s="229"/>
      <c r="U17" s="229"/>
      <c r="V17" s="229"/>
      <c r="W17" s="229"/>
      <c r="X17" s="229"/>
      <c r="Y17" s="229"/>
    </row>
    <row r="18" spans="2:25" ht="13.5" customHeight="1" x14ac:dyDescent="0.45">
      <c r="B18" s="106"/>
      <c r="C18" s="369"/>
      <c r="D18" s="315"/>
      <c r="E18" s="315"/>
      <c r="F18" s="315"/>
      <c r="G18" s="315"/>
      <c r="H18" s="315"/>
      <c r="I18" s="315"/>
      <c r="J18" s="315"/>
      <c r="K18" s="315"/>
      <c r="L18" s="315"/>
      <c r="M18" s="370"/>
      <c r="N18" s="106"/>
      <c r="O18" s="106"/>
      <c r="S18" s="229"/>
      <c r="T18" s="229"/>
      <c r="U18" s="229"/>
      <c r="V18" s="229"/>
      <c r="W18" s="229"/>
      <c r="X18" s="229"/>
      <c r="Y18" s="229"/>
    </row>
    <row r="19" spans="2:25" ht="13.5" customHeight="1" x14ac:dyDescent="0.45">
      <c r="B19" s="106"/>
      <c r="C19" s="369"/>
      <c r="D19" s="315"/>
      <c r="E19" s="315"/>
      <c r="F19" s="315"/>
      <c r="G19" s="315"/>
      <c r="H19" s="315"/>
      <c r="I19" s="315"/>
      <c r="J19" s="315"/>
      <c r="K19" s="315"/>
      <c r="L19" s="315"/>
      <c r="M19" s="370"/>
      <c r="N19" s="106"/>
      <c r="O19" s="106"/>
      <c r="S19" s="229"/>
      <c r="T19" s="229"/>
      <c r="U19" s="229"/>
      <c r="V19" s="229"/>
      <c r="W19" s="229"/>
      <c r="X19" s="229"/>
      <c r="Y19" s="229"/>
    </row>
    <row r="20" spans="2:25" ht="13.5" customHeight="1" x14ac:dyDescent="0.45">
      <c r="B20" s="106"/>
      <c r="C20" s="369"/>
      <c r="D20" s="315"/>
      <c r="E20" s="315"/>
      <c r="F20" s="315"/>
      <c r="G20" s="315"/>
      <c r="H20" s="315"/>
      <c r="I20" s="315"/>
      <c r="J20" s="315"/>
      <c r="K20" s="315"/>
      <c r="L20" s="315"/>
      <c r="M20" s="370"/>
      <c r="N20" s="106"/>
      <c r="O20" s="106"/>
      <c r="S20" s="229"/>
      <c r="T20" s="229"/>
      <c r="U20" s="229"/>
      <c r="V20" s="229"/>
      <c r="W20" s="229"/>
      <c r="X20" s="229"/>
      <c r="Y20" s="229"/>
    </row>
    <row r="21" spans="2:25" ht="13.5" customHeight="1" x14ac:dyDescent="0.45">
      <c r="B21" s="106"/>
      <c r="C21" s="369"/>
      <c r="D21" s="315"/>
      <c r="E21" s="315"/>
      <c r="F21" s="315"/>
      <c r="G21" s="315"/>
      <c r="H21" s="315"/>
      <c r="I21" s="315"/>
      <c r="J21" s="315"/>
      <c r="K21" s="315"/>
      <c r="L21" s="315"/>
      <c r="M21" s="370"/>
      <c r="N21" s="106"/>
      <c r="O21" s="106"/>
      <c r="S21" s="229"/>
      <c r="T21" s="229"/>
      <c r="U21" s="229"/>
      <c r="V21" s="229"/>
      <c r="W21" s="229"/>
      <c r="X21" s="229"/>
      <c r="Y21" s="229"/>
    </row>
    <row r="22" spans="2:25" ht="13.5" customHeight="1" x14ac:dyDescent="0.45">
      <c r="B22" s="106"/>
      <c r="C22" s="369"/>
      <c r="D22" s="315"/>
      <c r="E22" s="315"/>
      <c r="F22" s="315"/>
      <c r="G22" s="315"/>
      <c r="H22" s="315"/>
      <c r="I22" s="315"/>
      <c r="J22" s="315"/>
      <c r="K22" s="315"/>
      <c r="L22" s="315"/>
      <c r="M22" s="370"/>
      <c r="N22" s="106"/>
      <c r="O22" s="106"/>
      <c r="S22" s="229"/>
      <c r="T22" s="229"/>
      <c r="U22" s="229"/>
      <c r="V22" s="229"/>
      <c r="W22" s="229"/>
      <c r="X22" s="229"/>
      <c r="Y22" s="229"/>
    </row>
    <row r="23" spans="2:25" ht="13.5" customHeight="1" x14ac:dyDescent="0.45">
      <c r="B23" s="106"/>
      <c r="C23" s="369"/>
      <c r="D23" s="315"/>
      <c r="E23" s="315"/>
      <c r="F23" s="315"/>
      <c r="G23" s="315"/>
      <c r="H23" s="315"/>
      <c r="I23" s="315"/>
      <c r="J23" s="315"/>
      <c r="K23" s="315"/>
      <c r="L23" s="315"/>
      <c r="M23" s="370"/>
      <c r="N23" s="106"/>
      <c r="O23" s="106"/>
      <c r="S23" s="229"/>
      <c r="T23" s="229"/>
      <c r="U23" s="229"/>
      <c r="V23" s="229"/>
      <c r="W23" s="229"/>
      <c r="X23" s="229"/>
      <c r="Y23" s="229"/>
    </row>
    <row r="24" spans="2:25" ht="13.5" customHeight="1" x14ac:dyDescent="0.45">
      <c r="B24" s="106"/>
      <c r="C24" s="369"/>
      <c r="D24" s="315"/>
      <c r="E24" s="315"/>
      <c r="F24" s="315"/>
      <c r="G24" s="315"/>
      <c r="H24" s="315"/>
      <c r="I24" s="315"/>
      <c r="J24" s="315"/>
      <c r="K24" s="315"/>
      <c r="L24" s="315"/>
      <c r="M24" s="370"/>
      <c r="N24" s="106"/>
      <c r="O24" s="106"/>
      <c r="S24" s="229"/>
      <c r="T24" s="229"/>
      <c r="U24" s="229"/>
      <c r="V24" s="229"/>
      <c r="W24" s="229"/>
      <c r="X24" s="229"/>
      <c r="Y24" s="229"/>
    </row>
    <row r="25" spans="2:25" ht="13.5" customHeight="1" x14ac:dyDescent="0.45">
      <c r="B25" s="106"/>
      <c r="C25" s="369"/>
      <c r="D25" s="315"/>
      <c r="E25" s="315"/>
      <c r="F25" s="315"/>
      <c r="G25" s="315"/>
      <c r="H25" s="315"/>
      <c r="I25" s="315"/>
      <c r="J25" s="315"/>
      <c r="K25" s="315"/>
      <c r="L25" s="315"/>
      <c r="M25" s="370"/>
      <c r="N25" s="106"/>
      <c r="O25" s="106"/>
      <c r="S25" s="229"/>
      <c r="T25" s="229"/>
      <c r="U25" s="229"/>
      <c r="V25" s="229"/>
      <c r="W25" s="229"/>
      <c r="X25" s="229"/>
      <c r="Y25" s="229"/>
    </row>
    <row r="26" spans="2:25" ht="13.5" customHeight="1" x14ac:dyDescent="0.45">
      <c r="B26" s="106"/>
      <c r="C26" s="369"/>
      <c r="D26" s="315"/>
      <c r="E26" s="315"/>
      <c r="F26" s="315"/>
      <c r="G26" s="315"/>
      <c r="H26" s="315"/>
      <c r="I26" s="315"/>
      <c r="J26" s="315"/>
      <c r="K26" s="315"/>
      <c r="L26" s="315"/>
      <c r="M26" s="370"/>
      <c r="N26" s="106"/>
      <c r="O26" s="106"/>
      <c r="S26" s="229"/>
      <c r="T26" s="229"/>
      <c r="U26" s="229"/>
      <c r="V26" s="229"/>
      <c r="W26" s="229"/>
      <c r="X26" s="229"/>
      <c r="Y26" s="229"/>
    </row>
    <row r="27" spans="2:25" ht="13.5" customHeight="1" x14ac:dyDescent="0.45">
      <c r="B27" s="106"/>
      <c r="C27" s="372"/>
      <c r="D27" s="373"/>
      <c r="E27" s="373"/>
      <c r="F27" s="373"/>
      <c r="G27" s="373"/>
      <c r="H27" s="373"/>
      <c r="I27" s="373"/>
      <c r="J27" s="373"/>
      <c r="K27" s="373"/>
      <c r="L27" s="373"/>
      <c r="M27" s="374"/>
      <c r="N27" s="106"/>
      <c r="O27" s="106"/>
      <c r="S27" s="229"/>
      <c r="T27" s="229"/>
      <c r="U27" s="229"/>
      <c r="V27" s="229"/>
      <c r="W27" s="229"/>
      <c r="X27" s="229"/>
      <c r="Y27" s="229"/>
    </row>
    <row r="28" spans="2:25" ht="13.5" customHeight="1" x14ac:dyDescent="0.45"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S28" s="229"/>
      <c r="T28" s="229"/>
      <c r="U28" s="229"/>
      <c r="V28" s="229"/>
      <c r="W28" s="229"/>
      <c r="X28" s="229"/>
      <c r="Y28" s="229"/>
    </row>
    <row r="29" spans="2:25" ht="13.5" customHeight="1" x14ac:dyDescent="0.45"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S29" s="229"/>
      <c r="T29" s="229"/>
      <c r="U29" s="229"/>
      <c r="V29" s="229"/>
      <c r="W29" s="229"/>
      <c r="X29" s="229"/>
      <c r="Y29" s="229"/>
    </row>
    <row r="30" spans="2:25" ht="15" customHeight="1" x14ac:dyDescent="0.45">
      <c r="B30" s="106"/>
      <c r="C30" s="179" t="s">
        <v>314</v>
      </c>
      <c r="D30" s="180"/>
      <c r="E30" s="180"/>
      <c r="F30" s="180"/>
      <c r="G30" s="180"/>
      <c r="H30" s="180"/>
      <c r="I30" s="180"/>
      <c r="J30" s="180"/>
      <c r="K30" s="180"/>
      <c r="L30" s="180"/>
      <c r="M30" s="181"/>
      <c r="N30" s="106"/>
      <c r="O30" s="106"/>
      <c r="S30" s="229"/>
      <c r="T30" s="229"/>
      <c r="U30" s="229"/>
      <c r="V30" s="229"/>
      <c r="W30" s="229"/>
      <c r="X30" s="229"/>
      <c r="Y30" s="229"/>
    </row>
    <row r="31" spans="2:25" ht="13.5" customHeight="1" x14ac:dyDescent="0.45">
      <c r="B31" s="106"/>
      <c r="C31" s="182"/>
      <c r="D31" s="183"/>
      <c r="E31" s="183"/>
      <c r="F31" s="183"/>
      <c r="G31" s="183"/>
      <c r="H31" s="183"/>
      <c r="I31" s="183"/>
      <c r="J31" s="183"/>
      <c r="K31" s="183"/>
      <c r="L31" s="183"/>
      <c r="M31" s="184"/>
      <c r="N31" s="106"/>
      <c r="O31" s="106"/>
      <c r="S31" s="229"/>
      <c r="T31" s="229"/>
      <c r="U31" s="229"/>
      <c r="V31" s="229"/>
      <c r="W31" s="229"/>
      <c r="X31" s="229"/>
      <c r="Y31" s="229"/>
    </row>
    <row r="32" spans="2:25" ht="13.5" customHeight="1" x14ac:dyDescent="0.45">
      <c r="B32" s="106"/>
      <c r="C32" s="189"/>
      <c r="D32" s="190"/>
      <c r="E32" s="190"/>
      <c r="F32" s="190"/>
      <c r="G32" s="190"/>
      <c r="H32" s="190"/>
      <c r="I32" s="190"/>
      <c r="J32" s="190"/>
      <c r="K32" s="190"/>
      <c r="L32" s="190"/>
      <c r="M32" s="191"/>
      <c r="N32" s="106"/>
      <c r="O32" s="106"/>
      <c r="S32" s="229"/>
      <c r="T32" s="229"/>
      <c r="U32" s="229"/>
      <c r="V32" s="229"/>
      <c r="W32" s="229"/>
      <c r="X32" s="229"/>
      <c r="Y32" s="229"/>
    </row>
    <row r="33" spans="2:33" ht="13.5" customHeight="1" x14ac:dyDescent="0.45">
      <c r="B33" s="106"/>
      <c r="C33" s="189"/>
      <c r="D33" s="190"/>
      <c r="E33" s="190"/>
      <c r="F33" s="190"/>
      <c r="G33" s="190"/>
      <c r="H33" s="190"/>
      <c r="I33" s="190"/>
      <c r="J33" s="190"/>
      <c r="K33" s="190"/>
      <c r="L33" s="190"/>
      <c r="M33" s="191"/>
      <c r="N33" s="106"/>
      <c r="O33" s="106"/>
      <c r="S33" s="229"/>
      <c r="T33" s="229"/>
      <c r="U33" s="229"/>
      <c r="V33" s="229"/>
      <c r="W33" s="229"/>
      <c r="X33" s="229"/>
      <c r="Y33" s="229"/>
    </row>
    <row r="34" spans="2:33" ht="13.5" customHeight="1" x14ac:dyDescent="0.45">
      <c r="B34" s="106"/>
      <c r="C34" s="189"/>
      <c r="D34" s="190"/>
      <c r="E34" s="190"/>
      <c r="F34" s="190"/>
      <c r="G34" s="190"/>
      <c r="H34" s="190"/>
      <c r="I34" s="190"/>
      <c r="J34" s="190"/>
      <c r="K34" s="190"/>
      <c r="L34" s="190"/>
      <c r="M34" s="191"/>
      <c r="N34" s="106"/>
      <c r="O34" s="106"/>
      <c r="S34" s="229"/>
      <c r="T34" s="229"/>
      <c r="U34" s="229"/>
      <c r="V34" s="229"/>
      <c r="W34" s="229"/>
      <c r="X34" s="229"/>
      <c r="Y34" s="229"/>
    </row>
    <row r="35" spans="2:33" ht="13.5" customHeight="1" x14ac:dyDescent="0.45">
      <c r="B35" s="106"/>
      <c r="C35" s="189"/>
      <c r="D35" s="190"/>
      <c r="E35" s="190"/>
      <c r="F35" s="190"/>
      <c r="G35" s="190"/>
      <c r="H35" s="190"/>
      <c r="I35" s="190"/>
      <c r="J35" s="190"/>
      <c r="K35" s="190"/>
      <c r="L35" s="190"/>
      <c r="M35" s="191"/>
      <c r="N35" s="106"/>
      <c r="O35" s="106"/>
      <c r="S35" s="229"/>
      <c r="T35" s="229"/>
      <c r="U35" s="229"/>
      <c r="V35" s="229"/>
      <c r="W35" s="229"/>
      <c r="X35" s="229"/>
      <c r="Y35" s="229"/>
    </row>
    <row r="36" spans="2:33" ht="15" customHeight="1" x14ac:dyDescent="0.45">
      <c r="B36" s="106"/>
      <c r="C36" s="189"/>
      <c r="D36" s="190"/>
      <c r="E36" s="190"/>
      <c r="F36" s="190"/>
      <c r="G36" s="190"/>
      <c r="H36" s="190"/>
      <c r="I36" s="190"/>
      <c r="J36" s="190"/>
      <c r="K36" s="190"/>
      <c r="L36" s="190"/>
      <c r="M36" s="191"/>
      <c r="N36" s="106"/>
      <c r="O36" s="106"/>
      <c r="S36" s="229"/>
      <c r="T36" s="229"/>
      <c r="U36" s="229"/>
      <c r="V36" s="229"/>
      <c r="W36" s="229"/>
      <c r="X36" s="229"/>
      <c r="Y36" s="229"/>
    </row>
    <row r="37" spans="2:33" ht="15" customHeight="1" x14ac:dyDescent="0.45">
      <c r="B37" s="106"/>
      <c r="C37" s="189"/>
      <c r="D37" s="190"/>
      <c r="E37" s="190"/>
      <c r="F37" s="190"/>
      <c r="G37" s="190"/>
      <c r="H37" s="190"/>
      <c r="I37" s="190"/>
      <c r="J37" s="190"/>
      <c r="K37" s="190"/>
      <c r="L37" s="190"/>
      <c r="M37" s="191"/>
      <c r="N37" s="106"/>
      <c r="O37" s="106"/>
      <c r="S37" s="229"/>
      <c r="T37" s="229"/>
      <c r="U37" s="229"/>
      <c r="V37" s="229"/>
      <c r="W37" s="229"/>
      <c r="X37" s="229"/>
      <c r="Y37" s="229"/>
    </row>
    <row r="38" spans="2:33" ht="15" customHeight="1" x14ac:dyDescent="0.45">
      <c r="B38" s="106"/>
      <c r="C38" s="189"/>
      <c r="D38" s="190"/>
      <c r="E38" s="190"/>
      <c r="F38" s="190"/>
      <c r="G38" s="190"/>
      <c r="H38" s="190"/>
      <c r="I38" s="190"/>
      <c r="J38" s="190"/>
      <c r="K38" s="190"/>
      <c r="L38" s="190"/>
      <c r="M38" s="191"/>
      <c r="N38" s="106"/>
      <c r="O38" s="106"/>
      <c r="S38" s="229"/>
      <c r="T38" s="229"/>
      <c r="U38" s="229"/>
      <c r="V38" s="229"/>
      <c r="W38" s="229"/>
      <c r="X38" s="229"/>
      <c r="Y38" s="229"/>
    </row>
    <row r="39" spans="2:33" ht="15" customHeight="1" x14ac:dyDescent="0.45">
      <c r="B39" s="106"/>
      <c r="C39" s="189"/>
      <c r="D39" s="190"/>
      <c r="E39" s="190"/>
      <c r="F39" s="190"/>
      <c r="G39" s="190"/>
      <c r="H39" s="190"/>
      <c r="I39" s="190"/>
      <c r="J39" s="190"/>
      <c r="K39" s="190"/>
      <c r="L39" s="190"/>
      <c r="M39" s="191"/>
      <c r="N39" s="106"/>
      <c r="O39" s="106"/>
      <c r="S39" s="229"/>
      <c r="T39" s="229"/>
      <c r="U39" s="229"/>
      <c r="V39" s="229"/>
      <c r="W39" s="229"/>
      <c r="X39" s="229"/>
      <c r="Y39" s="229"/>
    </row>
    <row r="40" spans="2:33" ht="15" customHeight="1" x14ac:dyDescent="0.45">
      <c r="B40" s="106"/>
      <c r="C40" s="189"/>
      <c r="D40" s="190"/>
      <c r="E40" s="190"/>
      <c r="F40" s="190"/>
      <c r="G40" s="190"/>
      <c r="H40" s="190"/>
      <c r="I40" s="190"/>
      <c r="J40" s="190"/>
      <c r="K40" s="190"/>
      <c r="L40" s="190"/>
      <c r="M40" s="191"/>
      <c r="N40" s="106"/>
      <c r="O40" s="106"/>
      <c r="S40" s="229"/>
      <c r="T40" s="229"/>
      <c r="U40" s="229"/>
      <c r="V40" s="229"/>
      <c r="W40" s="229"/>
      <c r="X40" s="229"/>
      <c r="Y40" s="229"/>
    </row>
    <row r="41" spans="2:33" ht="15" customHeight="1" x14ac:dyDescent="0.45">
      <c r="B41" s="106"/>
      <c r="C41" s="189"/>
      <c r="D41" s="190"/>
      <c r="E41" s="190"/>
      <c r="F41" s="190"/>
      <c r="G41" s="190"/>
      <c r="H41" s="190"/>
      <c r="I41" s="190"/>
      <c r="J41" s="190"/>
      <c r="K41" s="190"/>
      <c r="L41" s="190"/>
      <c r="M41" s="191"/>
      <c r="N41" s="106"/>
      <c r="O41" s="106"/>
      <c r="S41" s="229"/>
      <c r="T41" s="229"/>
      <c r="U41" s="229"/>
      <c r="V41" s="229"/>
      <c r="W41" s="229"/>
      <c r="X41" s="229"/>
      <c r="Y41" s="229"/>
    </row>
    <row r="42" spans="2:33" ht="15" customHeight="1" x14ac:dyDescent="0.45">
      <c r="B42" s="106"/>
      <c r="C42" s="189"/>
      <c r="D42" s="190"/>
      <c r="E42" s="190"/>
      <c r="F42" s="190"/>
      <c r="G42" s="190"/>
      <c r="H42" s="190"/>
      <c r="I42" s="190"/>
      <c r="J42" s="190"/>
      <c r="K42" s="190"/>
      <c r="L42" s="190"/>
      <c r="M42" s="191"/>
      <c r="N42" s="106"/>
      <c r="O42" s="106"/>
      <c r="S42" s="229"/>
      <c r="T42" s="229"/>
      <c r="U42" s="229"/>
      <c r="V42" s="229"/>
      <c r="W42" s="229"/>
      <c r="X42" s="229"/>
      <c r="Y42" s="229"/>
    </row>
    <row r="43" spans="2:33" ht="15" customHeight="1" x14ac:dyDescent="0.45">
      <c r="B43" s="106"/>
      <c r="C43" s="189"/>
      <c r="D43" s="190"/>
      <c r="E43" s="190"/>
      <c r="F43" s="190"/>
      <c r="G43" s="190"/>
      <c r="H43" s="190"/>
      <c r="I43" s="190"/>
      <c r="J43" s="190"/>
      <c r="K43" s="190"/>
      <c r="L43" s="190"/>
      <c r="M43" s="191"/>
      <c r="N43" s="106"/>
      <c r="O43" s="106"/>
      <c r="S43" s="229"/>
      <c r="T43" s="229"/>
      <c r="U43" s="229"/>
      <c r="V43" s="229"/>
      <c r="W43" s="229"/>
      <c r="X43" s="229"/>
      <c r="Y43" s="229"/>
    </row>
    <row r="44" spans="2:33" ht="15" customHeight="1" x14ac:dyDescent="0.45">
      <c r="B44" s="106"/>
      <c r="C44" s="189"/>
      <c r="D44" s="190"/>
      <c r="E44" s="190"/>
      <c r="F44" s="190"/>
      <c r="G44" s="190"/>
      <c r="H44" s="190"/>
      <c r="I44" s="190"/>
      <c r="J44" s="190"/>
      <c r="K44" s="190"/>
      <c r="L44" s="190"/>
      <c r="M44" s="191"/>
      <c r="N44" s="106"/>
      <c r="O44" s="106"/>
      <c r="S44" s="229"/>
      <c r="T44" s="229"/>
      <c r="U44" s="229"/>
      <c r="V44" s="229"/>
      <c r="W44" s="229"/>
      <c r="X44" s="229"/>
      <c r="Y44" s="229"/>
    </row>
    <row r="45" spans="2:33" ht="15" customHeight="1" x14ac:dyDescent="0.45">
      <c r="B45" s="106"/>
      <c r="C45" s="199"/>
      <c r="D45" s="200"/>
      <c r="E45" s="200"/>
      <c r="F45" s="200"/>
      <c r="G45" s="200"/>
      <c r="H45" s="200"/>
      <c r="I45" s="200"/>
      <c r="J45" s="200"/>
      <c r="K45" s="200"/>
      <c r="L45" s="200"/>
      <c r="M45" s="201"/>
      <c r="N45" s="106"/>
      <c r="O45" s="106"/>
      <c r="S45" s="229"/>
      <c r="T45" s="229"/>
      <c r="U45" s="229"/>
      <c r="V45" s="229"/>
      <c r="W45" s="229"/>
      <c r="X45" s="229"/>
      <c r="Y45" s="229"/>
    </row>
    <row r="46" spans="2:33" ht="15" customHeight="1" x14ac:dyDescent="0.45">
      <c r="B46" s="250"/>
      <c r="C46" s="250"/>
      <c r="D46" s="250"/>
      <c r="E46" s="250"/>
      <c r="F46" s="250"/>
      <c r="G46" s="250"/>
      <c r="H46" s="245"/>
      <c r="I46" s="245"/>
      <c r="J46" s="245"/>
      <c r="K46" s="250"/>
      <c r="L46" s="250"/>
      <c r="M46" s="250"/>
      <c r="N46" s="250"/>
      <c r="O46" s="250"/>
    </row>
    <row r="47" spans="2:33" ht="15" customHeight="1" x14ac:dyDescent="0.45">
      <c r="B47" s="245"/>
      <c r="C47" s="245"/>
      <c r="D47" s="245"/>
      <c r="E47" s="245"/>
      <c r="F47" s="245"/>
      <c r="G47" s="245"/>
      <c r="H47" s="245"/>
      <c r="I47" s="245"/>
      <c r="J47" s="245"/>
      <c r="K47" s="245"/>
      <c r="L47" s="245"/>
      <c r="M47" s="245"/>
      <c r="N47" s="245"/>
      <c r="O47" s="245"/>
      <c r="V47" s="196"/>
      <c r="W47" s="106"/>
      <c r="X47" s="106"/>
      <c r="Y47" s="106"/>
      <c r="Z47" s="106"/>
      <c r="AA47" s="106"/>
      <c r="AB47" s="106"/>
      <c r="AC47" s="106"/>
      <c r="AD47" s="106"/>
      <c r="AE47" s="106"/>
      <c r="AF47" s="106"/>
      <c r="AG47" s="106"/>
    </row>
    <row r="48" spans="2:33" ht="15" customHeight="1" x14ac:dyDescent="0.45">
      <c r="B48" s="246" t="s">
        <v>428</v>
      </c>
      <c r="C48" s="246"/>
      <c r="D48" s="248"/>
      <c r="E48" s="248"/>
      <c r="F48" s="234" t="s">
        <v>422</v>
      </c>
      <c r="G48" s="234"/>
      <c r="H48" s="234"/>
      <c r="I48" s="234"/>
      <c r="J48" s="234"/>
      <c r="K48" s="234"/>
      <c r="L48" s="248"/>
      <c r="M48" s="246" t="s">
        <v>427</v>
      </c>
      <c r="N48" s="246"/>
      <c r="O48" s="246"/>
    </row>
    <row r="49" spans="2:42" ht="15" customHeight="1" x14ac:dyDescent="0.45">
      <c r="B49" s="236" t="s">
        <v>56</v>
      </c>
      <c r="C49" s="236"/>
      <c r="D49" s="250"/>
      <c r="E49" s="250"/>
      <c r="F49" s="236" t="s">
        <v>395</v>
      </c>
      <c r="G49" s="236"/>
      <c r="H49" s="236"/>
      <c r="I49" s="236"/>
      <c r="J49" s="236"/>
      <c r="K49" s="236"/>
      <c r="L49" s="250"/>
      <c r="M49" s="236" t="s">
        <v>123</v>
      </c>
      <c r="N49" s="236"/>
      <c r="O49" s="236"/>
    </row>
    <row r="50" spans="2:42" ht="15" customHeight="1" x14ac:dyDescent="0.45">
      <c r="B50" s="245"/>
      <c r="C50" s="249"/>
      <c r="D50" s="249"/>
      <c r="E50" s="249"/>
      <c r="F50" s="249"/>
      <c r="G50" s="245"/>
      <c r="H50" s="245"/>
      <c r="I50" s="249"/>
      <c r="J50" s="249"/>
      <c r="K50" s="249"/>
      <c r="L50" s="249"/>
      <c r="M50" s="245"/>
      <c r="N50" s="245"/>
      <c r="O50" s="245"/>
    </row>
    <row r="51" spans="2:42" x14ac:dyDescent="0.45">
      <c r="B51" s="250"/>
      <c r="C51" s="106"/>
      <c r="D51" s="106"/>
      <c r="E51" s="106"/>
      <c r="F51" s="105"/>
      <c r="G51" s="105"/>
      <c r="H51" s="105"/>
      <c r="I51" s="105"/>
      <c r="J51" s="105"/>
      <c r="K51" s="105"/>
      <c r="L51" s="105"/>
      <c r="M51" s="105"/>
      <c r="N51" s="105"/>
      <c r="O51" s="105"/>
    </row>
    <row r="52" spans="2:42" ht="15.75" customHeight="1" x14ac:dyDescent="0.45">
      <c r="B52" s="251" t="s">
        <v>410</v>
      </c>
      <c r="C52" s="251"/>
      <c r="D52" s="105"/>
      <c r="E52" s="105"/>
      <c r="F52" s="190"/>
      <c r="G52" s="190"/>
      <c r="H52" s="190"/>
      <c r="I52" s="190"/>
      <c r="J52" s="190"/>
      <c r="K52" s="252"/>
      <c r="L52" s="252"/>
      <c r="M52" s="105"/>
      <c r="N52" s="253" t="s">
        <v>416</v>
      </c>
      <c r="O52" s="253"/>
    </row>
    <row r="53" spans="2:42" ht="20.100000000000001" customHeight="1" x14ac:dyDescent="0.45"/>
    <row r="54" spans="2:42" x14ac:dyDescent="0.45">
      <c r="S54" s="250"/>
      <c r="T54" s="250"/>
      <c r="U54" s="250"/>
      <c r="V54" s="250"/>
      <c r="W54" s="250"/>
      <c r="X54" s="250"/>
      <c r="Y54" s="250"/>
      <c r="Z54" s="250"/>
      <c r="AA54" s="250"/>
      <c r="AB54" s="250"/>
      <c r="AC54" s="250"/>
      <c r="AD54" s="250"/>
      <c r="AE54" s="250"/>
      <c r="AF54" s="250"/>
      <c r="AP54" s="254"/>
    </row>
    <row r="55" spans="2:42" x14ac:dyDescent="0.45">
      <c r="S55" s="250"/>
      <c r="T55" s="250"/>
      <c r="U55" s="250"/>
      <c r="V55" s="250"/>
      <c r="W55" s="250"/>
      <c r="X55" s="250"/>
      <c r="Y55" s="250"/>
      <c r="Z55" s="250"/>
      <c r="AA55" s="250"/>
      <c r="AB55" s="250"/>
      <c r="AC55" s="250"/>
      <c r="AD55" s="250"/>
      <c r="AE55" s="250"/>
      <c r="AF55" s="250"/>
    </row>
    <row r="56" spans="2:42" x14ac:dyDescent="0.45">
      <c r="S56" s="250"/>
      <c r="T56" s="250"/>
      <c r="U56" s="250"/>
      <c r="V56" s="250"/>
      <c r="W56" s="250"/>
      <c r="X56" s="250"/>
      <c r="Y56" s="250"/>
      <c r="Z56" s="250"/>
      <c r="AA56" s="250"/>
      <c r="AB56" s="250"/>
      <c r="AC56" s="250"/>
      <c r="AD56" s="248"/>
      <c r="AE56" s="248"/>
      <c r="AF56" s="248"/>
    </row>
  </sheetData>
  <mergeCells count="21">
    <mergeCell ref="B52:C52"/>
    <mergeCell ref="F52:J52"/>
    <mergeCell ref="K52:L52"/>
    <mergeCell ref="N52:O52"/>
    <mergeCell ref="B49:C49"/>
    <mergeCell ref="F49:K49"/>
    <mergeCell ref="M49:O49"/>
    <mergeCell ref="B48:C48"/>
    <mergeCell ref="F48:K48"/>
    <mergeCell ref="M48:O48"/>
    <mergeCell ref="B2:B3"/>
    <mergeCell ref="C2:L3"/>
    <mergeCell ref="M2:O3"/>
    <mergeCell ref="C4:E4"/>
    <mergeCell ref="F4:K4"/>
    <mergeCell ref="C6:J6"/>
    <mergeCell ref="B7:C7"/>
    <mergeCell ref="C12:M12"/>
    <mergeCell ref="C13:M27"/>
    <mergeCell ref="C30:M30"/>
    <mergeCell ref="C31:M4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4" orientation="portrait" r:id="rId1"/>
  <colBreaks count="1" manualBreakCount="1">
    <brk id="16" max="52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3233" r:id="rId4" name="Check Box 1">
              <controlPr defaultSize="0" autoFill="0" autoLine="0" autoPict="0">
                <anchor moveWithCells="1">
                  <from>
                    <xdr:col>3</xdr:col>
                    <xdr:colOff>219075</xdr:colOff>
                    <xdr:row>6</xdr:row>
                    <xdr:rowOff>19050</xdr:rowOff>
                  </from>
                  <to>
                    <xdr:col>4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34" r:id="rId5" name="Check Box 2">
              <controlPr defaultSize="0" autoFill="0" autoLine="0" autoPict="0">
                <anchor moveWithCells="1">
                  <from>
                    <xdr:col>3</xdr:col>
                    <xdr:colOff>219075</xdr:colOff>
                    <xdr:row>7</xdr:row>
                    <xdr:rowOff>19050</xdr:rowOff>
                  </from>
                  <to>
                    <xdr:col>4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35" r:id="rId6" name="Check Box 3">
              <controlPr defaultSize="0" autoFill="0" autoLine="0" autoPict="0">
                <anchor moveWithCells="1">
                  <from>
                    <xdr:col>3</xdr:col>
                    <xdr:colOff>219075</xdr:colOff>
                    <xdr:row>8</xdr:row>
                    <xdr:rowOff>19050</xdr:rowOff>
                  </from>
                  <to>
                    <xdr:col>4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36" r:id="rId7" name="Check Box 4">
              <controlPr defaultSize="0" autoFill="0" autoLine="0" autoPict="0">
                <anchor moveWithCells="1">
                  <from>
                    <xdr:col>3</xdr:col>
                    <xdr:colOff>219075</xdr:colOff>
                    <xdr:row>9</xdr:row>
                    <xdr:rowOff>19050</xdr:rowOff>
                  </from>
                  <to>
                    <xdr:col>4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37" r:id="rId8" name="Check Box 5">
              <controlPr defaultSize="0" autoFill="0" autoLine="0" autoPict="0">
                <anchor moveWithCells="1">
                  <from>
                    <xdr:col>11</xdr:col>
                    <xdr:colOff>647700</xdr:colOff>
                    <xdr:row>6</xdr:row>
                    <xdr:rowOff>9525</xdr:rowOff>
                  </from>
                  <to>
                    <xdr:col>12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38" r:id="rId9" name="Check Box 6">
              <controlPr defaultSize="0" autoFill="0" autoLine="0" autoPict="0">
                <anchor moveWithCells="1">
                  <from>
                    <xdr:col>11</xdr:col>
                    <xdr:colOff>647700</xdr:colOff>
                    <xdr:row>7</xdr:row>
                    <xdr:rowOff>9525</xdr:rowOff>
                  </from>
                  <to>
                    <xdr:col>12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39" r:id="rId10" name="Check Box 7">
              <controlPr defaultSize="0" autoFill="0" autoLine="0" autoPict="0">
                <anchor moveWithCells="1">
                  <from>
                    <xdr:col>11</xdr:col>
                    <xdr:colOff>647700</xdr:colOff>
                    <xdr:row>8</xdr:row>
                    <xdr:rowOff>9525</xdr:rowOff>
                  </from>
                  <to>
                    <xdr:col>12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1"/>
  <dimension ref="B1:AP56"/>
  <sheetViews>
    <sheetView view="pageBreakPreview" zoomScale="86" zoomScaleNormal="100" zoomScaleSheetLayoutView="86" workbookViewId="0">
      <selection activeCell="B2" sqref="B2:B3"/>
    </sheetView>
  </sheetViews>
  <sheetFormatPr baseColWidth="10" defaultRowHeight="18.75" x14ac:dyDescent="0.45"/>
  <cols>
    <col min="1" max="1" width="3.28515625" style="23" customWidth="1"/>
    <col min="2" max="2" width="19.28515625" style="23" customWidth="1"/>
    <col min="3" max="3" width="9.140625" style="23" customWidth="1"/>
    <col min="4" max="4" width="6.140625" style="23" customWidth="1"/>
    <col min="5" max="5" width="7.7109375" style="23" customWidth="1"/>
    <col min="6" max="6" width="4.28515625" style="23" customWidth="1"/>
    <col min="7" max="7" width="5.140625" style="23" customWidth="1"/>
    <col min="8" max="8" width="4.5703125" style="23" customWidth="1"/>
    <col min="9" max="9" width="4.85546875" style="23" customWidth="1"/>
    <col min="10" max="10" width="4.28515625" style="23" customWidth="1"/>
    <col min="11" max="11" width="7" style="23" customWidth="1"/>
    <col min="12" max="12" width="12.42578125" style="23" customWidth="1"/>
    <col min="13" max="13" width="13.42578125" style="23" customWidth="1"/>
    <col min="14" max="14" width="9.85546875" style="23" customWidth="1"/>
    <col min="15" max="15" width="8.5703125" style="23" customWidth="1"/>
    <col min="16" max="16" width="3.28515625" style="23" customWidth="1"/>
    <col min="17" max="16384" width="11.42578125" style="23"/>
  </cols>
  <sheetData>
    <row r="1" spans="2:25" ht="20.100000000000001" customHeight="1" x14ac:dyDescent="0.45"/>
    <row r="2" spans="2:25" ht="27.75" customHeight="1" x14ac:dyDescent="0.45">
      <c r="B2" s="140"/>
      <c r="C2" s="141" t="s">
        <v>347</v>
      </c>
      <c r="D2" s="142"/>
      <c r="E2" s="142"/>
      <c r="F2" s="142"/>
      <c r="G2" s="142"/>
      <c r="H2" s="142"/>
      <c r="I2" s="142"/>
      <c r="J2" s="142"/>
      <c r="K2" s="142"/>
      <c r="L2" s="142"/>
      <c r="M2" s="144" t="s">
        <v>130</v>
      </c>
      <c r="N2" s="145"/>
      <c r="O2" s="146"/>
    </row>
    <row r="3" spans="2:25" ht="27.75" customHeight="1" x14ac:dyDescent="0.45">
      <c r="B3" s="147"/>
      <c r="C3" s="148"/>
      <c r="D3" s="149"/>
      <c r="E3" s="149"/>
      <c r="F3" s="149"/>
      <c r="G3" s="149"/>
      <c r="H3" s="149"/>
      <c r="I3" s="149"/>
      <c r="J3" s="149"/>
      <c r="K3" s="149"/>
      <c r="L3" s="149"/>
      <c r="M3" s="151"/>
      <c r="N3" s="152"/>
      <c r="O3" s="153"/>
    </row>
    <row r="4" spans="2:25" x14ac:dyDescent="0.45">
      <c r="B4" s="154" t="s">
        <v>201</v>
      </c>
      <c r="C4" s="155">
        <f>DATOS!AE7</f>
        <v>0</v>
      </c>
      <c r="D4" s="155"/>
      <c r="E4" s="155"/>
      <c r="F4" s="156"/>
      <c r="G4" s="156"/>
      <c r="H4" s="156"/>
      <c r="I4" s="156"/>
      <c r="J4" s="156"/>
      <c r="K4" s="156"/>
      <c r="L4" s="157" t="s">
        <v>57</v>
      </c>
      <c r="M4" s="158" t="str">
        <f>TERMOGRAFIA!M4</f>
        <v>4/2/2021</v>
      </c>
      <c r="N4" s="158"/>
      <c r="O4" s="159"/>
    </row>
    <row r="5" spans="2:25" x14ac:dyDescent="0.45">
      <c r="B5" s="160" t="s">
        <v>194</v>
      </c>
      <c r="C5" s="161" t="s">
        <v>318</v>
      </c>
      <c r="D5" s="105"/>
      <c r="E5" s="105"/>
      <c r="F5" s="162"/>
      <c r="G5" s="162"/>
      <c r="H5" s="162"/>
      <c r="I5" s="162"/>
      <c r="J5" s="162"/>
      <c r="K5" s="162"/>
      <c r="L5" s="162"/>
      <c r="M5" s="162"/>
      <c r="N5" s="162"/>
      <c r="O5" s="163"/>
      <c r="P5" s="38"/>
      <c r="Q5" s="360"/>
      <c r="R5" s="360"/>
      <c r="S5" s="360"/>
    </row>
    <row r="6" spans="2:25" x14ac:dyDescent="0.45">
      <c r="B6" s="164" t="s">
        <v>131</v>
      </c>
      <c r="C6" s="165" t="s">
        <v>138</v>
      </c>
      <c r="D6" s="165"/>
      <c r="E6" s="165"/>
      <c r="F6" s="165"/>
      <c r="G6" s="165"/>
      <c r="H6" s="165"/>
      <c r="I6" s="165"/>
      <c r="J6" s="165"/>
      <c r="K6" s="166"/>
      <c r="L6" s="167"/>
      <c r="M6" s="166"/>
      <c r="N6" s="166"/>
      <c r="O6" s="168"/>
      <c r="S6" s="105"/>
      <c r="T6" s="105"/>
      <c r="U6" s="105"/>
      <c r="V6" s="105"/>
      <c r="W6" s="105"/>
    </row>
    <row r="7" spans="2:25" ht="15" customHeight="1" x14ac:dyDescent="0.45">
      <c r="B7" s="169" t="s">
        <v>132</v>
      </c>
      <c r="C7" s="156"/>
      <c r="D7" s="170"/>
      <c r="E7" s="171" t="s">
        <v>133</v>
      </c>
      <c r="F7" s="170"/>
      <c r="G7" s="170"/>
      <c r="H7" s="171"/>
      <c r="I7" s="171"/>
      <c r="J7" s="171"/>
      <c r="K7" s="171"/>
      <c r="L7" s="171"/>
      <c r="M7" s="171" t="s">
        <v>141</v>
      </c>
      <c r="N7" s="171"/>
      <c r="O7" s="172"/>
      <c r="S7" s="105"/>
      <c r="T7" s="105"/>
      <c r="U7" s="105"/>
      <c r="V7" s="105"/>
      <c r="W7" s="105"/>
    </row>
    <row r="8" spans="2:25" ht="15" customHeight="1" x14ac:dyDescent="0.45">
      <c r="B8" s="173"/>
      <c r="C8" s="106"/>
      <c r="D8" s="106"/>
      <c r="E8" s="105" t="s">
        <v>134</v>
      </c>
      <c r="F8" s="106"/>
      <c r="G8" s="106"/>
      <c r="H8" s="105"/>
      <c r="I8" s="105"/>
      <c r="J8" s="105"/>
      <c r="K8" s="105"/>
      <c r="L8" s="105"/>
      <c r="M8" s="105" t="s">
        <v>142</v>
      </c>
      <c r="N8" s="105"/>
      <c r="O8" s="174"/>
      <c r="S8" s="105"/>
      <c r="T8" s="105"/>
      <c r="U8" s="105"/>
      <c r="V8" s="105"/>
      <c r="W8" s="105"/>
    </row>
    <row r="9" spans="2:25" ht="15" customHeight="1" x14ac:dyDescent="0.45">
      <c r="B9" s="175"/>
      <c r="C9" s="105"/>
      <c r="D9" s="105"/>
      <c r="E9" s="105" t="s">
        <v>143</v>
      </c>
      <c r="F9" s="105"/>
      <c r="G9" s="105"/>
      <c r="H9" s="105"/>
      <c r="I9" s="105"/>
      <c r="J9" s="105"/>
      <c r="K9" s="105"/>
      <c r="L9" s="105"/>
      <c r="M9" s="105" t="s">
        <v>144</v>
      </c>
      <c r="N9" s="105"/>
      <c r="O9" s="174"/>
      <c r="S9" s="105"/>
      <c r="T9" s="105"/>
      <c r="U9" s="105"/>
      <c r="V9" s="105"/>
      <c r="W9" s="105"/>
    </row>
    <row r="10" spans="2:25" ht="15" customHeight="1" x14ac:dyDescent="0.45">
      <c r="B10" s="176"/>
      <c r="C10" s="177"/>
      <c r="D10" s="177"/>
      <c r="E10" s="177" t="s">
        <v>145</v>
      </c>
      <c r="F10" s="177"/>
      <c r="G10" s="177"/>
      <c r="H10" s="177"/>
      <c r="I10" s="177"/>
      <c r="J10" s="177"/>
      <c r="K10" s="177"/>
      <c r="L10" s="177"/>
      <c r="M10" s="177"/>
      <c r="N10" s="177"/>
      <c r="O10" s="178"/>
      <c r="S10" s="105"/>
      <c r="T10" s="105"/>
      <c r="U10" s="105"/>
      <c r="V10" s="105"/>
      <c r="W10" s="105"/>
    </row>
    <row r="11" spans="2:25" ht="15" customHeight="1" x14ac:dyDescent="0.45"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S11" s="105"/>
      <c r="T11" s="105"/>
      <c r="U11" s="105"/>
      <c r="V11" s="105"/>
      <c r="W11" s="105"/>
    </row>
    <row r="12" spans="2:25" ht="15" customHeight="1" x14ac:dyDescent="0.45">
      <c r="B12" s="361" t="s">
        <v>348</v>
      </c>
      <c r="C12" s="361"/>
      <c r="D12" s="361"/>
      <c r="E12" s="361"/>
      <c r="F12" s="361"/>
      <c r="G12" s="361"/>
      <c r="H12" s="106"/>
      <c r="I12" s="106"/>
      <c r="J12" s="106"/>
      <c r="K12" s="361" t="s">
        <v>349</v>
      </c>
      <c r="L12" s="361"/>
      <c r="M12" s="361"/>
      <c r="N12" s="361"/>
      <c r="O12" s="361"/>
      <c r="S12" s="105"/>
      <c r="T12" s="105"/>
      <c r="U12" s="105"/>
      <c r="V12" s="105"/>
      <c r="W12" s="105"/>
    </row>
    <row r="13" spans="2:25" ht="15" customHeight="1" x14ac:dyDescent="0.45">
      <c r="B13" s="362"/>
      <c r="C13" s="362"/>
      <c r="D13" s="362"/>
      <c r="E13" s="362"/>
      <c r="F13" s="362"/>
      <c r="G13" s="362"/>
      <c r="H13" s="284"/>
      <c r="I13" s="284"/>
      <c r="J13" s="284"/>
      <c r="K13" s="362"/>
      <c r="L13" s="362"/>
      <c r="M13" s="362"/>
      <c r="N13" s="362"/>
      <c r="O13" s="362"/>
    </row>
    <row r="14" spans="2:25" ht="15" customHeight="1" x14ac:dyDescent="0.45">
      <c r="B14" s="362"/>
      <c r="C14" s="362"/>
      <c r="D14" s="362"/>
      <c r="E14" s="362"/>
      <c r="F14" s="362"/>
      <c r="G14" s="362"/>
      <c r="H14" s="284"/>
      <c r="I14" s="284"/>
      <c r="J14" s="284"/>
      <c r="K14" s="362"/>
      <c r="L14" s="362"/>
      <c r="M14" s="362"/>
      <c r="N14" s="362"/>
      <c r="O14" s="362"/>
      <c r="S14" s="371" t="s">
        <v>313</v>
      </c>
      <c r="T14" s="371"/>
      <c r="U14" s="371"/>
      <c r="V14" s="371"/>
      <c r="W14" s="371"/>
      <c r="X14" s="371"/>
      <c r="Y14" s="371"/>
    </row>
    <row r="15" spans="2:25" ht="13.5" customHeight="1" x14ac:dyDescent="0.45">
      <c r="B15" s="362"/>
      <c r="C15" s="362"/>
      <c r="D15" s="362"/>
      <c r="E15" s="362"/>
      <c r="F15" s="362"/>
      <c r="G15" s="362"/>
      <c r="H15" s="284"/>
      <c r="I15" s="284"/>
      <c r="J15" s="284"/>
      <c r="K15" s="362"/>
      <c r="L15" s="362"/>
      <c r="M15" s="362"/>
      <c r="N15" s="362"/>
      <c r="O15" s="362"/>
      <c r="S15" s="229"/>
      <c r="T15" s="229"/>
      <c r="U15" s="229"/>
      <c r="V15" s="229"/>
      <c r="W15" s="229"/>
      <c r="X15" s="229"/>
      <c r="Y15" s="229"/>
    </row>
    <row r="16" spans="2:25" ht="13.5" customHeight="1" x14ac:dyDescent="0.45">
      <c r="B16" s="362"/>
      <c r="C16" s="362"/>
      <c r="D16" s="362"/>
      <c r="E16" s="362"/>
      <c r="F16" s="362"/>
      <c r="G16" s="362"/>
      <c r="H16" s="284"/>
      <c r="I16" s="284"/>
      <c r="J16" s="284"/>
      <c r="K16" s="362"/>
      <c r="L16" s="362"/>
      <c r="M16" s="362"/>
      <c r="N16" s="362"/>
      <c r="O16" s="362"/>
      <c r="S16" s="229"/>
      <c r="T16" s="229"/>
      <c r="U16" s="229"/>
      <c r="V16" s="229"/>
      <c r="W16" s="229"/>
      <c r="X16" s="229"/>
      <c r="Y16" s="229"/>
    </row>
    <row r="17" spans="2:25" ht="13.5" customHeight="1" x14ac:dyDescent="0.45">
      <c r="B17" s="362"/>
      <c r="C17" s="362"/>
      <c r="D17" s="362"/>
      <c r="E17" s="362"/>
      <c r="F17" s="362"/>
      <c r="G17" s="362"/>
      <c r="H17" s="284"/>
      <c r="I17" s="284"/>
      <c r="J17" s="284"/>
      <c r="K17" s="362"/>
      <c r="L17" s="362"/>
      <c r="M17" s="362"/>
      <c r="N17" s="362"/>
      <c r="O17" s="362"/>
      <c r="S17" s="229"/>
      <c r="T17" s="229"/>
      <c r="U17" s="229"/>
      <c r="V17" s="229"/>
      <c r="W17" s="229"/>
      <c r="X17" s="229"/>
      <c r="Y17" s="229"/>
    </row>
    <row r="18" spans="2:25" ht="13.5" customHeight="1" x14ac:dyDescent="0.45">
      <c r="B18" s="362"/>
      <c r="C18" s="362"/>
      <c r="D18" s="362"/>
      <c r="E18" s="362"/>
      <c r="F18" s="362"/>
      <c r="G18" s="362"/>
      <c r="H18" s="284"/>
      <c r="I18" s="284"/>
      <c r="J18" s="284"/>
      <c r="K18" s="362"/>
      <c r="L18" s="362"/>
      <c r="M18" s="362"/>
      <c r="N18" s="362"/>
      <c r="O18" s="362"/>
      <c r="S18" s="229"/>
      <c r="T18" s="229"/>
      <c r="U18" s="229"/>
      <c r="V18" s="229"/>
      <c r="W18" s="229"/>
      <c r="X18" s="229"/>
      <c r="Y18" s="229"/>
    </row>
    <row r="19" spans="2:25" ht="13.5" customHeight="1" x14ac:dyDescent="0.45">
      <c r="B19" s="362"/>
      <c r="C19" s="362"/>
      <c r="D19" s="362"/>
      <c r="E19" s="362"/>
      <c r="F19" s="362"/>
      <c r="G19" s="362"/>
      <c r="H19" s="284"/>
      <c r="I19" s="284"/>
      <c r="J19" s="284"/>
      <c r="K19" s="362"/>
      <c r="L19" s="362"/>
      <c r="M19" s="362"/>
      <c r="N19" s="362"/>
      <c r="O19" s="362"/>
      <c r="S19" s="229"/>
      <c r="T19" s="229"/>
      <c r="U19" s="229"/>
      <c r="V19" s="229"/>
      <c r="W19" s="229"/>
      <c r="X19" s="229"/>
      <c r="Y19" s="229"/>
    </row>
    <row r="20" spans="2:25" ht="13.5" customHeight="1" x14ac:dyDescent="0.45">
      <c r="B20" s="362"/>
      <c r="C20" s="362"/>
      <c r="D20" s="362"/>
      <c r="E20" s="362"/>
      <c r="F20" s="362"/>
      <c r="G20" s="362"/>
      <c r="H20" s="284"/>
      <c r="I20" s="284"/>
      <c r="J20" s="284"/>
      <c r="K20" s="362"/>
      <c r="L20" s="362"/>
      <c r="M20" s="362"/>
      <c r="N20" s="362"/>
      <c r="O20" s="362"/>
      <c r="S20" s="229"/>
      <c r="T20" s="229"/>
      <c r="U20" s="229"/>
      <c r="V20" s="229"/>
      <c r="W20" s="229"/>
      <c r="X20" s="229"/>
      <c r="Y20" s="229"/>
    </row>
    <row r="21" spans="2:25" ht="13.5" customHeight="1" x14ac:dyDescent="0.45">
      <c r="B21" s="362"/>
      <c r="C21" s="362"/>
      <c r="D21" s="362"/>
      <c r="E21" s="362"/>
      <c r="F21" s="362"/>
      <c r="G21" s="362"/>
      <c r="H21" s="284"/>
      <c r="I21" s="284"/>
      <c r="J21" s="284"/>
      <c r="K21" s="362"/>
      <c r="L21" s="362"/>
      <c r="M21" s="362"/>
      <c r="N21" s="362"/>
      <c r="O21" s="362"/>
      <c r="S21" s="229"/>
      <c r="T21" s="229"/>
      <c r="U21" s="229"/>
      <c r="V21" s="229"/>
      <c r="W21" s="229"/>
      <c r="X21" s="229"/>
      <c r="Y21" s="229"/>
    </row>
    <row r="22" spans="2:25" ht="13.5" customHeight="1" x14ac:dyDescent="0.45">
      <c r="B22" s="362"/>
      <c r="C22" s="362"/>
      <c r="D22" s="362"/>
      <c r="E22" s="362"/>
      <c r="F22" s="362"/>
      <c r="G22" s="362"/>
      <c r="H22" s="284"/>
      <c r="I22" s="284"/>
      <c r="J22" s="284"/>
      <c r="K22" s="362"/>
      <c r="L22" s="362"/>
      <c r="M22" s="362"/>
      <c r="N22" s="362"/>
      <c r="O22" s="362"/>
      <c r="S22" s="229"/>
      <c r="T22" s="229"/>
      <c r="U22" s="229"/>
      <c r="V22" s="229"/>
      <c r="W22" s="229"/>
      <c r="X22" s="229"/>
      <c r="Y22" s="229"/>
    </row>
    <row r="23" spans="2:25" ht="13.5" customHeight="1" x14ac:dyDescent="0.45">
      <c r="B23" s="362"/>
      <c r="C23" s="362"/>
      <c r="D23" s="362"/>
      <c r="E23" s="362"/>
      <c r="F23" s="362"/>
      <c r="G23" s="362"/>
      <c r="H23" s="284"/>
      <c r="I23" s="284"/>
      <c r="J23" s="284"/>
      <c r="K23" s="362"/>
      <c r="L23" s="362"/>
      <c r="M23" s="362"/>
      <c r="N23" s="362"/>
      <c r="O23" s="362"/>
      <c r="S23" s="229"/>
      <c r="T23" s="229"/>
      <c r="U23" s="229"/>
      <c r="V23" s="229"/>
      <c r="W23" s="229"/>
      <c r="X23" s="229"/>
      <c r="Y23" s="229"/>
    </row>
    <row r="24" spans="2:25" ht="13.5" customHeight="1" x14ac:dyDescent="0.45">
      <c r="B24" s="362"/>
      <c r="C24" s="362"/>
      <c r="D24" s="362"/>
      <c r="E24" s="362"/>
      <c r="F24" s="362"/>
      <c r="G24" s="362"/>
      <c r="H24" s="284"/>
      <c r="I24" s="284"/>
      <c r="J24" s="284"/>
      <c r="K24" s="362"/>
      <c r="L24" s="362"/>
      <c r="M24" s="362"/>
      <c r="N24" s="362"/>
      <c r="O24" s="362"/>
      <c r="S24" s="229"/>
      <c r="T24" s="229"/>
      <c r="U24" s="229"/>
      <c r="V24" s="229"/>
      <c r="W24" s="229"/>
      <c r="X24" s="229"/>
      <c r="Y24" s="229"/>
    </row>
    <row r="25" spans="2:25" ht="13.5" customHeight="1" x14ac:dyDescent="0.45">
      <c r="B25" s="362"/>
      <c r="C25" s="362"/>
      <c r="D25" s="362"/>
      <c r="E25" s="362"/>
      <c r="F25" s="362"/>
      <c r="G25" s="362"/>
      <c r="H25" s="284"/>
      <c r="I25" s="284"/>
      <c r="J25" s="284"/>
      <c r="K25" s="362"/>
      <c r="L25" s="362"/>
      <c r="M25" s="362"/>
      <c r="N25" s="362"/>
      <c r="O25" s="362"/>
      <c r="S25" s="229"/>
      <c r="T25" s="229"/>
      <c r="U25" s="229"/>
      <c r="V25" s="229"/>
      <c r="W25" s="229"/>
      <c r="X25" s="229"/>
      <c r="Y25" s="229"/>
    </row>
    <row r="26" spans="2:25" ht="13.5" customHeight="1" x14ac:dyDescent="0.45">
      <c r="B26" s="362"/>
      <c r="C26" s="362"/>
      <c r="D26" s="362"/>
      <c r="E26" s="362"/>
      <c r="F26" s="362"/>
      <c r="G26" s="362"/>
      <c r="H26" s="284"/>
      <c r="I26" s="284"/>
      <c r="J26" s="284"/>
      <c r="K26" s="362"/>
      <c r="L26" s="362"/>
      <c r="M26" s="362"/>
      <c r="N26" s="362"/>
      <c r="O26" s="362"/>
      <c r="S26" s="229"/>
      <c r="T26" s="229"/>
      <c r="U26" s="229"/>
      <c r="V26" s="229"/>
      <c r="W26" s="229"/>
      <c r="X26" s="229"/>
      <c r="Y26" s="229"/>
    </row>
    <row r="27" spans="2:25" ht="13.5" customHeight="1" x14ac:dyDescent="0.45">
      <c r="B27" s="362"/>
      <c r="C27" s="362"/>
      <c r="D27" s="362"/>
      <c r="E27" s="362"/>
      <c r="F27" s="362"/>
      <c r="G27" s="362"/>
      <c r="H27" s="284"/>
      <c r="I27" s="284"/>
      <c r="J27" s="284"/>
      <c r="K27" s="362"/>
      <c r="L27" s="362"/>
      <c r="M27" s="362"/>
      <c r="N27" s="362"/>
      <c r="O27" s="362"/>
      <c r="S27" s="229"/>
      <c r="T27" s="229"/>
      <c r="U27" s="229"/>
      <c r="V27" s="229"/>
      <c r="W27" s="229"/>
      <c r="X27" s="229"/>
      <c r="Y27" s="229"/>
    </row>
    <row r="28" spans="2:25" ht="13.5" customHeight="1" x14ac:dyDescent="0.45"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S28" s="229"/>
      <c r="T28" s="229"/>
      <c r="U28" s="229"/>
      <c r="V28" s="229"/>
      <c r="W28" s="229"/>
      <c r="X28" s="229"/>
      <c r="Y28" s="229"/>
    </row>
    <row r="29" spans="2:25" ht="13.5" customHeight="1" x14ac:dyDescent="0.45"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S29" s="229"/>
      <c r="T29" s="229"/>
      <c r="U29" s="229"/>
      <c r="V29" s="229"/>
      <c r="W29" s="229"/>
      <c r="X29" s="229"/>
      <c r="Y29" s="229"/>
    </row>
    <row r="30" spans="2:25" ht="15" customHeight="1" x14ac:dyDescent="0.45">
      <c r="B30" s="361" t="s">
        <v>350</v>
      </c>
      <c r="C30" s="361"/>
      <c r="D30" s="361"/>
      <c r="E30" s="361"/>
      <c r="F30" s="361"/>
      <c r="G30" s="361"/>
      <c r="H30" s="106"/>
      <c r="I30" s="106"/>
      <c r="J30" s="106"/>
      <c r="K30" s="361" t="s">
        <v>351</v>
      </c>
      <c r="L30" s="361"/>
      <c r="M30" s="361"/>
      <c r="N30" s="361"/>
      <c r="O30" s="361"/>
      <c r="S30" s="229"/>
      <c r="T30" s="229"/>
      <c r="U30" s="229"/>
      <c r="V30" s="229"/>
      <c r="W30" s="229"/>
      <c r="X30" s="229"/>
      <c r="Y30" s="229"/>
    </row>
    <row r="31" spans="2:25" ht="13.5" customHeight="1" x14ac:dyDescent="0.45">
      <c r="B31" s="364"/>
      <c r="C31" s="364"/>
      <c r="D31" s="364"/>
      <c r="E31" s="364"/>
      <c r="F31" s="364"/>
      <c r="G31" s="364"/>
      <c r="H31" s="106"/>
      <c r="I31" s="106"/>
      <c r="J31" s="106"/>
      <c r="K31" s="364"/>
      <c r="L31" s="364"/>
      <c r="M31" s="364"/>
      <c r="N31" s="364"/>
      <c r="O31" s="364"/>
      <c r="S31" s="229"/>
      <c r="T31" s="229"/>
      <c r="U31" s="229"/>
      <c r="V31" s="229"/>
      <c r="W31" s="229"/>
      <c r="X31" s="229"/>
      <c r="Y31" s="229"/>
    </row>
    <row r="32" spans="2:25" ht="13.5" customHeight="1" x14ac:dyDescent="0.45">
      <c r="B32" s="364"/>
      <c r="C32" s="364"/>
      <c r="D32" s="364"/>
      <c r="E32" s="364"/>
      <c r="F32" s="364"/>
      <c r="G32" s="364"/>
      <c r="H32" s="106"/>
      <c r="I32" s="106"/>
      <c r="J32" s="106"/>
      <c r="K32" s="364"/>
      <c r="L32" s="364"/>
      <c r="M32" s="364"/>
      <c r="N32" s="364"/>
      <c r="O32" s="364"/>
      <c r="S32" s="229"/>
      <c r="T32" s="229"/>
      <c r="U32" s="229"/>
      <c r="V32" s="229"/>
      <c r="W32" s="229"/>
      <c r="X32" s="229"/>
      <c r="Y32" s="229"/>
    </row>
    <row r="33" spans="2:33" ht="13.5" customHeight="1" x14ac:dyDescent="0.45">
      <c r="B33" s="364"/>
      <c r="C33" s="364"/>
      <c r="D33" s="364"/>
      <c r="E33" s="364"/>
      <c r="F33" s="364"/>
      <c r="G33" s="364"/>
      <c r="H33" s="106"/>
      <c r="I33" s="106"/>
      <c r="J33" s="106"/>
      <c r="K33" s="364"/>
      <c r="L33" s="364"/>
      <c r="M33" s="364"/>
      <c r="N33" s="364"/>
      <c r="O33" s="364"/>
      <c r="S33" s="229"/>
      <c r="T33" s="229"/>
      <c r="U33" s="229"/>
      <c r="V33" s="229"/>
      <c r="W33" s="229"/>
      <c r="X33" s="229"/>
      <c r="Y33" s="229"/>
    </row>
    <row r="34" spans="2:33" ht="13.5" customHeight="1" x14ac:dyDescent="0.45">
      <c r="B34" s="364"/>
      <c r="C34" s="364"/>
      <c r="D34" s="364"/>
      <c r="E34" s="364"/>
      <c r="F34" s="364"/>
      <c r="G34" s="364"/>
      <c r="H34" s="106"/>
      <c r="I34" s="106"/>
      <c r="J34" s="106"/>
      <c r="K34" s="364"/>
      <c r="L34" s="364"/>
      <c r="M34" s="364"/>
      <c r="N34" s="364"/>
      <c r="O34" s="364"/>
      <c r="S34" s="229"/>
      <c r="T34" s="229"/>
      <c r="U34" s="229"/>
      <c r="V34" s="229"/>
      <c r="W34" s="229"/>
      <c r="X34" s="229"/>
      <c r="Y34" s="229"/>
    </row>
    <row r="35" spans="2:33" ht="13.5" customHeight="1" x14ac:dyDescent="0.45">
      <c r="B35" s="364"/>
      <c r="C35" s="364"/>
      <c r="D35" s="364"/>
      <c r="E35" s="364"/>
      <c r="F35" s="364"/>
      <c r="G35" s="364"/>
      <c r="H35" s="106"/>
      <c r="I35" s="106"/>
      <c r="J35" s="106"/>
      <c r="K35" s="364"/>
      <c r="L35" s="364"/>
      <c r="M35" s="364"/>
      <c r="N35" s="364"/>
      <c r="O35" s="364"/>
      <c r="S35" s="229"/>
      <c r="T35" s="229"/>
      <c r="U35" s="229"/>
      <c r="V35" s="229"/>
      <c r="W35" s="229"/>
      <c r="X35" s="229"/>
      <c r="Y35" s="229"/>
    </row>
    <row r="36" spans="2:33" ht="15" customHeight="1" x14ac:dyDescent="0.45">
      <c r="B36" s="364"/>
      <c r="C36" s="364"/>
      <c r="D36" s="364"/>
      <c r="E36" s="364"/>
      <c r="F36" s="364"/>
      <c r="G36" s="364"/>
      <c r="H36" s="106"/>
      <c r="I36" s="106"/>
      <c r="J36" s="106"/>
      <c r="K36" s="364"/>
      <c r="L36" s="364"/>
      <c r="M36" s="364"/>
      <c r="N36" s="364"/>
      <c r="O36" s="364"/>
      <c r="S36" s="229"/>
      <c r="T36" s="229"/>
      <c r="U36" s="229"/>
      <c r="V36" s="229"/>
      <c r="W36" s="229"/>
      <c r="X36" s="229"/>
      <c r="Y36" s="229"/>
    </row>
    <row r="37" spans="2:33" ht="15" customHeight="1" x14ac:dyDescent="0.45">
      <c r="B37" s="364"/>
      <c r="C37" s="364"/>
      <c r="D37" s="364"/>
      <c r="E37" s="364"/>
      <c r="F37" s="364"/>
      <c r="G37" s="364"/>
      <c r="H37" s="106"/>
      <c r="I37" s="106"/>
      <c r="J37" s="106"/>
      <c r="K37" s="364"/>
      <c r="L37" s="364"/>
      <c r="M37" s="364"/>
      <c r="N37" s="364"/>
      <c r="O37" s="364"/>
      <c r="S37" s="229"/>
      <c r="T37" s="229"/>
      <c r="U37" s="229"/>
      <c r="V37" s="229"/>
      <c r="W37" s="229"/>
      <c r="X37" s="229"/>
      <c r="Y37" s="229"/>
    </row>
    <row r="38" spans="2:33" ht="15" customHeight="1" x14ac:dyDescent="0.45">
      <c r="B38" s="364"/>
      <c r="C38" s="364"/>
      <c r="D38" s="364"/>
      <c r="E38" s="364"/>
      <c r="F38" s="364"/>
      <c r="G38" s="364"/>
      <c r="H38" s="106"/>
      <c r="I38" s="106"/>
      <c r="J38" s="106"/>
      <c r="K38" s="364"/>
      <c r="L38" s="364"/>
      <c r="M38" s="364"/>
      <c r="N38" s="364"/>
      <c r="O38" s="364"/>
      <c r="S38" s="229"/>
      <c r="T38" s="229"/>
      <c r="U38" s="229"/>
      <c r="V38" s="229"/>
      <c r="W38" s="229"/>
      <c r="X38" s="229"/>
      <c r="Y38" s="229"/>
    </row>
    <row r="39" spans="2:33" ht="15" customHeight="1" x14ac:dyDescent="0.45">
      <c r="B39" s="364"/>
      <c r="C39" s="364"/>
      <c r="D39" s="364"/>
      <c r="E39" s="364"/>
      <c r="F39" s="364"/>
      <c r="G39" s="364"/>
      <c r="H39" s="106"/>
      <c r="I39" s="106"/>
      <c r="J39" s="106"/>
      <c r="K39" s="364"/>
      <c r="L39" s="364"/>
      <c r="M39" s="364"/>
      <c r="N39" s="364"/>
      <c r="O39" s="364"/>
      <c r="S39" s="229"/>
      <c r="T39" s="229"/>
      <c r="U39" s="229"/>
      <c r="V39" s="229"/>
      <c r="W39" s="229"/>
      <c r="X39" s="229"/>
      <c r="Y39" s="229"/>
    </row>
    <row r="40" spans="2:33" ht="15" customHeight="1" x14ac:dyDescent="0.45">
      <c r="B40" s="364"/>
      <c r="C40" s="364"/>
      <c r="D40" s="364"/>
      <c r="E40" s="364"/>
      <c r="F40" s="364"/>
      <c r="G40" s="364"/>
      <c r="H40" s="106"/>
      <c r="I40" s="106"/>
      <c r="J40" s="106"/>
      <c r="K40" s="364"/>
      <c r="L40" s="364"/>
      <c r="M40" s="364"/>
      <c r="N40" s="364"/>
      <c r="O40" s="364"/>
      <c r="S40" s="229"/>
      <c r="T40" s="229"/>
      <c r="U40" s="229"/>
      <c r="V40" s="229"/>
      <c r="W40" s="229"/>
      <c r="X40" s="229"/>
      <c r="Y40" s="229"/>
    </row>
    <row r="41" spans="2:33" ht="15" customHeight="1" x14ac:dyDescent="0.45">
      <c r="B41" s="364"/>
      <c r="C41" s="364"/>
      <c r="D41" s="364"/>
      <c r="E41" s="364"/>
      <c r="F41" s="364"/>
      <c r="G41" s="364"/>
      <c r="H41" s="106"/>
      <c r="I41" s="106"/>
      <c r="J41" s="106"/>
      <c r="K41" s="364"/>
      <c r="L41" s="364"/>
      <c r="M41" s="364"/>
      <c r="N41" s="364"/>
      <c r="O41" s="364"/>
      <c r="S41" s="229"/>
      <c r="T41" s="229"/>
      <c r="U41" s="229"/>
      <c r="V41" s="229"/>
      <c r="W41" s="229"/>
      <c r="X41" s="229"/>
      <c r="Y41" s="229"/>
    </row>
    <row r="42" spans="2:33" ht="15" customHeight="1" x14ac:dyDescent="0.45">
      <c r="B42" s="364"/>
      <c r="C42" s="364"/>
      <c r="D42" s="364"/>
      <c r="E42" s="364"/>
      <c r="F42" s="364"/>
      <c r="G42" s="364"/>
      <c r="H42" s="106"/>
      <c r="I42" s="106"/>
      <c r="J42" s="106"/>
      <c r="K42" s="364"/>
      <c r="L42" s="364"/>
      <c r="M42" s="364"/>
      <c r="N42" s="364"/>
      <c r="O42" s="364"/>
      <c r="S42" s="229"/>
      <c r="T42" s="229"/>
      <c r="U42" s="229"/>
      <c r="V42" s="229"/>
      <c r="W42" s="229"/>
      <c r="X42" s="229"/>
      <c r="Y42" s="229"/>
    </row>
    <row r="43" spans="2:33" ht="15" customHeight="1" x14ac:dyDescent="0.45">
      <c r="B43" s="364"/>
      <c r="C43" s="364"/>
      <c r="D43" s="364"/>
      <c r="E43" s="364"/>
      <c r="F43" s="364"/>
      <c r="G43" s="364"/>
      <c r="H43" s="106"/>
      <c r="I43" s="106"/>
      <c r="J43" s="106"/>
      <c r="K43" s="364"/>
      <c r="L43" s="364"/>
      <c r="M43" s="364"/>
      <c r="N43" s="364"/>
      <c r="O43" s="364"/>
      <c r="S43" s="229"/>
      <c r="T43" s="229"/>
      <c r="U43" s="229"/>
      <c r="V43" s="229"/>
      <c r="W43" s="229"/>
      <c r="X43" s="229"/>
      <c r="Y43" s="229"/>
    </row>
    <row r="44" spans="2:33" ht="15" customHeight="1" x14ac:dyDescent="0.45">
      <c r="B44" s="364"/>
      <c r="C44" s="364"/>
      <c r="D44" s="364"/>
      <c r="E44" s="364"/>
      <c r="F44" s="364"/>
      <c r="G44" s="364"/>
      <c r="H44" s="106"/>
      <c r="I44" s="106"/>
      <c r="J44" s="106"/>
      <c r="K44" s="364"/>
      <c r="L44" s="364"/>
      <c r="M44" s="364"/>
      <c r="N44" s="364"/>
      <c r="O44" s="364"/>
      <c r="S44" s="229"/>
      <c r="T44" s="229"/>
      <c r="U44" s="229"/>
      <c r="V44" s="229"/>
      <c r="W44" s="229"/>
      <c r="X44" s="229"/>
      <c r="Y44" s="229"/>
    </row>
    <row r="45" spans="2:33" ht="15" customHeight="1" x14ac:dyDescent="0.45">
      <c r="B45" s="364"/>
      <c r="C45" s="364"/>
      <c r="D45" s="364"/>
      <c r="E45" s="364"/>
      <c r="F45" s="364"/>
      <c r="G45" s="364"/>
      <c r="H45" s="106"/>
      <c r="I45" s="106"/>
      <c r="J45" s="106"/>
      <c r="K45" s="364"/>
      <c r="L45" s="364"/>
      <c r="M45" s="364"/>
      <c r="N45" s="364"/>
      <c r="O45" s="364"/>
      <c r="S45" s="229"/>
      <c r="T45" s="229"/>
      <c r="U45" s="229"/>
      <c r="V45" s="229"/>
      <c r="W45" s="229"/>
      <c r="X45" s="229"/>
      <c r="Y45" s="229"/>
    </row>
    <row r="46" spans="2:33" ht="15" customHeight="1" x14ac:dyDescent="0.45">
      <c r="B46" s="250"/>
      <c r="C46" s="250"/>
      <c r="D46" s="250"/>
      <c r="E46" s="250"/>
      <c r="F46" s="250"/>
      <c r="G46" s="250"/>
      <c r="H46" s="245"/>
      <c r="I46" s="245"/>
      <c r="J46" s="245"/>
      <c r="K46" s="250"/>
      <c r="L46" s="250"/>
      <c r="M46" s="250"/>
      <c r="N46" s="250"/>
      <c r="O46" s="250"/>
    </row>
    <row r="47" spans="2:33" ht="15" customHeight="1" x14ac:dyDescent="0.45">
      <c r="B47" s="245"/>
      <c r="C47" s="245"/>
      <c r="D47" s="245"/>
      <c r="E47" s="245"/>
      <c r="F47" s="245"/>
      <c r="G47" s="245"/>
      <c r="H47" s="245"/>
      <c r="I47" s="245"/>
      <c r="J47" s="245"/>
      <c r="K47" s="245"/>
      <c r="L47" s="245"/>
      <c r="M47" s="245"/>
      <c r="N47" s="245"/>
      <c r="O47" s="245"/>
      <c r="V47" s="196"/>
      <c r="W47" s="106"/>
      <c r="X47" s="106"/>
      <c r="Y47" s="106"/>
      <c r="Z47" s="106"/>
      <c r="AA47" s="106"/>
      <c r="AB47" s="106"/>
      <c r="AC47" s="106"/>
      <c r="AD47" s="106"/>
      <c r="AE47" s="106"/>
      <c r="AF47" s="106"/>
      <c r="AG47" s="106"/>
    </row>
    <row r="48" spans="2:33" ht="15" customHeight="1" x14ac:dyDescent="0.45">
      <c r="B48" s="246" t="s">
        <v>428</v>
      </c>
      <c r="C48" s="246"/>
      <c r="D48" s="248"/>
      <c r="E48" s="248"/>
      <c r="F48" s="234" t="s">
        <v>422</v>
      </c>
      <c r="G48" s="234"/>
      <c r="H48" s="234"/>
      <c r="I48" s="234"/>
      <c r="J48" s="234"/>
      <c r="K48" s="234"/>
      <c r="L48" s="248"/>
      <c r="M48" s="246" t="s">
        <v>427</v>
      </c>
      <c r="N48" s="246"/>
      <c r="O48" s="246"/>
    </row>
    <row r="49" spans="2:42" ht="15" customHeight="1" x14ac:dyDescent="0.45">
      <c r="B49" s="236" t="s">
        <v>56</v>
      </c>
      <c r="C49" s="236"/>
      <c r="D49" s="250"/>
      <c r="E49" s="250"/>
      <c r="F49" s="236" t="s">
        <v>395</v>
      </c>
      <c r="G49" s="236"/>
      <c r="H49" s="236"/>
      <c r="I49" s="236"/>
      <c r="J49" s="236"/>
      <c r="K49" s="236"/>
      <c r="L49" s="250"/>
      <c r="M49" s="236" t="s">
        <v>123</v>
      </c>
      <c r="N49" s="236"/>
      <c r="O49" s="236"/>
    </row>
    <row r="50" spans="2:42" ht="15" customHeight="1" x14ac:dyDescent="0.45">
      <c r="B50" s="245"/>
      <c r="C50" s="249"/>
      <c r="D50" s="249"/>
      <c r="E50" s="249"/>
      <c r="F50" s="249"/>
      <c r="G50" s="245"/>
      <c r="H50" s="245"/>
      <c r="I50" s="249"/>
      <c r="J50" s="249"/>
      <c r="K50" s="249"/>
      <c r="L50" s="249"/>
      <c r="M50" s="245"/>
      <c r="N50" s="245"/>
      <c r="O50" s="245"/>
    </row>
    <row r="51" spans="2:42" x14ac:dyDescent="0.45">
      <c r="B51" s="250"/>
      <c r="C51" s="106"/>
      <c r="D51" s="106"/>
      <c r="E51" s="106"/>
      <c r="F51" s="105"/>
      <c r="G51" s="105"/>
      <c r="H51" s="105"/>
      <c r="I51" s="105"/>
      <c r="J51" s="105"/>
      <c r="K51" s="105"/>
      <c r="L51" s="105"/>
      <c r="M51" s="105"/>
      <c r="N51" s="105"/>
      <c r="O51" s="105"/>
    </row>
    <row r="52" spans="2:42" ht="15.75" customHeight="1" x14ac:dyDescent="0.45">
      <c r="B52" s="251" t="s">
        <v>410</v>
      </c>
      <c r="C52" s="251"/>
      <c r="D52" s="105"/>
      <c r="E52" s="105"/>
      <c r="F52" s="190"/>
      <c r="G52" s="190"/>
      <c r="H52" s="190"/>
      <c r="I52" s="190"/>
      <c r="J52" s="190"/>
      <c r="K52" s="252"/>
      <c r="L52" s="252"/>
      <c r="M52" s="105"/>
      <c r="N52" s="253" t="s">
        <v>417</v>
      </c>
      <c r="O52" s="253"/>
    </row>
    <row r="53" spans="2:42" ht="20.100000000000001" customHeight="1" x14ac:dyDescent="0.45"/>
    <row r="54" spans="2:42" x14ac:dyDescent="0.45">
      <c r="S54" s="250"/>
      <c r="T54" s="250"/>
      <c r="U54" s="250"/>
      <c r="V54" s="250"/>
      <c r="W54" s="250"/>
      <c r="X54" s="250"/>
      <c r="Y54" s="250"/>
      <c r="Z54" s="250"/>
      <c r="AA54" s="250"/>
      <c r="AB54" s="250"/>
      <c r="AC54" s="250"/>
      <c r="AD54" s="250"/>
      <c r="AE54" s="250"/>
      <c r="AF54" s="250"/>
      <c r="AP54" s="254"/>
    </row>
    <row r="55" spans="2:42" x14ac:dyDescent="0.45">
      <c r="S55" s="250"/>
      <c r="T55" s="250"/>
      <c r="U55" s="250"/>
      <c r="V55" s="250"/>
      <c r="W55" s="250"/>
      <c r="X55" s="250"/>
      <c r="Y55" s="250"/>
      <c r="Z55" s="250"/>
      <c r="AA55" s="250"/>
      <c r="AB55" s="250"/>
      <c r="AC55" s="250"/>
      <c r="AD55" s="250"/>
      <c r="AE55" s="250"/>
      <c r="AF55" s="250"/>
    </row>
    <row r="56" spans="2:42" x14ac:dyDescent="0.45">
      <c r="S56" s="250"/>
      <c r="T56" s="250"/>
      <c r="U56" s="250"/>
      <c r="V56" s="250"/>
      <c r="W56" s="250"/>
      <c r="X56" s="250"/>
      <c r="Y56" s="250"/>
      <c r="Z56" s="250"/>
      <c r="AA56" s="250"/>
      <c r="AB56" s="250"/>
      <c r="AC56" s="250"/>
      <c r="AD56" s="248"/>
      <c r="AE56" s="248"/>
      <c r="AF56" s="248"/>
    </row>
  </sheetData>
  <mergeCells count="25">
    <mergeCell ref="B7:C7"/>
    <mergeCell ref="B12:G12"/>
    <mergeCell ref="B2:B3"/>
    <mergeCell ref="C2:L3"/>
    <mergeCell ref="M2:O3"/>
    <mergeCell ref="C4:E4"/>
    <mergeCell ref="F4:K4"/>
    <mergeCell ref="C6:J6"/>
    <mergeCell ref="B13:G27"/>
    <mergeCell ref="K12:O12"/>
    <mergeCell ref="K13:O27"/>
    <mergeCell ref="B30:G30"/>
    <mergeCell ref="K30:O30"/>
    <mergeCell ref="B48:C48"/>
    <mergeCell ref="B31:G45"/>
    <mergeCell ref="B52:C52"/>
    <mergeCell ref="F52:J52"/>
    <mergeCell ref="K52:L52"/>
    <mergeCell ref="K31:O45"/>
    <mergeCell ref="N52:O52"/>
    <mergeCell ref="F48:K48"/>
    <mergeCell ref="M48:O48"/>
    <mergeCell ref="B49:C49"/>
    <mergeCell ref="F49:K49"/>
    <mergeCell ref="M49:O49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4" orientation="portrait" r:id="rId1"/>
  <colBreaks count="1" manualBreakCount="1">
    <brk id="16" max="52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5281" r:id="rId4" name="Check Box 1">
              <controlPr defaultSize="0" autoFill="0" autoLine="0" autoPict="0">
                <anchor moveWithCells="1">
                  <from>
                    <xdr:col>3</xdr:col>
                    <xdr:colOff>219075</xdr:colOff>
                    <xdr:row>6</xdr:row>
                    <xdr:rowOff>19050</xdr:rowOff>
                  </from>
                  <to>
                    <xdr:col>4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82" r:id="rId5" name="Check Box 2">
              <controlPr defaultSize="0" autoFill="0" autoLine="0" autoPict="0">
                <anchor moveWithCells="1">
                  <from>
                    <xdr:col>3</xdr:col>
                    <xdr:colOff>219075</xdr:colOff>
                    <xdr:row>7</xdr:row>
                    <xdr:rowOff>19050</xdr:rowOff>
                  </from>
                  <to>
                    <xdr:col>4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83" r:id="rId6" name="Check Box 3">
              <controlPr defaultSize="0" autoFill="0" autoLine="0" autoPict="0">
                <anchor moveWithCells="1">
                  <from>
                    <xdr:col>3</xdr:col>
                    <xdr:colOff>219075</xdr:colOff>
                    <xdr:row>8</xdr:row>
                    <xdr:rowOff>19050</xdr:rowOff>
                  </from>
                  <to>
                    <xdr:col>4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84" r:id="rId7" name="Check Box 4">
              <controlPr defaultSize="0" autoFill="0" autoLine="0" autoPict="0">
                <anchor moveWithCells="1">
                  <from>
                    <xdr:col>3</xdr:col>
                    <xdr:colOff>219075</xdr:colOff>
                    <xdr:row>9</xdr:row>
                    <xdr:rowOff>19050</xdr:rowOff>
                  </from>
                  <to>
                    <xdr:col>4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85" r:id="rId8" name="Check Box 5">
              <controlPr defaultSize="0" autoFill="0" autoLine="0" autoPict="0">
                <anchor moveWithCells="1">
                  <from>
                    <xdr:col>11</xdr:col>
                    <xdr:colOff>647700</xdr:colOff>
                    <xdr:row>6</xdr:row>
                    <xdr:rowOff>9525</xdr:rowOff>
                  </from>
                  <to>
                    <xdr:col>12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86" r:id="rId9" name="Check Box 6">
              <controlPr defaultSize="0" autoFill="0" autoLine="0" autoPict="0">
                <anchor moveWithCells="1">
                  <from>
                    <xdr:col>11</xdr:col>
                    <xdr:colOff>647700</xdr:colOff>
                    <xdr:row>7</xdr:row>
                    <xdr:rowOff>9525</xdr:rowOff>
                  </from>
                  <to>
                    <xdr:col>12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87" r:id="rId10" name="Check Box 7">
              <controlPr defaultSize="0" autoFill="0" autoLine="0" autoPict="0">
                <anchor moveWithCells="1">
                  <from>
                    <xdr:col>11</xdr:col>
                    <xdr:colOff>647700</xdr:colOff>
                    <xdr:row>8</xdr:row>
                    <xdr:rowOff>9525</xdr:rowOff>
                  </from>
                  <to>
                    <xdr:col>12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12"/>
  <dimension ref="B1:AN56"/>
  <sheetViews>
    <sheetView view="pageBreakPreview" zoomScale="86" zoomScaleNormal="100" zoomScaleSheetLayoutView="86" workbookViewId="0">
      <selection activeCell="B2" sqref="B2:B3"/>
    </sheetView>
  </sheetViews>
  <sheetFormatPr baseColWidth="10" defaultRowHeight="18.75" x14ac:dyDescent="0.45"/>
  <cols>
    <col min="1" max="1" width="3.28515625" style="23" customWidth="1"/>
    <col min="2" max="2" width="18.28515625" style="23" customWidth="1"/>
    <col min="3" max="3" width="7.28515625" style="23" customWidth="1"/>
    <col min="4" max="4" width="6.140625" style="23" customWidth="1"/>
    <col min="5" max="5" width="7.7109375" style="23" customWidth="1"/>
    <col min="6" max="6" width="4.28515625" style="23" customWidth="1"/>
    <col min="7" max="7" width="5.140625" style="23" customWidth="1"/>
    <col min="8" max="8" width="4.5703125" style="23" customWidth="1"/>
    <col min="9" max="9" width="4.28515625" style="23" customWidth="1"/>
    <col min="10" max="10" width="7" style="23" customWidth="1"/>
    <col min="11" max="11" width="12.7109375" style="23" customWidth="1"/>
    <col min="12" max="12" width="14.7109375" style="23" customWidth="1"/>
    <col min="13" max="13" width="13.28515625" style="23" customWidth="1"/>
    <col min="14" max="14" width="3.28515625" style="23" customWidth="1"/>
    <col min="15" max="16384" width="11.42578125" style="23"/>
  </cols>
  <sheetData>
    <row r="1" spans="2:23" ht="20.100000000000001" customHeight="1" x14ac:dyDescent="0.45"/>
    <row r="2" spans="2:23" ht="27.75" customHeight="1" x14ac:dyDescent="0.45">
      <c r="B2" s="140"/>
      <c r="C2" s="141" t="s">
        <v>392</v>
      </c>
      <c r="D2" s="142"/>
      <c r="E2" s="142"/>
      <c r="F2" s="142"/>
      <c r="G2" s="142"/>
      <c r="H2" s="142"/>
      <c r="I2" s="142"/>
      <c r="J2" s="142"/>
      <c r="K2" s="142"/>
      <c r="L2" s="144" t="s">
        <v>130</v>
      </c>
      <c r="M2" s="146"/>
    </row>
    <row r="3" spans="2:23" ht="27.75" customHeight="1" x14ac:dyDescent="0.45">
      <c r="B3" s="147"/>
      <c r="C3" s="148"/>
      <c r="D3" s="149"/>
      <c r="E3" s="149"/>
      <c r="F3" s="149"/>
      <c r="G3" s="149"/>
      <c r="H3" s="149"/>
      <c r="I3" s="149"/>
      <c r="J3" s="149"/>
      <c r="K3" s="149"/>
      <c r="L3" s="151"/>
      <c r="M3" s="153"/>
    </row>
    <row r="4" spans="2:23" x14ac:dyDescent="0.45">
      <c r="B4" s="154" t="s">
        <v>201</v>
      </c>
      <c r="C4" s="155">
        <f>DATOS!AE7</f>
        <v>0</v>
      </c>
      <c r="D4" s="155"/>
      <c r="E4" s="155"/>
      <c r="F4" s="156"/>
      <c r="G4" s="156"/>
      <c r="H4" s="156"/>
      <c r="I4" s="156"/>
      <c r="J4" s="156"/>
      <c r="K4" s="157"/>
      <c r="L4" s="158" t="s">
        <v>57</v>
      </c>
      <c r="M4" s="159" t="str">
        <f>TERMOGRAFIA!M4</f>
        <v>4/2/2021</v>
      </c>
    </row>
    <row r="5" spans="2:23" x14ac:dyDescent="0.45">
      <c r="B5" s="160" t="s">
        <v>194</v>
      </c>
      <c r="C5" s="161" t="s">
        <v>318</v>
      </c>
      <c r="D5" s="105"/>
      <c r="E5" s="105"/>
      <c r="F5" s="162"/>
      <c r="G5" s="162"/>
      <c r="H5" s="162"/>
      <c r="I5" s="162"/>
      <c r="J5" s="162"/>
      <c r="K5" s="162"/>
      <c r="L5" s="162"/>
      <c r="M5" s="163"/>
      <c r="N5" s="38"/>
      <c r="O5" s="360"/>
      <c r="P5" s="360"/>
      <c r="Q5" s="360"/>
    </row>
    <row r="6" spans="2:23" x14ac:dyDescent="0.45">
      <c r="B6" s="164" t="s">
        <v>131</v>
      </c>
      <c r="C6" s="165" t="s">
        <v>138</v>
      </c>
      <c r="D6" s="165"/>
      <c r="E6" s="165"/>
      <c r="F6" s="165"/>
      <c r="G6" s="165"/>
      <c r="H6" s="165"/>
      <c r="I6" s="165"/>
      <c r="J6" s="166"/>
      <c r="K6" s="167"/>
      <c r="L6" s="166"/>
      <c r="M6" s="375"/>
      <c r="Q6" s="105"/>
      <c r="R6" s="105"/>
      <c r="S6" s="105"/>
      <c r="T6" s="105"/>
      <c r="U6" s="105"/>
    </row>
    <row r="7" spans="2:23" ht="15" customHeight="1" x14ac:dyDescent="0.45">
      <c r="B7" s="169" t="s">
        <v>132</v>
      </c>
      <c r="C7" s="156"/>
      <c r="D7" s="170"/>
      <c r="E7" s="171" t="s">
        <v>133</v>
      </c>
      <c r="F7" s="170"/>
      <c r="G7" s="170"/>
      <c r="H7" s="171"/>
      <c r="I7" s="171"/>
      <c r="J7" s="171"/>
      <c r="K7" s="171"/>
      <c r="L7" s="172" t="s">
        <v>141</v>
      </c>
      <c r="M7" s="172"/>
      <c r="Q7" s="105"/>
      <c r="R7" s="105"/>
      <c r="S7" s="105"/>
      <c r="T7" s="105"/>
      <c r="U7" s="105"/>
    </row>
    <row r="8" spans="2:23" ht="15" customHeight="1" x14ac:dyDescent="0.45">
      <c r="B8" s="173"/>
      <c r="C8" s="106"/>
      <c r="D8" s="106"/>
      <c r="E8" s="105" t="s">
        <v>134</v>
      </c>
      <c r="F8" s="106"/>
      <c r="G8" s="106"/>
      <c r="H8" s="105"/>
      <c r="I8" s="105"/>
      <c r="J8" s="105"/>
      <c r="K8" s="105"/>
      <c r="L8" s="105" t="s">
        <v>142</v>
      </c>
      <c r="M8" s="174"/>
      <c r="Q8" s="105"/>
      <c r="R8" s="105"/>
      <c r="S8" s="105"/>
      <c r="T8" s="105"/>
      <c r="U8" s="105"/>
    </row>
    <row r="9" spans="2:23" ht="15" customHeight="1" x14ac:dyDescent="0.45">
      <c r="B9" s="175"/>
      <c r="C9" s="105"/>
      <c r="D9" s="105"/>
      <c r="E9" s="105" t="s">
        <v>143</v>
      </c>
      <c r="F9" s="105"/>
      <c r="G9" s="105"/>
      <c r="H9" s="105"/>
      <c r="I9" s="105"/>
      <c r="J9" s="105"/>
      <c r="K9" s="105"/>
      <c r="L9" s="105" t="s">
        <v>144</v>
      </c>
      <c r="M9" s="174"/>
      <c r="Q9" s="105"/>
      <c r="R9" s="105"/>
      <c r="S9" s="105"/>
      <c r="T9" s="105"/>
      <c r="U9" s="105"/>
    </row>
    <row r="10" spans="2:23" ht="15" customHeight="1" x14ac:dyDescent="0.45">
      <c r="B10" s="176"/>
      <c r="C10" s="177"/>
      <c r="D10" s="177"/>
      <c r="E10" s="177" t="s">
        <v>145</v>
      </c>
      <c r="F10" s="177"/>
      <c r="G10" s="177"/>
      <c r="H10" s="177"/>
      <c r="I10" s="177"/>
      <c r="J10" s="177"/>
      <c r="K10" s="177"/>
      <c r="L10" s="177"/>
      <c r="M10" s="178"/>
      <c r="Q10" s="105"/>
      <c r="R10" s="105"/>
      <c r="S10" s="105"/>
      <c r="T10" s="105"/>
      <c r="U10" s="105"/>
    </row>
    <row r="11" spans="2:23" ht="15" customHeight="1" x14ac:dyDescent="0.45"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Q11" s="105"/>
      <c r="R11" s="105"/>
      <c r="S11" s="105"/>
      <c r="T11" s="105"/>
      <c r="U11" s="105"/>
    </row>
    <row r="12" spans="2:23" ht="15" customHeight="1" x14ac:dyDescent="0.45">
      <c r="B12" s="105"/>
      <c r="C12" s="179" t="s">
        <v>394</v>
      </c>
      <c r="D12" s="180"/>
      <c r="E12" s="180"/>
      <c r="F12" s="180"/>
      <c r="G12" s="180"/>
      <c r="H12" s="180"/>
      <c r="I12" s="180"/>
      <c r="J12" s="180"/>
      <c r="K12" s="180"/>
      <c r="L12" s="181"/>
      <c r="M12" s="105"/>
      <c r="Q12" s="105"/>
      <c r="R12" s="105"/>
      <c r="S12" s="105"/>
      <c r="T12" s="105"/>
      <c r="U12" s="105"/>
    </row>
    <row r="13" spans="2:23" ht="15" customHeight="1" x14ac:dyDescent="0.45">
      <c r="B13" s="284"/>
      <c r="C13" s="345"/>
      <c r="D13" s="346"/>
      <c r="E13" s="346"/>
      <c r="F13" s="346"/>
      <c r="G13" s="346"/>
      <c r="H13" s="346"/>
      <c r="I13" s="346"/>
      <c r="J13" s="346"/>
      <c r="K13" s="346"/>
      <c r="L13" s="347"/>
      <c r="M13" s="284"/>
    </row>
    <row r="14" spans="2:23" ht="15" customHeight="1" x14ac:dyDescent="0.45">
      <c r="B14" s="106"/>
      <c r="C14" s="348"/>
      <c r="D14" s="349"/>
      <c r="E14" s="349"/>
      <c r="F14" s="349"/>
      <c r="G14" s="349"/>
      <c r="H14" s="349"/>
      <c r="I14" s="349"/>
      <c r="J14" s="349"/>
      <c r="K14" s="349"/>
      <c r="L14" s="350"/>
      <c r="M14" s="106"/>
      <c r="Q14" s="371" t="s">
        <v>313</v>
      </c>
      <c r="R14" s="371"/>
      <c r="S14" s="371"/>
      <c r="T14" s="371"/>
      <c r="U14" s="371"/>
      <c r="V14" s="371"/>
      <c r="W14" s="371"/>
    </row>
    <row r="15" spans="2:23" ht="13.5" customHeight="1" x14ac:dyDescent="0.45">
      <c r="B15" s="106"/>
      <c r="C15" s="348"/>
      <c r="D15" s="349"/>
      <c r="E15" s="349"/>
      <c r="F15" s="349"/>
      <c r="G15" s="349"/>
      <c r="H15" s="349"/>
      <c r="I15" s="349"/>
      <c r="J15" s="349"/>
      <c r="K15" s="349"/>
      <c r="L15" s="350"/>
      <c r="M15" s="106"/>
      <c r="Q15" s="229"/>
      <c r="R15" s="229"/>
      <c r="S15" s="229"/>
      <c r="T15" s="229"/>
      <c r="U15" s="229"/>
      <c r="V15" s="229"/>
      <c r="W15" s="229"/>
    </row>
    <row r="16" spans="2:23" ht="13.5" customHeight="1" x14ac:dyDescent="0.45">
      <c r="B16" s="106"/>
      <c r="C16" s="348"/>
      <c r="D16" s="349"/>
      <c r="E16" s="349"/>
      <c r="F16" s="349"/>
      <c r="G16" s="349"/>
      <c r="H16" s="349"/>
      <c r="I16" s="349"/>
      <c r="J16" s="349"/>
      <c r="K16" s="349"/>
      <c r="L16" s="350"/>
      <c r="M16" s="106"/>
      <c r="Q16" s="229"/>
      <c r="R16" s="229"/>
      <c r="S16" s="229"/>
      <c r="T16" s="229"/>
      <c r="U16" s="229"/>
      <c r="V16" s="229"/>
      <c r="W16" s="229"/>
    </row>
    <row r="17" spans="2:23" ht="13.5" customHeight="1" x14ac:dyDescent="0.45">
      <c r="B17" s="106"/>
      <c r="C17" s="348"/>
      <c r="D17" s="349"/>
      <c r="E17" s="349"/>
      <c r="F17" s="349"/>
      <c r="G17" s="349"/>
      <c r="H17" s="349"/>
      <c r="I17" s="349"/>
      <c r="J17" s="349"/>
      <c r="K17" s="349"/>
      <c r="L17" s="350"/>
      <c r="M17" s="106"/>
      <c r="Q17" s="229"/>
      <c r="R17" s="229"/>
      <c r="S17" s="229"/>
      <c r="T17" s="229"/>
      <c r="U17" s="229"/>
      <c r="V17" s="229"/>
      <c r="W17" s="229"/>
    </row>
    <row r="18" spans="2:23" ht="13.5" customHeight="1" x14ac:dyDescent="0.45">
      <c r="B18" s="106"/>
      <c r="C18" s="348"/>
      <c r="D18" s="349"/>
      <c r="E18" s="349"/>
      <c r="F18" s="349"/>
      <c r="G18" s="349"/>
      <c r="H18" s="349"/>
      <c r="I18" s="349"/>
      <c r="J18" s="349"/>
      <c r="K18" s="349"/>
      <c r="L18" s="350"/>
      <c r="M18" s="106"/>
      <c r="Q18" s="229"/>
      <c r="R18" s="229"/>
      <c r="S18" s="229"/>
      <c r="T18" s="229"/>
      <c r="U18" s="229"/>
      <c r="V18" s="229"/>
      <c r="W18" s="229"/>
    </row>
    <row r="19" spans="2:23" ht="13.5" customHeight="1" x14ac:dyDescent="0.45">
      <c r="B19" s="106"/>
      <c r="C19" s="348"/>
      <c r="D19" s="349"/>
      <c r="E19" s="349"/>
      <c r="F19" s="349"/>
      <c r="G19" s="349"/>
      <c r="H19" s="349"/>
      <c r="I19" s="349"/>
      <c r="J19" s="349"/>
      <c r="K19" s="349"/>
      <c r="L19" s="350"/>
      <c r="M19" s="106"/>
      <c r="Q19" s="229"/>
      <c r="R19" s="229"/>
      <c r="S19" s="229"/>
      <c r="T19" s="229"/>
      <c r="U19" s="229"/>
      <c r="V19" s="229"/>
      <c r="W19" s="229"/>
    </row>
    <row r="20" spans="2:23" ht="13.5" customHeight="1" x14ac:dyDescent="0.45">
      <c r="B20" s="106"/>
      <c r="C20" s="348"/>
      <c r="D20" s="349"/>
      <c r="E20" s="349"/>
      <c r="F20" s="349"/>
      <c r="G20" s="349"/>
      <c r="H20" s="349"/>
      <c r="I20" s="349"/>
      <c r="J20" s="349"/>
      <c r="K20" s="349"/>
      <c r="L20" s="350"/>
      <c r="M20" s="106"/>
      <c r="Q20" s="229"/>
      <c r="R20" s="229"/>
      <c r="S20" s="229"/>
      <c r="T20" s="229"/>
      <c r="U20" s="229"/>
      <c r="V20" s="229"/>
      <c r="W20" s="229"/>
    </row>
    <row r="21" spans="2:23" ht="13.5" customHeight="1" x14ac:dyDescent="0.45">
      <c r="B21" s="106"/>
      <c r="C21" s="348"/>
      <c r="D21" s="349"/>
      <c r="E21" s="349"/>
      <c r="F21" s="349"/>
      <c r="G21" s="349"/>
      <c r="H21" s="349"/>
      <c r="I21" s="349"/>
      <c r="J21" s="349"/>
      <c r="K21" s="349"/>
      <c r="L21" s="350"/>
      <c r="M21" s="106"/>
      <c r="Q21" s="229"/>
      <c r="R21" s="229"/>
      <c r="S21" s="229"/>
      <c r="T21" s="229"/>
      <c r="U21" s="229"/>
      <c r="V21" s="229"/>
      <c r="W21" s="229"/>
    </row>
    <row r="22" spans="2:23" ht="13.5" customHeight="1" x14ac:dyDescent="0.45">
      <c r="B22" s="106"/>
      <c r="C22" s="348"/>
      <c r="D22" s="349"/>
      <c r="E22" s="349"/>
      <c r="F22" s="349"/>
      <c r="G22" s="349"/>
      <c r="H22" s="349"/>
      <c r="I22" s="349"/>
      <c r="J22" s="349"/>
      <c r="K22" s="349"/>
      <c r="L22" s="350"/>
      <c r="M22" s="106"/>
      <c r="Q22" s="229"/>
      <c r="R22" s="229"/>
      <c r="S22" s="229"/>
      <c r="T22" s="229"/>
      <c r="U22" s="229"/>
      <c r="V22" s="229"/>
      <c r="W22" s="229"/>
    </row>
    <row r="23" spans="2:23" ht="13.5" customHeight="1" x14ac:dyDescent="0.45">
      <c r="B23" s="106"/>
      <c r="C23" s="348"/>
      <c r="D23" s="349"/>
      <c r="E23" s="349"/>
      <c r="F23" s="349"/>
      <c r="G23" s="349"/>
      <c r="H23" s="349"/>
      <c r="I23" s="349"/>
      <c r="J23" s="349"/>
      <c r="K23" s="349"/>
      <c r="L23" s="350"/>
      <c r="M23" s="106"/>
      <c r="Q23" s="229"/>
      <c r="R23" s="229"/>
      <c r="S23" s="229"/>
      <c r="T23" s="229"/>
      <c r="U23" s="229"/>
      <c r="V23" s="229"/>
      <c r="W23" s="229"/>
    </row>
    <row r="24" spans="2:23" ht="13.5" customHeight="1" x14ac:dyDescent="0.45">
      <c r="B24" s="106"/>
      <c r="C24" s="348"/>
      <c r="D24" s="349"/>
      <c r="E24" s="349"/>
      <c r="F24" s="349"/>
      <c r="G24" s="349"/>
      <c r="H24" s="349"/>
      <c r="I24" s="349"/>
      <c r="J24" s="349"/>
      <c r="K24" s="349"/>
      <c r="L24" s="350"/>
      <c r="M24" s="106"/>
      <c r="Q24" s="229"/>
      <c r="R24" s="229"/>
      <c r="S24" s="229"/>
      <c r="T24" s="229"/>
      <c r="U24" s="229"/>
      <c r="V24" s="229"/>
      <c r="W24" s="229"/>
    </row>
    <row r="25" spans="2:23" ht="13.5" customHeight="1" x14ac:dyDescent="0.45">
      <c r="B25" s="106"/>
      <c r="C25" s="348"/>
      <c r="D25" s="349"/>
      <c r="E25" s="349"/>
      <c r="F25" s="349"/>
      <c r="G25" s="349"/>
      <c r="H25" s="349"/>
      <c r="I25" s="349"/>
      <c r="J25" s="349"/>
      <c r="K25" s="349"/>
      <c r="L25" s="350"/>
      <c r="M25" s="106"/>
      <c r="Q25" s="229"/>
      <c r="R25" s="229"/>
      <c r="S25" s="229"/>
      <c r="T25" s="229"/>
      <c r="U25" s="229"/>
      <c r="V25" s="229"/>
      <c r="W25" s="229"/>
    </row>
    <row r="26" spans="2:23" ht="13.5" customHeight="1" x14ac:dyDescent="0.45">
      <c r="B26" s="106"/>
      <c r="C26" s="348"/>
      <c r="D26" s="349"/>
      <c r="E26" s="349"/>
      <c r="F26" s="349"/>
      <c r="G26" s="349"/>
      <c r="H26" s="349"/>
      <c r="I26" s="349"/>
      <c r="J26" s="349"/>
      <c r="K26" s="349"/>
      <c r="L26" s="350"/>
      <c r="M26" s="106"/>
      <c r="Q26" s="229"/>
      <c r="R26" s="229"/>
      <c r="S26" s="229"/>
      <c r="T26" s="229"/>
      <c r="U26" s="229"/>
      <c r="V26" s="229"/>
      <c r="W26" s="229"/>
    </row>
    <row r="27" spans="2:23" ht="13.5" customHeight="1" x14ac:dyDescent="0.45">
      <c r="B27" s="106"/>
      <c r="C27" s="353"/>
      <c r="D27" s="354"/>
      <c r="E27" s="354"/>
      <c r="F27" s="354"/>
      <c r="G27" s="354"/>
      <c r="H27" s="354"/>
      <c r="I27" s="354"/>
      <c r="J27" s="354"/>
      <c r="K27" s="354"/>
      <c r="L27" s="355"/>
      <c r="M27" s="106"/>
      <c r="Q27" s="229"/>
      <c r="R27" s="229"/>
      <c r="S27" s="229"/>
      <c r="T27" s="229"/>
      <c r="U27" s="229"/>
      <c r="V27" s="229"/>
      <c r="W27" s="229"/>
    </row>
    <row r="28" spans="2:23" ht="13.5" customHeight="1" x14ac:dyDescent="0.45"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Q28" s="229"/>
      <c r="R28" s="229"/>
      <c r="S28" s="229"/>
      <c r="T28" s="229"/>
      <c r="U28" s="229"/>
      <c r="V28" s="229"/>
      <c r="W28" s="229"/>
    </row>
    <row r="29" spans="2:23" ht="13.5" customHeight="1" x14ac:dyDescent="0.45"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Q29" s="229"/>
      <c r="R29" s="229"/>
      <c r="S29" s="229"/>
      <c r="T29" s="229"/>
      <c r="U29" s="229"/>
      <c r="V29" s="229"/>
      <c r="W29" s="229"/>
    </row>
    <row r="30" spans="2:23" ht="15" customHeight="1" x14ac:dyDescent="0.45">
      <c r="B30" s="106"/>
      <c r="C30" s="179" t="s">
        <v>393</v>
      </c>
      <c r="D30" s="180"/>
      <c r="E30" s="180"/>
      <c r="F30" s="180"/>
      <c r="G30" s="180"/>
      <c r="H30" s="180"/>
      <c r="I30" s="180"/>
      <c r="J30" s="180"/>
      <c r="K30" s="180"/>
      <c r="L30" s="181"/>
      <c r="M30" s="106"/>
      <c r="Q30" s="229"/>
      <c r="R30" s="229"/>
      <c r="S30" s="229"/>
      <c r="T30" s="229"/>
      <c r="U30" s="229"/>
      <c r="V30" s="229"/>
      <c r="W30" s="229"/>
    </row>
    <row r="31" spans="2:23" ht="13.5" customHeight="1" x14ac:dyDescent="0.45">
      <c r="B31" s="106"/>
      <c r="C31" s="376"/>
      <c r="D31" s="377"/>
      <c r="E31" s="377"/>
      <c r="F31" s="377"/>
      <c r="G31" s="377"/>
      <c r="H31" s="377"/>
      <c r="I31" s="377"/>
      <c r="J31" s="377"/>
      <c r="K31" s="377"/>
      <c r="L31" s="378"/>
      <c r="M31" s="106"/>
      <c r="Q31" s="229"/>
      <c r="R31" s="229"/>
      <c r="S31" s="229"/>
      <c r="T31" s="229"/>
      <c r="U31" s="229"/>
      <c r="V31" s="229"/>
      <c r="W31" s="229"/>
    </row>
    <row r="32" spans="2:23" ht="13.5" customHeight="1" x14ac:dyDescent="0.45">
      <c r="B32" s="106"/>
      <c r="C32" s="379"/>
      <c r="D32" s="380"/>
      <c r="E32" s="380"/>
      <c r="F32" s="380"/>
      <c r="G32" s="380"/>
      <c r="H32" s="380"/>
      <c r="I32" s="380"/>
      <c r="J32" s="380"/>
      <c r="K32" s="380"/>
      <c r="L32" s="381"/>
      <c r="M32" s="106"/>
      <c r="Q32" s="229"/>
      <c r="R32" s="229"/>
      <c r="S32" s="229"/>
      <c r="T32" s="229"/>
      <c r="U32" s="229"/>
      <c r="V32" s="229"/>
      <c r="W32" s="229"/>
    </row>
    <row r="33" spans="2:31" ht="13.5" customHeight="1" x14ac:dyDescent="0.45">
      <c r="B33" s="106"/>
      <c r="C33" s="379"/>
      <c r="D33" s="380"/>
      <c r="E33" s="380"/>
      <c r="F33" s="380"/>
      <c r="G33" s="380"/>
      <c r="H33" s="380"/>
      <c r="I33" s="380"/>
      <c r="J33" s="380"/>
      <c r="K33" s="380"/>
      <c r="L33" s="381"/>
      <c r="M33" s="106"/>
      <c r="Q33" s="229"/>
      <c r="R33" s="229"/>
      <c r="S33" s="229"/>
      <c r="T33" s="229"/>
      <c r="U33" s="229"/>
      <c r="V33" s="229"/>
      <c r="W33" s="229"/>
    </row>
    <row r="34" spans="2:31" ht="13.5" customHeight="1" x14ac:dyDescent="0.45">
      <c r="B34" s="106"/>
      <c r="C34" s="379"/>
      <c r="D34" s="380"/>
      <c r="E34" s="380"/>
      <c r="F34" s="380"/>
      <c r="G34" s="380"/>
      <c r="H34" s="380"/>
      <c r="I34" s="380"/>
      <c r="J34" s="380"/>
      <c r="K34" s="380"/>
      <c r="L34" s="381"/>
      <c r="M34" s="106"/>
      <c r="Q34" s="229"/>
      <c r="R34" s="229"/>
      <c r="S34" s="229"/>
      <c r="T34" s="229"/>
      <c r="U34" s="229"/>
      <c r="V34" s="229"/>
      <c r="W34" s="229"/>
    </row>
    <row r="35" spans="2:31" ht="13.5" customHeight="1" x14ac:dyDescent="0.45">
      <c r="B35" s="106"/>
      <c r="C35" s="379"/>
      <c r="D35" s="380"/>
      <c r="E35" s="380"/>
      <c r="F35" s="380"/>
      <c r="G35" s="380"/>
      <c r="H35" s="380"/>
      <c r="I35" s="380"/>
      <c r="J35" s="380"/>
      <c r="K35" s="380"/>
      <c r="L35" s="381"/>
      <c r="M35" s="106"/>
      <c r="Q35" s="229"/>
      <c r="R35" s="229"/>
      <c r="S35" s="229"/>
      <c r="T35" s="229"/>
      <c r="U35" s="229"/>
      <c r="V35" s="229"/>
      <c r="W35" s="229"/>
    </row>
    <row r="36" spans="2:31" ht="15" customHeight="1" x14ac:dyDescent="0.45">
      <c r="B36" s="106"/>
      <c r="C36" s="379"/>
      <c r="D36" s="380"/>
      <c r="E36" s="380"/>
      <c r="F36" s="380"/>
      <c r="G36" s="380"/>
      <c r="H36" s="380"/>
      <c r="I36" s="380"/>
      <c r="J36" s="380"/>
      <c r="K36" s="380"/>
      <c r="L36" s="381"/>
      <c r="M36" s="106"/>
      <c r="Q36" s="229"/>
      <c r="R36" s="229"/>
      <c r="S36" s="229"/>
      <c r="T36" s="229"/>
      <c r="U36" s="229"/>
      <c r="V36" s="229"/>
      <c r="W36" s="229"/>
    </row>
    <row r="37" spans="2:31" ht="15" customHeight="1" x14ac:dyDescent="0.45">
      <c r="B37" s="106"/>
      <c r="C37" s="379"/>
      <c r="D37" s="380"/>
      <c r="E37" s="380"/>
      <c r="F37" s="380"/>
      <c r="G37" s="380"/>
      <c r="H37" s="380"/>
      <c r="I37" s="380"/>
      <c r="J37" s="380"/>
      <c r="K37" s="380"/>
      <c r="L37" s="381"/>
      <c r="M37" s="106"/>
      <c r="Q37" s="229"/>
      <c r="R37" s="229"/>
      <c r="S37" s="229"/>
      <c r="T37" s="229"/>
      <c r="U37" s="229"/>
      <c r="V37" s="229"/>
      <c r="W37" s="229"/>
    </row>
    <row r="38" spans="2:31" ht="15" customHeight="1" x14ac:dyDescent="0.45">
      <c r="B38" s="106"/>
      <c r="C38" s="379"/>
      <c r="D38" s="380"/>
      <c r="E38" s="380"/>
      <c r="F38" s="380"/>
      <c r="G38" s="380"/>
      <c r="H38" s="380"/>
      <c r="I38" s="380"/>
      <c r="J38" s="380"/>
      <c r="K38" s="380"/>
      <c r="L38" s="381"/>
      <c r="M38" s="106"/>
      <c r="Q38" s="229"/>
      <c r="R38" s="229"/>
      <c r="S38" s="229"/>
      <c r="T38" s="229"/>
      <c r="U38" s="229"/>
      <c r="V38" s="229"/>
      <c r="W38" s="229"/>
    </row>
    <row r="39" spans="2:31" ht="15" customHeight="1" x14ac:dyDescent="0.45">
      <c r="B39" s="106"/>
      <c r="C39" s="379"/>
      <c r="D39" s="380"/>
      <c r="E39" s="380"/>
      <c r="F39" s="380"/>
      <c r="G39" s="380"/>
      <c r="H39" s="380"/>
      <c r="I39" s="380"/>
      <c r="J39" s="380"/>
      <c r="K39" s="380"/>
      <c r="L39" s="381"/>
      <c r="M39" s="106"/>
      <c r="Q39" s="229"/>
      <c r="R39" s="229"/>
      <c r="S39" s="229"/>
      <c r="T39" s="229"/>
      <c r="U39" s="229"/>
      <c r="V39" s="229"/>
      <c r="W39" s="229"/>
    </row>
    <row r="40" spans="2:31" ht="15" customHeight="1" x14ac:dyDescent="0.45">
      <c r="B40" s="106"/>
      <c r="C40" s="379"/>
      <c r="D40" s="380"/>
      <c r="E40" s="380"/>
      <c r="F40" s="380"/>
      <c r="G40" s="380"/>
      <c r="H40" s="380"/>
      <c r="I40" s="380"/>
      <c r="J40" s="380"/>
      <c r="K40" s="380"/>
      <c r="L40" s="381"/>
      <c r="M40" s="106"/>
      <c r="Q40" s="229"/>
      <c r="R40" s="229"/>
      <c r="S40" s="229"/>
      <c r="T40" s="229"/>
      <c r="U40" s="229"/>
      <c r="V40" s="229"/>
      <c r="W40" s="229"/>
    </row>
    <row r="41" spans="2:31" ht="15" customHeight="1" x14ac:dyDescent="0.45">
      <c r="B41" s="106"/>
      <c r="C41" s="379"/>
      <c r="D41" s="380"/>
      <c r="E41" s="380"/>
      <c r="F41" s="380"/>
      <c r="G41" s="380"/>
      <c r="H41" s="380"/>
      <c r="I41" s="380"/>
      <c r="J41" s="380"/>
      <c r="K41" s="380"/>
      <c r="L41" s="381"/>
      <c r="M41" s="106"/>
      <c r="Q41" s="229"/>
      <c r="R41" s="229"/>
      <c r="S41" s="229"/>
      <c r="T41" s="229"/>
      <c r="U41" s="229"/>
      <c r="V41" s="229"/>
      <c r="W41" s="229"/>
    </row>
    <row r="42" spans="2:31" ht="15" customHeight="1" x14ac:dyDescent="0.45">
      <c r="B42" s="106"/>
      <c r="C42" s="379"/>
      <c r="D42" s="380"/>
      <c r="E42" s="380"/>
      <c r="F42" s="380"/>
      <c r="G42" s="380"/>
      <c r="H42" s="380"/>
      <c r="I42" s="380"/>
      <c r="J42" s="380"/>
      <c r="K42" s="380"/>
      <c r="L42" s="381"/>
      <c r="M42" s="106"/>
      <c r="Q42" s="229"/>
      <c r="R42" s="229"/>
      <c r="S42" s="229"/>
      <c r="T42" s="229"/>
      <c r="U42" s="229"/>
      <c r="V42" s="229"/>
      <c r="W42" s="229"/>
    </row>
    <row r="43" spans="2:31" ht="15" customHeight="1" x14ac:dyDescent="0.45">
      <c r="B43" s="106"/>
      <c r="C43" s="379"/>
      <c r="D43" s="380"/>
      <c r="E43" s="380"/>
      <c r="F43" s="380"/>
      <c r="G43" s="380"/>
      <c r="H43" s="380"/>
      <c r="I43" s="380"/>
      <c r="J43" s="380"/>
      <c r="K43" s="380"/>
      <c r="L43" s="381"/>
      <c r="M43" s="106"/>
      <c r="Q43" s="229"/>
      <c r="R43" s="229"/>
      <c r="S43" s="229"/>
      <c r="T43" s="229"/>
      <c r="U43" s="229"/>
      <c r="V43" s="229"/>
      <c r="W43" s="229"/>
    </row>
    <row r="44" spans="2:31" ht="15" customHeight="1" x14ac:dyDescent="0.45">
      <c r="B44" s="106"/>
      <c r="C44" s="379"/>
      <c r="D44" s="380"/>
      <c r="E44" s="380"/>
      <c r="F44" s="380"/>
      <c r="G44" s="380"/>
      <c r="H44" s="380"/>
      <c r="I44" s="380"/>
      <c r="J44" s="380"/>
      <c r="K44" s="380"/>
      <c r="L44" s="381"/>
      <c r="M44" s="106"/>
      <c r="Q44" s="229"/>
      <c r="R44" s="229"/>
      <c r="S44" s="229"/>
      <c r="T44" s="229"/>
      <c r="U44" s="229"/>
      <c r="V44" s="229"/>
      <c r="W44" s="229"/>
    </row>
    <row r="45" spans="2:31" ht="15" customHeight="1" x14ac:dyDescent="0.45">
      <c r="B45" s="106"/>
      <c r="C45" s="382"/>
      <c r="D45" s="383"/>
      <c r="E45" s="383"/>
      <c r="F45" s="383"/>
      <c r="G45" s="383"/>
      <c r="H45" s="383"/>
      <c r="I45" s="383"/>
      <c r="J45" s="383"/>
      <c r="K45" s="383"/>
      <c r="L45" s="384"/>
      <c r="M45" s="106"/>
      <c r="Q45" s="229"/>
      <c r="R45" s="229"/>
      <c r="S45" s="229"/>
      <c r="T45" s="229"/>
      <c r="U45" s="229"/>
      <c r="V45" s="229"/>
      <c r="W45" s="229"/>
    </row>
    <row r="46" spans="2:31" ht="15" customHeight="1" x14ac:dyDescent="0.45">
      <c r="B46" s="250"/>
      <c r="C46" s="250"/>
      <c r="D46" s="250"/>
      <c r="E46" s="250"/>
      <c r="F46" s="250"/>
      <c r="G46" s="250"/>
      <c r="H46" s="245"/>
      <c r="I46" s="245"/>
      <c r="J46" s="250"/>
      <c r="K46" s="250"/>
      <c r="L46" s="250"/>
      <c r="M46" s="250"/>
    </row>
    <row r="47" spans="2:31" ht="15" customHeight="1" x14ac:dyDescent="0.45">
      <c r="B47" s="245"/>
      <c r="C47" s="245"/>
      <c r="D47" s="245"/>
      <c r="E47" s="245"/>
      <c r="F47" s="245"/>
      <c r="G47" s="245"/>
      <c r="H47" s="245"/>
      <c r="I47" s="245"/>
      <c r="J47" s="245"/>
      <c r="K47" s="245"/>
      <c r="L47" s="245"/>
      <c r="M47" s="245"/>
      <c r="T47" s="196"/>
      <c r="U47" s="106"/>
      <c r="V47" s="106"/>
      <c r="W47" s="106"/>
      <c r="X47" s="106"/>
      <c r="Y47" s="106"/>
      <c r="Z47" s="106"/>
      <c r="AA47" s="106"/>
      <c r="AB47" s="106"/>
      <c r="AC47" s="106"/>
      <c r="AD47" s="106"/>
      <c r="AE47" s="106"/>
    </row>
    <row r="48" spans="2:31" ht="15" customHeight="1" x14ac:dyDescent="0.45">
      <c r="B48" s="246" t="s">
        <v>428</v>
      </c>
      <c r="C48" s="246"/>
      <c r="D48" s="248"/>
      <c r="E48" s="248"/>
      <c r="F48" s="234" t="s">
        <v>422</v>
      </c>
      <c r="G48" s="234"/>
      <c r="H48" s="234"/>
      <c r="I48" s="234"/>
      <c r="J48" s="234"/>
      <c r="K48" s="248"/>
      <c r="L48" s="246" t="s">
        <v>427</v>
      </c>
      <c r="M48" s="246"/>
    </row>
    <row r="49" spans="2:40" ht="15" customHeight="1" x14ac:dyDescent="0.45">
      <c r="B49" s="247" t="s">
        <v>56</v>
      </c>
      <c r="C49" s="247"/>
      <c r="D49" s="250"/>
      <c r="E49" s="250"/>
      <c r="F49" s="247" t="s">
        <v>395</v>
      </c>
      <c r="G49" s="247"/>
      <c r="H49" s="247"/>
      <c r="I49" s="247"/>
      <c r="J49" s="247"/>
      <c r="K49" s="250"/>
      <c r="L49" s="247" t="s">
        <v>123</v>
      </c>
      <c r="M49" s="247"/>
    </row>
    <row r="50" spans="2:40" ht="15" customHeight="1" x14ac:dyDescent="0.45">
      <c r="B50" s="245"/>
      <c r="C50" s="249"/>
      <c r="D50" s="249"/>
      <c r="E50" s="249"/>
      <c r="F50" s="249"/>
      <c r="G50" s="245"/>
      <c r="H50" s="245"/>
      <c r="I50" s="249"/>
      <c r="J50" s="249"/>
      <c r="K50" s="249"/>
      <c r="L50" s="245"/>
      <c r="M50" s="245"/>
    </row>
    <row r="51" spans="2:40" x14ac:dyDescent="0.45">
      <c r="B51" s="250"/>
      <c r="C51" s="106"/>
      <c r="D51" s="106"/>
      <c r="E51" s="106"/>
      <c r="F51" s="105"/>
      <c r="G51" s="105"/>
      <c r="H51" s="105"/>
      <c r="I51" s="105"/>
      <c r="J51" s="105"/>
      <c r="K51" s="105"/>
      <c r="L51" s="105"/>
      <c r="M51" s="105"/>
    </row>
    <row r="52" spans="2:40" ht="15.75" customHeight="1" x14ac:dyDescent="0.45">
      <c r="B52" s="251" t="s">
        <v>410</v>
      </c>
      <c r="C52" s="251"/>
      <c r="D52" s="105"/>
      <c r="E52" s="105"/>
      <c r="F52" s="190"/>
      <c r="G52" s="190"/>
      <c r="H52" s="190"/>
      <c r="I52" s="190"/>
      <c r="J52" s="252"/>
      <c r="K52" s="252"/>
      <c r="L52" s="105"/>
      <c r="M52" s="23" t="s">
        <v>418</v>
      </c>
    </row>
    <row r="53" spans="2:40" ht="20.100000000000001" customHeight="1" x14ac:dyDescent="0.45"/>
    <row r="54" spans="2:40" x14ac:dyDescent="0.45">
      <c r="Q54" s="250"/>
      <c r="R54" s="250"/>
      <c r="S54" s="250"/>
      <c r="T54" s="250"/>
      <c r="U54" s="250"/>
      <c r="V54" s="250"/>
      <c r="W54" s="250"/>
      <c r="X54" s="250"/>
      <c r="Y54" s="250"/>
      <c r="Z54" s="250"/>
      <c r="AA54" s="250"/>
      <c r="AB54" s="250"/>
      <c r="AC54" s="250"/>
      <c r="AD54" s="250"/>
      <c r="AN54" s="254"/>
    </row>
    <row r="55" spans="2:40" x14ac:dyDescent="0.45">
      <c r="Q55" s="250"/>
      <c r="R55" s="250"/>
      <c r="S55" s="250"/>
      <c r="T55" s="250"/>
      <c r="U55" s="250"/>
      <c r="V55" s="250"/>
      <c r="W55" s="250"/>
      <c r="X55" s="250"/>
      <c r="Y55" s="250"/>
      <c r="Z55" s="250"/>
      <c r="AA55" s="250"/>
      <c r="AB55" s="250"/>
      <c r="AC55" s="250"/>
      <c r="AD55" s="250"/>
    </row>
    <row r="56" spans="2:40" x14ac:dyDescent="0.45">
      <c r="Q56" s="250"/>
      <c r="R56" s="250"/>
      <c r="S56" s="250"/>
      <c r="T56" s="250"/>
      <c r="U56" s="250"/>
      <c r="V56" s="250"/>
      <c r="W56" s="250"/>
      <c r="X56" s="250"/>
      <c r="Y56" s="250"/>
      <c r="Z56" s="250"/>
      <c r="AA56" s="250"/>
      <c r="AB56" s="248"/>
      <c r="AC56" s="248"/>
      <c r="AD56" s="248"/>
    </row>
  </sheetData>
  <mergeCells count="20">
    <mergeCell ref="L2:M3"/>
    <mergeCell ref="C12:L12"/>
    <mergeCell ref="C13:L27"/>
    <mergeCell ref="C30:L30"/>
    <mergeCell ref="C31:L45"/>
    <mergeCell ref="B7:C7"/>
    <mergeCell ref="B2:B3"/>
    <mergeCell ref="C4:E4"/>
    <mergeCell ref="C2:K3"/>
    <mergeCell ref="F4:J4"/>
    <mergeCell ref="C6:I6"/>
    <mergeCell ref="F52:I52"/>
    <mergeCell ref="J52:K52"/>
    <mergeCell ref="B48:C48"/>
    <mergeCell ref="F48:J48"/>
    <mergeCell ref="L48:M48"/>
    <mergeCell ref="B52:C52"/>
    <mergeCell ref="B49:C49"/>
    <mergeCell ref="F49:J49"/>
    <mergeCell ref="L49:M49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4" orientation="portrait" r:id="rId1"/>
  <colBreaks count="1" manualBreakCount="1">
    <brk id="14" max="52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6305" r:id="rId4" name="Check Box 1">
              <controlPr defaultSize="0" autoFill="0" autoLine="0" autoPict="0">
                <anchor moveWithCells="1">
                  <from>
                    <xdr:col>3</xdr:col>
                    <xdr:colOff>219075</xdr:colOff>
                    <xdr:row>6</xdr:row>
                    <xdr:rowOff>19050</xdr:rowOff>
                  </from>
                  <to>
                    <xdr:col>4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06" r:id="rId5" name="Check Box 2">
              <controlPr defaultSize="0" autoFill="0" autoLine="0" autoPict="0">
                <anchor moveWithCells="1">
                  <from>
                    <xdr:col>3</xdr:col>
                    <xdr:colOff>219075</xdr:colOff>
                    <xdr:row>7</xdr:row>
                    <xdr:rowOff>19050</xdr:rowOff>
                  </from>
                  <to>
                    <xdr:col>4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07" r:id="rId6" name="Check Box 3">
              <controlPr defaultSize="0" autoFill="0" autoLine="0" autoPict="0">
                <anchor moveWithCells="1">
                  <from>
                    <xdr:col>3</xdr:col>
                    <xdr:colOff>219075</xdr:colOff>
                    <xdr:row>8</xdr:row>
                    <xdr:rowOff>19050</xdr:rowOff>
                  </from>
                  <to>
                    <xdr:col>4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08" r:id="rId7" name="Check Box 4">
              <controlPr defaultSize="0" autoFill="0" autoLine="0" autoPict="0">
                <anchor moveWithCells="1">
                  <from>
                    <xdr:col>3</xdr:col>
                    <xdr:colOff>219075</xdr:colOff>
                    <xdr:row>9</xdr:row>
                    <xdr:rowOff>19050</xdr:rowOff>
                  </from>
                  <to>
                    <xdr:col>4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09" r:id="rId8" name="Check Box 5">
              <controlPr defaultSize="0" autoFill="0" autoLine="0" autoPict="0">
                <anchor moveWithCells="1">
                  <from>
                    <xdr:col>10</xdr:col>
                    <xdr:colOff>666750</xdr:colOff>
                    <xdr:row>6</xdr:row>
                    <xdr:rowOff>9525</xdr:rowOff>
                  </from>
                  <to>
                    <xdr:col>11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10" r:id="rId9" name="Check Box 6">
              <controlPr defaultSize="0" autoFill="0" autoLine="0" autoPict="0">
                <anchor moveWithCells="1">
                  <from>
                    <xdr:col>10</xdr:col>
                    <xdr:colOff>666750</xdr:colOff>
                    <xdr:row>7</xdr:row>
                    <xdr:rowOff>9525</xdr:rowOff>
                  </from>
                  <to>
                    <xdr:col>11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11" r:id="rId10" name="Check Box 7">
              <controlPr defaultSize="0" autoFill="0" autoLine="0" autoPict="0">
                <anchor moveWithCells="1">
                  <from>
                    <xdr:col>10</xdr:col>
                    <xdr:colOff>666750</xdr:colOff>
                    <xdr:row>8</xdr:row>
                    <xdr:rowOff>9525</xdr:rowOff>
                  </from>
                  <to>
                    <xdr:col>11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N39"/>
  <sheetViews>
    <sheetView view="pageBreakPreview" zoomScaleNormal="100" zoomScaleSheetLayoutView="100" workbookViewId="0">
      <selection activeCell="B2" sqref="B2:B3"/>
    </sheetView>
  </sheetViews>
  <sheetFormatPr baseColWidth="10" defaultRowHeight="18.75" x14ac:dyDescent="0.45"/>
  <cols>
    <col min="1" max="1" width="3.28515625" style="23" customWidth="1"/>
    <col min="2" max="2" width="18.28515625" style="23" customWidth="1"/>
    <col min="3" max="3" width="7.28515625" style="23" customWidth="1"/>
    <col min="4" max="4" width="6.140625" style="23" customWidth="1"/>
    <col min="5" max="5" width="7.7109375" style="23" customWidth="1"/>
    <col min="6" max="6" width="4.28515625" style="23" customWidth="1"/>
    <col min="7" max="7" width="5.140625" style="23" customWidth="1"/>
    <col min="8" max="8" width="4.5703125" style="23" customWidth="1"/>
    <col min="9" max="9" width="4.28515625" style="23" customWidth="1"/>
    <col min="10" max="10" width="7" style="23" customWidth="1"/>
    <col min="11" max="11" width="12.7109375" style="23" customWidth="1"/>
    <col min="12" max="12" width="14.7109375" style="23" customWidth="1"/>
    <col min="13" max="13" width="13.28515625" style="23" customWidth="1"/>
    <col min="14" max="14" width="3.28515625" style="23" customWidth="1"/>
    <col min="15" max="16384" width="11.42578125" style="23"/>
  </cols>
  <sheetData>
    <row r="1" spans="2:23" ht="20.100000000000001" customHeight="1" x14ac:dyDescent="0.45"/>
    <row r="2" spans="2:23" ht="27.75" customHeight="1" x14ac:dyDescent="0.45">
      <c r="B2" s="140"/>
      <c r="C2" s="141" t="s">
        <v>409</v>
      </c>
      <c r="D2" s="142"/>
      <c r="E2" s="142"/>
      <c r="F2" s="142"/>
      <c r="G2" s="142"/>
      <c r="H2" s="142"/>
      <c r="I2" s="142"/>
      <c r="J2" s="142"/>
      <c r="K2" s="142"/>
      <c r="L2" s="144" t="s">
        <v>130</v>
      </c>
      <c r="M2" s="146"/>
    </row>
    <row r="3" spans="2:23" ht="27.75" customHeight="1" x14ac:dyDescent="0.45">
      <c r="B3" s="147"/>
      <c r="C3" s="148"/>
      <c r="D3" s="149"/>
      <c r="E3" s="149"/>
      <c r="F3" s="149"/>
      <c r="G3" s="149"/>
      <c r="H3" s="149"/>
      <c r="I3" s="149"/>
      <c r="J3" s="149"/>
      <c r="K3" s="149"/>
      <c r="L3" s="151"/>
      <c r="M3" s="153"/>
    </row>
    <row r="4" spans="2:23" x14ac:dyDescent="0.45">
      <c r="B4" s="154" t="s">
        <v>201</v>
      </c>
      <c r="C4" s="155">
        <f>DATOS!AE7</f>
        <v>0</v>
      </c>
      <c r="D4" s="155"/>
      <c r="E4" s="155"/>
      <c r="F4" s="156"/>
      <c r="G4" s="156"/>
      <c r="H4" s="156"/>
      <c r="I4" s="156"/>
      <c r="J4" s="156"/>
      <c r="K4" s="157"/>
      <c r="L4" s="158" t="s">
        <v>57</v>
      </c>
      <c r="M4" s="159" t="str">
        <f>TERMOGRAFIA!M4</f>
        <v>4/2/2021</v>
      </c>
    </row>
    <row r="5" spans="2:23" x14ac:dyDescent="0.45">
      <c r="B5" s="160" t="s">
        <v>194</v>
      </c>
      <c r="C5" s="161" t="s">
        <v>318</v>
      </c>
      <c r="D5" s="105"/>
      <c r="E5" s="105"/>
      <c r="F5" s="162"/>
      <c r="G5" s="162"/>
      <c r="H5" s="162"/>
      <c r="I5" s="162"/>
      <c r="J5" s="162"/>
      <c r="K5" s="162"/>
      <c r="L5" s="162"/>
      <c r="M5" s="163"/>
      <c r="N5" s="38"/>
      <c r="O5" s="360"/>
      <c r="P5" s="360"/>
      <c r="Q5" s="360"/>
    </row>
    <row r="6" spans="2:23" x14ac:dyDescent="0.45">
      <c r="B6" s="164" t="s">
        <v>131</v>
      </c>
      <c r="C6" s="165" t="s">
        <v>138</v>
      </c>
      <c r="D6" s="165"/>
      <c r="E6" s="165"/>
      <c r="F6" s="165"/>
      <c r="G6" s="165"/>
      <c r="H6" s="165"/>
      <c r="I6" s="165"/>
      <c r="J6" s="166"/>
      <c r="K6" s="167"/>
      <c r="L6" s="166"/>
      <c r="M6" s="375"/>
      <c r="Q6" s="105"/>
      <c r="R6" s="105"/>
      <c r="S6" s="105"/>
      <c r="T6" s="105"/>
      <c r="U6" s="105"/>
    </row>
    <row r="7" spans="2:23" ht="15" customHeight="1" x14ac:dyDescent="0.45">
      <c r="B7" s="169" t="s">
        <v>132</v>
      </c>
      <c r="C7" s="156"/>
      <c r="D7" s="170"/>
      <c r="E7" s="171" t="s">
        <v>133</v>
      </c>
      <c r="F7" s="170"/>
      <c r="G7" s="170"/>
      <c r="H7" s="171"/>
      <c r="I7" s="171"/>
      <c r="J7" s="171"/>
      <c r="K7" s="171"/>
      <c r="L7" s="172" t="s">
        <v>141</v>
      </c>
      <c r="M7" s="172"/>
      <c r="Q7" s="105"/>
      <c r="R7" s="105"/>
      <c r="S7" s="105"/>
      <c r="T7" s="105"/>
      <c r="U7" s="105"/>
    </row>
    <row r="8" spans="2:23" ht="15" customHeight="1" x14ac:dyDescent="0.45">
      <c r="B8" s="173"/>
      <c r="C8" s="106"/>
      <c r="D8" s="106"/>
      <c r="E8" s="105" t="s">
        <v>134</v>
      </c>
      <c r="F8" s="106"/>
      <c r="G8" s="106"/>
      <c r="H8" s="105"/>
      <c r="I8" s="105"/>
      <c r="J8" s="105"/>
      <c r="K8" s="105"/>
      <c r="L8" s="105" t="s">
        <v>142</v>
      </c>
      <c r="M8" s="174"/>
      <c r="Q8" s="105"/>
      <c r="R8" s="105"/>
      <c r="S8" s="105"/>
      <c r="T8" s="105"/>
      <c r="U8" s="105"/>
    </row>
    <row r="9" spans="2:23" ht="15" customHeight="1" x14ac:dyDescent="0.45">
      <c r="B9" s="175"/>
      <c r="C9" s="105"/>
      <c r="D9" s="105"/>
      <c r="E9" s="105" t="s">
        <v>143</v>
      </c>
      <c r="F9" s="105"/>
      <c r="G9" s="105"/>
      <c r="H9" s="105"/>
      <c r="I9" s="105"/>
      <c r="J9" s="105"/>
      <c r="K9" s="105"/>
      <c r="L9" s="105" t="s">
        <v>144</v>
      </c>
      <c r="M9" s="174"/>
      <c r="Q9" s="105"/>
      <c r="R9" s="105"/>
      <c r="S9" s="105"/>
      <c r="T9" s="105"/>
      <c r="U9" s="105"/>
    </row>
    <row r="10" spans="2:23" ht="15" customHeight="1" x14ac:dyDescent="0.45">
      <c r="B10" s="176"/>
      <c r="C10" s="177"/>
      <c r="D10" s="177"/>
      <c r="E10" s="177" t="s">
        <v>145</v>
      </c>
      <c r="F10" s="177"/>
      <c r="G10" s="177"/>
      <c r="H10" s="177"/>
      <c r="I10" s="177"/>
      <c r="J10" s="177"/>
      <c r="K10" s="177"/>
      <c r="L10" s="177"/>
      <c r="M10" s="178"/>
      <c r="Q10" s="105"/>
      <c r="R10" s="105"/>
      <c r="S10" s="105"/>
      <c r="T10" s="105"/>
      <c r="U10" s="105"/>
    </row>
    <row r="11" spans="2:23" ht="15" customHeight="1" x14ac:dyDescent="0.45"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Q11" s="105"/>
      <c r="R11" s="105"/>
      <c r="S11" s="105"/>
      <c r="T11" s="105"/>
      <c r="U11" s="105"/>
    </row>
    <row r="12" spans="2:23" ht="15" customHeight="1" x14ac:dyDescent="0.45">
      <c r="B12" s="105"/>
      <c r="C12" s="179" t="s">
        <v>394</v>
      </c>
      <c r="D12" s="180"/>
      <c r="E12" s="180"/>
      <c r="F12" s="180"/>
      <c r="G12" s="180"/>
      <c r="H12" s="180"/>
      <c r="I12" s="180"/>
      <c r="J12" s="180"/>
      <c r="K12" s="180"/>
      <c r="L12" s="181"/>
      <c r="M12" s="105"/>
      <c r="Q12" s="105"/>
      <c r="R12" s="105"/>
      <c r="S12" s="105"/>
      <c r="T12" s="105"/>
      <c r="U12" s="105"/>
    </row>
    <row r="13" spans="2:23" ht="15" customHeight="1" x14ac:dyDescent="0.45">
      <c r="B13" s="284"/>
      <c r="C13" s="345"/>
      <c r="D13" s="346"/>
      <c r="E13" s="346"/>
      <c r="F13" s="346"/>
      <c r="G13" s="346"/>
      <c r="H13" s="346"/>
      <c r="I13" s="346"/>
      <c r="J13" s="346"/>
      <c r="K13" s="346"/>
      <c r="L13" s="347"/>
      <c r="M13" s="284"/>
    </row>
    <row r="14" spans="2:23" ht="15" customHeight="1" x14ac:dyDescent="0.45">
      <c r="B14" s="106"/>
      <c r="C14" s="348"/>
      <c r="D14" s="349"/>
      <c r="E14" s="349"/>
      <c r="F14" s="349"/>
      <c r="G14" s="349"/>
      <c r="H14" s="349"/>
      <c r="I14" s="349"/>
      <c r="J14" s="349"/>
      <c r="K14" s="349"/>
      <c r="L14" s="350"/>
      <c r="M14" s="106"/>
      <c r="Q14" s="371" t="s">
        <v>313</v>
      </c>
      <c r="R14" s="371"/>
      <c r="S14" s="371"/>
      <c r="T14" s="371"/>
      <c r="U14" s="371"/>
      <c r="V14" s="371"/>
      <c r="W14" s="371"/>
    </row>
    <row r="15" spans="2:23" ht="13.5" customHeight="1" x14ac:dyDescent="0.45">
      <c r="B15" s="106"/>
      <c r="C15" s="348"/>
      <c r="D15" s="349"/>
      <c r="E15" s="349"/>
      <c r="F15" s="349"/>
      <c r="G15" s="349"/>
      <c r="H15" s="349"/>
      <c r="I15" s="349"/>
      <c r="J15" s="349"/>
      <c r="K15" s="349"/>
      <c r="L15" s="350"/>
      <c r="M15" s="106"/>
      <c r="Q15" s="229"/>
      <c r="R15" s="229"/>
      <c r="S15" s="229"/>
      <c r="T15" s="229"/>
      <c r="U15" s="229"/>
      <c r="V15" s="229"/>
      <c r="W15" s="229"/>
    </row>
    <row r="16" spans="2:23" ht="13.5" customHeight="1" x14ac:dyDescent="0.45">
      <c r="B16" s="106"/>
      <c r="C16" s="348"/>
      <c r="D16" s="349"/>
      <c r="E16" s="349"/>
      <c r="F16" s="349"/>
      <c r="G16" s="349"/>
      <c r="H16" s="349"/>
      <c r="I16" s="349"/>
      <c r="J16" s="349"/>
      <c r="K16" s="349"/>
      <c r="L16" s="350"/>
      <c r="M16" s="106"/>
      <c r="Q16" s="229"/>
      <c r="R16" s="229"/>
      <c r="S16" s="229"/>
      <c r="T16" s="229"/>
      <c r="U16" s="229"/>
      <c r="V16" s="229"/>
      <c r="W16" s="229"/>
    </row>
    <row r="17" spans="2:31" ht="13.5" customHeight="1" x14ac:dyDescent="0.45">
      <c r="B17" s="106"/>
      <c r="C17" s="348"/>
      <c r="D17" s="349"/>
      <c r="E17" s="349"/>
      <c r="F17" s="349"/>
      <c r="G17" s="349"/>
      <c r="H17" s="349"/>
      <c r="I17" s="349"/>
      <c r="J17" s="349"/>
      <c r="K17" s="349"/>
      <c r="L17" s="350"/>
      <c r="M17" s="106"/>
      <c r="Q17" s="229"/>
      <c r="R17" s="229"/>
      <c r="S17" s="229"/>
      <c r="T17" s="229"/>
      <c r="U17" s="229"/>
      <c r="V17" s="229"/>
      <c r="W17" s="229"/>
    </row>
    <row r="18" spans="2:31" ht="13.5" customHeight="1" x14ac:dyDescent="0.45">
      <c r="B18" s="106"/>
      <c r="C18" s="348"/>
      <c r="D18" s="349"/>
      <c r="E18" s="349"/>
      <c r="F18" s="349"/>
      <c r="G18" s="349"/>
      <c r="H18" s="349"/>
      <c r="I18" s="349"/>
      <c r="J18" s="349"/>
      <c r="K18" s="349"/>
      <c r="L18" s="350"/>
      <c r="M18" s="106"/>
      <c r="Q18" s="229"/>
      <c r="R18" s="229"/>
      <c r="S18" s="229"/>
      <c r="T18" s="229"/>
      <c r="U18" s="229"/>
      <c r="V18" s="229"/>
      <c r="W18" s="229"/>
    </row>
    <row r="19" spans="2:31" ht="13.5" customHeight="1" x14ac:dyDescent="0.45">
      <c r="B19" s="106"/>
      <c r="C19" s="348"/>
      <c r="D19" s="349"/>
      <c r="E19" s="349"/>
      <c r="F19" s="349"/>
      <c r="G19" s="349"/>
      <c r="H19" s="349"/>
      <c r="I19" s="349"/>
      <c r="J19" s="349"/>
      <c r="K19" s="349"/>
      <c r="L19" s="350"/>
      <c r="M19" s="106"/>
      <c r="Q19" s="229"/>
      <c r="R19" s="229"/>
      <c r="S19" s="229"/>
      <c r="T19" s="229"/>
      <c r="U19" s="229"/>
      <c r="V19" s="229"/>
      <c r="W19" s="229"/>
    </row>
    <row r="20" spans="2:31" ht="13.5" customHeight="1" x14ac:dyDescent="0.45">
      <c r="B20" s="106"/>
      <c r="C20" s="348"/>
      <c r="D20" s="349"/>
      <c r="E20" s="349"/>
      <c r="F20" s="349"/>
      <c r="G20" s="349"/>
      <c r="H20" s="349"/>
      <c r="I20" s="349"/>
      <c r="J20" s="349"/>
      <c r="K20" s="349"/>
      <c r="L20" s="350"/>
      <c r="M20" s="106"/>
      <c r="Q20" s="229"/>
      <c r="R20" s="229"/>
      <c r="S20" s="229"/>
      <c r="T20" s="229"/>
      <c r="U20" s="229"/>
      <c r="V20" s="229"/>
      <c r="W20" s="229"/>
    </row>
    <row r="21" spans="2:31" ht="13.5" customHeight="1" x14ac:dyDescent="0.45">
      <c r="B21" s="106"/>
      <c r="C21" s="348"/>
      <c r="D21" s="349"/>
      <c r="E21" s="349"/>
      <c r="F21" s="349"/>
      <c r="G21" s="349"/>
      <c r="H21" s="349"/>
      <c r="I21" s="349"/>
      <c r="J21" s="349"/>
      <c r="K21" s="349"/>
      <c r="L21" s="350"/>
      <c r="M21" s="106"/>
      <c r="Q21" s="229"/>
      <c r="R21" s="229"/>
      <c r="S21" s="229"/>
      <c r="T21" s="229"/>
      <c r="U21" s="229"/>
      <c r="V21" s="229"/>
      <c r="W21" s="229"/>
    </row>
    <row r="22" spans="2:31" ht="13.5" customHeight="1" x14ac:dyDescent="0.45">
      <c r="B22" s="106"/>
      <c r="C22" s="348"/>
      <c r="D22" s="349"/>
      <c r="E22" s="349"/>
      <c r="F22" s="349"/>
      <c r="G22" s="349"/>
      <c r="H22" s="349"/>
      <c r="I22" s="349"/>
      <c r="J22" s="349"/>
      <c r="K22" s="349"/>
      <c r="L22" s="350"/>
      <c r="M22" s="106"/>
      <c r="Q22" s="229"/>
      <c r="R22" s="229"/>
      <c r="S22" s="229"/>
      <c r="T22" s="229"/>
      <c r="U22" s="229"/>
      <c r="V22" s="229"/>
      <c r="W22" s="229"/>
    </row>
    <row r="23" spans="2:31" ht="13.5" customHeight="1" x14ac:dyDescent="0.45">
      <c r="B23" s="106"/>
      <c r="C23" s="348"/>
      <c r="D23" s="349"/>
      <c r="E23" s="349"/>
      <c r="F23" s="349"/>
      <c r="G23" s="349"/>
      <c r="H23" s="349"/>
      <c r="I23" s="349"/>
      <c r="J23" s="349"/>
      <c r="K23" s="349"/>
      <c r="L23" s="350"/>
      <c r="M23" s="106"/>
      <c r="Q23" s="229"/>
      <c r="R23" s="229"/>
      <c r="S23" s="229"/>
      <c r="T23" s="229"/>
      <c r="U23" s="229"/>
      <c r="V23" s="229"/>
      <c r="W23" s="229"/>
    </row>
    <row r="24" spans="2:31" ht="13.5" customHeight="1" x14ac:dyDescent="0.45">
      <c r="B24" s="106"/>
      <c r="C24" s="348"/>
      <c r="D24" s="349"/>
      <c r="E24" s="349"/>
      <c r="F24" s="349"/>
      <c r="G24" s="349"/>
      <c r="H24" s="349"/>
      <c r="I24" s="349"/>
      <c r="J24" s="349"/>
      <c r="K24" s="349"/>
      <c r="L24" s="350"/>
      <c r="M24" s="106"/>
      <c r="Q24" s="229"/>
      <c r="R24" s="229"/>
      <c r="S24" s="229"/>
      <c r="T24" s="229"/>
      <c r="U24" s="229"/>
      <c r="V24" s="229"/>
      <c r="W24" s="229"/>
    </row>
    <row r="25" spans="2:31" ht="13.5" customHeight="1" x14ac:dyDescent="0.45">
      <c r="B25" s="106"/>
      <c r="C25" s="348"/>
      <c r="D25" s="349"/>
      <c r="E25" s="349"/>
      <c r="F25" s="349"/>
      <c r="G25" s="349"/>
      <c r="H25" s="349"/>
      <c r="I25" s="349"/>
      <c r="J25" s="349"/>
      <c r="K25" s="349"/>
      <c r="L25" s="350"/>
      <c r="M25" s="106"/>
      <c r="Q25" s="229"/>
      <c r="R25" s="229"/>
      <c r="S25" s="229"/>
      <c r="T25" s="229"/>
      <c r="U25" s="229"/>
      <c r="V25" s="229"/>
      <c r="W25" s="229"/>
    </row>
    <row r="26" spans="2:31" ht="13.5" customHeight="1" x14ac:dyDescent="0.45">
      <c r="B26" s="106"/>
      <c r="C26" s="348"/>
      <c r="D26" s="349"/>
      <c r="E26" s="349"/>
      <c r="F26" s="349"/>
      <c r="G26" s="349"/>
      <c r="H26" s="349"/>
      <c r="I26" s="349"/>
      <c r="J26" s="349"/>
      <c r="K26" s="349"/>
      <c r="L26" s="350"/>
      <c r="M26" s="106"/>
      <c r="Q26" s="229"/>
      <c r="R26" s="229"/>
      <c r="S26" s="229"/>
      <c r="T26" s="229"/>
      <c r="U26" s="229"/>
      <c r="V26" s="229"/>
      <c r="W26" s="229"/>
    </row>
    <row r="27" spans="2:31" ht="13.5" customHeight="1" x14ac:dyDescent="0.45">
      <c r="B27" s="106"/>
      <c r="C27" s="353"/>
      <c r="D27" s="354"/>
      <c r="E27" s="354"/>
      <c r="F27" s="354"/>
      <c r="G27" s="354"/>
      <c r="H27" s="354"/>
      <c r="I27" s="354"/>
      <c r="J27" s="354"/>
      <c r="K27" s="354"/>
      <c r="L27" s="355"/>
      <c r="M27" s="106"/>
      <c r="Q27" s="229"/>
      <c r="R27" s="229"/>
      <c r="S27" s="229"/>
      <c r="T27" s="229"/>
      <c r="U27" s="229"/>
      <c r="V27" s="229"/>
      <c r="W27" s="229"/>
    </row>
    <row r="28" spans="2:31" ht="13.5" customHeight="1" x14ac:dyDescent="0.45"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Q28" s="229"/>
      <c r="R28" s="229"/>
      <c r="S28" s="229"/>
      <c r="T28" s="229"/>
      <c r="U28" s="229"/>
      <c r="V28" s="229"/>
      <c r="W28" s="229"/>
    </row>
    <row r="29" spans="2:31" ht="13.5" customHeight="1" x14ac:dyDescent="0.45"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Q29" s="229"/>
      <c r="R29" s="229"/>
      <c r="S29" s="229"/>
      <c r="T29" s="229"/>
      <c r="U29" s="229"/>
      <c r="V29" s="229"/>
      <c r="W29" s="229"/>
    </row>
    <row r="30" spans="2:31" ht="15" customHeight="1" x14ac:dyDescent="0.45">
      <c r="B30" s="245"/>
      <c r="C30" s="245"/>
      <c r="D30" s="245"/>
      <c r="E30" s="245"/>
      <c r="F30" s="245"/>
      <c r="G30" s="245"/>
      <c r="H30" s="245"/>
      <c r="I30" s="245"/>
      <c r="J30" s="245"/>
      <c r="K30" s="245"/>
      <c r="L30" s="245"/>
      <c r="M30" s="245"/>
      <c r="T30" s="19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</row>
    <row r="31" spans="2:31" ht="15" customHeight="1" x14ac:dyDescent="0.45">
      <c r="B31" s="246" t="s">
        <v>428</v>
      </c>
      <c r="C31" s="246"/>
      <c r="D31" s="248"/>
      <c r="E31" s="248"/>
      <c r="F31" s="234" t="s">
        <v>422</v>
      </c>
      <c r="G31" s="234"/>
      <c r="H31" s="234"/>
      <c r="I31" s="234"/>
      <c r="J31" s="234"/>
      <c r="K31" s="248"/>
      <c r="L31" s="246" t="s">
        <v>427</v>
      </c>
      <c r="M31" s="246"/>
    </row>
    <row r="32" spans="2:31" ht="15" customHeight="1" x14ac:dyDescent="0.45">
      <c r="B32" s="247" t="s">
        <v>56</v>
      </c>
      <c r="C32" s="247"/>
      <c r="D32" s="250"/>
      <c r="E32" s="250"/>
      <c r="F32" s="247" t="s">
        <v>395</v>
      </c>
      <c r="G32" s="247"/>
      <c r="H32" s="247"/>
      <c r="I32" s="247"/>
      <c r="J32" s="247"/>
      <c r="K32" s="250"/>
      <c r="L32" s="247" t="s">
        <v>123</v>
      </c>
      <c r="M32" s="247"/>
    </row>
    <row r="33" spans="2:40" ht="15" customHeight="1" x14ac:dyDescent="0.45">
      <c r="B33" s="245"/>
      <c r="C33" s="249"/>
      <c r="D33" s="249"/>
      <c r="E33" s="249"/>
      <c r="F33" s="249"/>
      <c r="G33" s="245"/>
      <c r="H33" s="245"/>
      <c r="I33" s="249"/>
      <c r="J33" s="249"/>
      <c r="K33" s="249"/>
      <c r="L33" s="245"/>
      <c r="M33" s="245"/>
    </row>
    <row r="34" spans="2:40" x14ac:dyDescent="0.45">
      <c r="B34" s="250"/>
      <c r="C34" s="106"/>
      <c r="D34" s="106"/>
      <c r="E34" s="106"/>
      <c r="F34" s="105"/>
      <c r="G34" s="105"/>
      <c r="H34" s="105"/>
      <c r="I34" s="105"/>
      <c r="J34" s="105"/>
      <c r="K34" s="105"/>
      <c r="L34" s="105"/>
      <c r="M34" s="105"/>
    </row>
    <row r="35" spans="2:40" ht="15.75" customHeight="1" x14ac:dyDescent="0.45">
      <c r="B35" s="251" t="s">
        <v>410</v>
      </c>
      <c r="C35" s="251"/>
      <c r="D35" s="105"/>
      <c r="E35" s="105"/>
      <c r="F35" s="190"/>
      <c r="G35" s="190"/>
      <c r="H35" s="190"/>
      <c r="I35" s="190"/>
      <c r="J35" s="252"/>
      <c r="K35" s="252"/>
      <c r="L35" s="105"/>
      <c r="M35" s="23" t="s">
        <v>419</v>
      </c>
    </row>
    <row r="36" spans="2:40" ht="20.100000000000001" customHeight="1" x14ac:dyDescent="0.45"/>
    <row r="37" spans="2:40" x14ac:dyDescent="0.45">
      <c r="Q37" s="250"/>
      <c r="R37" s="250"/>
      <c r="S37" s="250"/>
      <c r="T37" s="250"/>
      <c r="U37" s="250"/>
      <c r="V37" s="250"/>
      <c r="W37" s="250"/>
      <c r="X37" s="250"/>
      <c r="Y37" s="250"/>
      <c r="Z37" s="250"/>
      <c r="AA37" s="250"/>
      <c r="AB37" s="250"/>
      <c r="AC37" s="250"/>
      <c r="AD37" s="250"/>
      <c r="AN37" s="254"/>
    </row>
    <row r="38" spans="2:40" x14ac:dyDescent="0.45">
      <c r="Q38" s="250"/>
      <c r="R38" s="250"/>
      <c r="S38" s="250"/>
      <c r="T38" s="250"/>
      <c r="U38" s="250"/>
      <c r="V38" s="250"/>
      <c r="W38" s="250"/>
      <c r="X38" s="250"/>
      <c r="Y38" s="250"/>
      <c r="Z38" s="250"/>
      <c r="AA38" s="250"/>
      <c r="AB38" s="250"/>
      <c r="AC38" s="250"/>
      <c r="AD38" s="250"/>
    </row>
    <row r="39" spans="2:40" x14ac:dyDescent="0.45">
      <c r="Q39" s="250"/>
      <c r="R39" s="250"/>
      <c r="S39" s="250"/>
      <c r="T39" s="250"/>
      <c r="U39" s="250"/>
      <c r="V39" s="250"/>
      <c r="W39" s="250"/>
      <c r="X39" s="250"/>
      <c r="Y39" s="250"/>
      <c r="Z39" s="250"/>
      <c r="AA39" s="250"/>
      <c r="AB39" s="248"/>
      <c r="AC39" s="248"/>
      <c r="AD39" s="248"/>
    </row>
  </sheetData>
  <mergeCells count="18">
    <mergeCell ref="B2:B3"/>
    <mergeCell ref="C2:K3"/>
    <mergeCell ref="L2:M3"/>
    <mergeCell ref="C4:E4"/>
    <mergeCell ref="F4:J4"/>
    <mergeCell ref="C6:I6"/>
    <mergeCell ref="B7:C7"/>
    <mergeCell ref="C12:L12"/>
    <mergeCell ref="C13:L27"/>
    <mergeCell ref="B31:C31"/>
    <mergeCell ref="F31:J31"/>
    <mergeCell ref="L31:M31"/>
    <mergeCell ref="B32:C32"/>
    <mergeCell ref="F32:J32"/>
    <mergeCell ref="L32:M32"/>
    <mergeCell ref="B35:C35"/>
    <mergeCell ref="F35:I35"/>
    <mergeCell ref="J35:K35"/>
  </mergeCells>
  <pageMargins left="0.7" right="0.7" top="0.75" bottom="0.75" header="0.3" footer="0.3"/>
  <pageSetup paperSize="9" scale="79" orientation="portrait" r:id="rId1"/>
  <colBreaks count="1" manualBreakCount="1">
    <brk id="14" max="52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9377" r:id="rId4" name="Check Box 1">
              <controlPr defaultSize="0" autoFill="0" autoLine="0" autoPict="0">
                <anchor moveWithCells="1">
                  <from>
                    <xdr:col>3</xdr:col>
                    <xdr:colOff>219075</xdr:colOff>
                    <xdr:row>6</xdr:row>
                    <xdr:rowOff>19050</xdr:rowOff>
                  </from>
                  <to>
                    <xdr:col>4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378" r:id="rId5" name="Check Box 2">
              <controlPr defaultSize="0" autoFill="0" autoLine="0" autoPict="0">
                <anchor moveWithCells="1">
                  <from>
                    <xdr:col>3</xdr:col>
                    <xdr:colOff>219075</xdr:colOff>
                    <xdr:row>7</xdr:row>
                    <xdr:rowOff>19050</xdr:rowOff>
                  </from>
                  <to>
                    <xdr:col>4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379" r:id="rId6" name="Check Box 3">
              <controlPr defaultSize="0" autoFill="0" autoLine="0" autoPict="0">
                <anchor moveWithCells="1">
                  <from>
                    <xdr:col>3</xdr:col>
                    <xdr:colOff>219075</xdr:colOff>
                    <xdr:row>8</xdr:row>
                    <xdr:rowOff>19050</xdr:rowOff>
                  </from>
                  <to>
                    <xdr:col>4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380" r:id="rId7" name="Check Box 4">
              <controlPr defaultSize="0" autoFill="0" autoLine="0" autoPict="0">
                <anchor moveWithCells="1">
                  <from>
                    <xdr:col>3</xdr:col>
                    <xdr:colOff>219075</xdr:colOff>
                    <xdr:row>9</xdr:row>
                    <xdr:rowOff>19050</xdr:rowOff>
                  </from>
                  <to>
                    <xdr:col>4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381" r:id="rId8" name="Check Box 5">
              <controlPr defaultSize="0" autoFill="0" autoLine="0" autoPict="0">
                <anchor moveWithCells="1">
                  <from>
                    <xdr:col>10</xdr:col>
                    <xdr:colOff>590550</xdr:colOff>
                    <xdr:row>5</xdr:row>
                    <xdr:rowOff>161925</xdr:rowOff>
                  </from>
                  <to>
                    <xdr:col>11</xdr:col>
                    <xdr:colOff>19050</xdr:colOff>
                    <xdr:row>6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382" r:id="rId9" name="Check Box 6">
              <controlPr defaultSize="0" autoFill="0" autoLine="0" autoPict="0">
                <anchor moveWithCells="1">
                  <from>
                    <xdr:col>10</xdr:col>
                    <xdr:colOff>590550</xdr:colOff>
                    <xdr:row>6</xdr:row>
                    <xdr:rowOff>180975</xdr:rowOff>
                  </from>
                  <to>
                    <xdr:col>11</xdr:col>
                    <xdr:colOff>19050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383" r:id="rId10" name="Check Box 7">
              <controlPr defaultSize="0" autoFill="0" autoLine="0" autoPict="0">
                <anchor moveWithCells="1">
                  <from>
                    <xdr:col>10</xdr:col>
                    <xdr:colOff>590550</xdr:colOff>
                    <xdr:row>7</xdr:row>
                    <xdr:rowOff>180975</xdr:rowOff>
                  </from>
                  <to>
                    <xdr:col>11</xdr:col>
                    <xdr:colOff>19050</xdr:colOff>
                    <xdr:row>9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2"/>
  <dimension ref="A1:AB121"/>
  <sheetViews>
    <sheetView tabSelected="1" zoomScaleNormal="100" workbookViewId="0">
      <selection activeCell="F14" sqref="F14"/>
    </sheetView>
  </sheetViews>
  <sheetFormatPr baseColWidth="10" defaultRowHeight="18.75" x14ac:dyDescent="0.45"/>
  <cols>
    <col min="1" max="1" width="7.85546875" style="389" customWidth="1"/>
    <col min="2" max="2" width="52.140625" style="23" customWidth="1"/>
    <col min="3" max="3" width="47.140625" style="23" bestFit="1" customWidth="1"/>
    <col min="4" max="16384" width="11.42578125" style="23"/>
  </cols>
  <sheetData>
    <row r="1" spans="1:3" x14ac:dyDescent="0.45">
      <c r="A1" s="385" t="s">
        <v>58</v>
      </c>
      <c r="B1" s="385"/>
      <c r="C1" s="385"/>
    </row>
    <row r="2" spans="1:3" x14ac:dyDescent="0.45">
      <c r="A2" s="385" t="s">
        <v>59</v>
      </c>
      <c r="B2" s="386" t="s">
        <v>60</v>
      </c>
      <c r="C2" s="386" t="s">
        <v>61</v>
      </c>
    </row>
    <row r="3" spans="1:3" x14ac:dyDescent="0.45">
      <c r="A3" s="297">
        <v>0</v>
      </c>
      <c r="B3" s="387" t="s">
        <v>62</v>
      </c>
      <c r="C3" s="387" t="s">
        <v>62</v>
      </c>
    </row>
    <row r="4" spans="1:3" x14ac:dyDescent="0.45">
      <c r="A4" s="297">
        <v>1</v>
      </c>
      <c r="B4" s="387" t="s">
        <v>244</v>
      </c>
      <c r="C4" s="387" t="s">
        <v>63</v>
      </c>
    </row>
    <row r="5" spans="1:3" x14ac:dyDescent="0.45">
      <c r="A5" s="297">
        <v>2</v>
      </c>
      <c r="B5" s="387" t="s">
        <v>245</v>
      </c>
      <c r="C5" s="387" t="s">
        <v>64</v>
      </c>
    </row>
    <row r="6" spans="1:3" x14ac:dyDescent="0.45">
      <c r="A6" s="297">
        <v>3</v>
      </c>
      <c r="B6" s="387" t="s">
        <v>246</v>
      </c>
      <c r="C6" s="387" t="s">
        <v>65</v>
      </c>
    </row>
    <row r="7" spans="1:3" x14ac:dyDescent="0.45">
      <c r="A7" s="297">
        <v>4</v>
      </c>
      <c r="B7" s="387" t="s">
        <v>247</v>
      </c>
      <c r="C7" s="387" t="s">
        <v>66</v>
      </c>
    </row>
    <row r="8" spans="1:3" x14ac:dyDescent="0.45">
      <c r="A8" s="297">
        <v>5</v>
      </c>
      <c r="B8" s="387" t="s">
        <v>248</v>
      </c>
      <c r="C8" s="387" t="s">
        <v>67</v>
      </c>
    </row>
    <row r="9" spans="1:3" x14ac:dyDescent="0.45">
      <c r="A9" s="297">
        <v>6</v>
      </c>
      <c r="B9" s="387" t="s">
        <v>249</v>
      </c>
      <c r="C9" s="387" t="s">
        <v>68</v>
      </c>
    </row>
    <row r="10" spans="1:3" x14ac:dyDescent="0.45">
      <c r="A10" s="297">
        <v>7</v>
      </c>
      <c r="B10" s="387" t="s">
        <v>250</v>
      </c>
      <c r="C10" s="387" t="s">
        <v>69</v>
      </c>
    </row>
    <row r="11" spans="1:3" x14ac:dyDescent="0.45">
      <c r="A11" s="297">
        <v>8</v>
      </c>
      <c r="B11" s="387" t="s">
        <v>251</v>
      </c>
      <c r="C11" s="387" t="s">
        <v>70</v>
      </c>
    </row>
    <row r="12" spans="1:3" x14ac:dyDescent="0.45">
      <c r="A12" s="297">
        <v>9</v>
      </c>
      <c r="B12" s="387" t="s">
        <v>252</v>
      </c>
      <c r="C12" s="387" t="s">
        <v>71</v>
      </c>
    </row>
    <row r="13" spans="1:3" x14ac:dyDescent="0.45">
      <c r="A13" s="297">
        <v>10</v>
      </c>
      <c r="B13" s="387" t="s">
        <v>253</v>
      </c>
      <c r="C13" s="387" t="s">
        <v>72</v>
      </c>
    </row>
    <row r="14" spans="1:3" x14ac:dyDescent="0.45">
      <c r="A14" s="297">
        <v>11</v>
      </c>
      <c r="B14" s="387" t="s">
        <v>254</v>
      </c>
      <c r="C14" s="387" t="s">
        <v>73</v>
      </c>
    </row>
    <row r="15" spans="1:3" x14ac:dyDescent="0.45">
      <c r="A15" s="297">
        <v>12</v>
      </c>
      <c r="B15" s="387" t="s">
        <v>255</v>
      </c>
      <c r="C15" s="387" t="s">
        <v>74</v>
      </c>
    </row>
    <row r="16" spans="1:3" x14ac:dyDescent="0.45">
      <c r="A16" s="297">
        <v>13</v>
      </c>
      <c r="B16" s="387" t="s">
        <v>256</v>
      </c>
      <c r="C16" s="387" t="s">
        <v>75</v>
      </c>
    </row>
    <row r="17" spans="1:3" x14ac:dyDescent="0.45">
      <c r="A17" s="297">
        <v>14</v>
      </c>
      <c r="B17" s="387" t="s">
        <v>257</v>
      </c>
      <c r="C17" s="387" t="s">
        <v>76</v>
      </c>
    </row>
    <row r="18" spans="1:3" x14ac:dyDescent="0.45">
      <c r="A18" s="297">
        <v>15</v>
      </c>
      <c r="B18" s="387" t="s">
        <v>258</v>
      </c>
      <c r="C18" s="387" t="s">
        <v>77</v>
      </c>
    </row>
    <row r="19" spans="1:3" x14ac:dyDescent="0.45">
      <c r="A19" s="297">
        <v>16</v>
      </c>
      <c r="B19" s="387" t="s">
        <v>259</v>
      </c>
      <c r="C19" s="387" t="s">
        <v>78</v>
      </c>
    </row>
    <row r="20" spans="1:3" x14ac:dyDescent="0.45">
      <c r="A20" s="297">
        <v>17</v>
      </c>
      <c r="B20" s="387" t="s">
        <v>260</v>
      </c>
      <c r="C20" s="387" t="s">
        <v>79</v>
      </c>
    </row>
    <row r="21" spans="1:3" x14ac:dyDescent="0.45">
      <c r="A21" s="297">
        <v>18</v>
      </c>
      <c r="B21" s="387" t="s">
        <v>261</v>
      </c>
      <c r="C21" s="387" t="s">
        <v>80</v>
      </c>
    </row>
    <row r="22" spans="1:3" x14ac:dyDescent="0.45">
      <c r="A22" s="297">
        <v>19</v>
      </c>
      <c r="B22" s="387" t="s">
        <v>262</v>
      </c>
      <c r="C22" s="387" t="s">
        <v>81</v>
      </c>
    </row>
    <row r="23" spans="1:3" x14ac:dyDescent="0.45">
      <c r="A23" s="297">
        <v>20</v>
      </c>
      <c r="B23" s="387" t="s">
        <v>263</v>
      </c>
      <c r="C23" s="387" t="s">
        <v>82</v>
      </c>
    </row>
    <row r="24" spans="1:3" x14ac:dyDescent="0.45">
      <c r="A24" s="297">
        <v>21</v>
      </c>
      <c r="B24" s="387" t="s">
        <v>264</v>
      </c>
      <c r="C24" s="387" t="s">
        <v>83</v>
      </c>
    </row>
    <row r="25" spans="1:3" x14ac:dyDescent="0.45">
      <c r="A25" s="297">
        <v>22</v>
      </c>
      <c r="B25" s="387" t="s">
        <v>265</v>
      </c>
      <c r="C25" s="387" t="s">
        <v>84</v>
      </c>
    </row>
    <row r="26" spans="1:3" x14ac:dyDescent="0.45">
      <c r="A26" s="297">
        <v>23</v>
      </c>
      <c r="B26" s="387" t="s">
        <v>266</v>
      </c>
      <c r="C26" s="387" t="s">
        <v>85</v>
      </c>
    </row>
    <row r="27" spans="1:3" x14ac:dyDescent="0.45">
      <c r="A27" s="297">
        <v>24</v>
      </c>
      <c r="B27" s="387" t="s">
        <v>267</v>
      </c>
      <c r="C27" s="387" t="s">
        <v>86</v>
      </c>
    </row>
    <row r="28" spans="1:3" x14ac:dyDescent="0.45">
      <c r="A28" s="297">
        <v>25</v>
      </c>
      <c r="B28" s="387" t="s">
        <v>268</v>
      </c>
      <c r="C28" s="387" t="s">
        <v>87</v>
      </c>
    </row>
    <row r="29" spans="1:3" x14ac:dyDescent="0.45">
      <c r="A29" s="297">
        <v>26</v>
      </c>
      <c r="B29" s="387" t="s">
        <v>269</v>
      </c>
      <c r="C29" s="387" t="s">
        <v>88</v>
      </c>
    </row>
    <row r="30" spans="1:3" x14ac:dyDescent="0.45">
      <c r="A30" s="297">
        <v>27</v>
      </c>
      <c r="B30" s="387" t="s">
        <v>270</v>
      </c>
      <c r="C30" s="387" t="s">
        <v>89</v>
      </c>
    </row>
    <row r="31" spans="1:3" x14ac:dyDescent="0.45">
      <c r="A31" s="297">
        <v>28</v>
      </c>
      <c r="B31" s="387" t="s">
        <v>271</v>
      </c>
      <c r="C31" s="387" t="s">
        <v>90</v>
      </c>
    </row>
    <row r="32" spans="1:3" x14ac:dyDescent="0.45">
      <c r="A32" s="297">
        <v>29</v>
      </c>
      <c r="B32" s="387" t="s">
        <v>272</v>
      </c>
      <c r="C32" s="387" t="s">
        <v>91</v>
      </c>
    </row>
    <row r="33" spans="1:3" x14ac:dyDescent="0.45">
      <c r="A33" s="297">
        <v>30</v>
      </c>
      <c r="B33" s="387" t="s">
        <v>273</v>
      </c>
      <c r="C33" s="387" t="s">
        <v>92</v>
      </c>
    </row>
    <row r="34" spans="1:3" x14ac:dyDescent="0.45">
      <c r="A34" s="297">
        <v>31</v>
      </c>
      <c r="B34" s="387" t="s">
        <v>274</v>
      </c>
      <c r="C34" s="387" t="s">
        <v>109</v>
      </c>
    </row>
    <row r="35" spans="1:3" x14ac:dyDescent="0.45">
      <c r="A35" s="297">
        <v>32</v>
      </c>
      <c r="B35" s="387" t="s">
        <v>275</v>
      </c>
      <c r="C35" s="387" t="s">
        <v>93</v>
      </c>
    </row>
    <row r="36" spans="1:3" x14ac:dyDescent="0.45">
      <c r="A36" s="297">
        <v>33</v>
      </c>
      <c r="B36" s="387" t="s">
        <v>276</v>
      </c>
      <c r="C36" s="387" t="s">
        <v>94</v>
      </c>
    </row>
    <row r="37" spans="1:3" x14ac:dyDescent="0.45">
      <c r="A37" s="297">
        <v>34</v>
      </c>
      <c r="B37" s="387" t="s">
        <v>277</v>
      </c>
      <c r="C37" s="387" t="s">
        <v>95</v>
      </c>
    </row>
    <row r="38" spans="1:3" x14ac:dyDescent="0.45">
      <c r="A38" s="297">
        <v>35</v>
      </c>
      <c r="B38" s="387" t="s">
        <v>278</v>
      </c>
      <c r="C38" s="387" t="s">
        <v>96</v>
      </c>
    </row>
    <row r="39" spans="1:3" x14ac:dyDescent="0.45">
      <c r="A39" s="297">
        <v>36</v>
      </c>
      <c r="B39" s="387" t="s">
        <v>279</v>
      </c>
      <c r="C39" s="387" t="s">
        <v>97</v>
      </c>
    </row>
    <row r="40" spans="1:3" x14ac:dyDescent="0.45">
      <c r="A40" s="297">
        <v>37</v>
      </c>
      <c r="B40" s="387" t="s">
        <v>280</v>
      </c>
      <c r="C40" s="387" t="s">
        <v>98</v>
      </c>
    </row>
    <row r="41" spans="1:3" x14ac:dyDescent="0.45">
      <c r="A41" s="297">
        <v>38</v>
      </c>
      <c r="B41" s="387" t="s">
        <v>281</v>
      </c>
      <c r="C41" s="387" t="s">
        <v>99</v>
      </c>
    </row>
    <row r="42" spans="1:3" x14ac:dyDescent="0.45">
      <c r="A42" s="297">
        <v>39</v>
      </c>
      <c r="B42" s="387" t="s">
        <v>282</v>
      </c>
      <c r="C42" s="387" t="s">
        <v>100</v>
      </c>
    </row>
    <row r="43" spans="1:3" x14ac:dyDescent="0.45">
      <c r="A43" s="297">
        <v>40</v>
      </c>
      <c r="B43" s="387" t="s">
        <v>283</v>
      </c>
      <c r="C43" s="387" t="s">
        <v>101</v>
      </c>
    </row>
    <row r="44" spans="1:3" x14ac:dyDescent="0.45">
      <c r="A44" s="297">
        <v>41</v>
      </c>
      <c r="B44" s="387" t="s">
        <v>284</v>
      </c>
      <c r="C44" s="387" t="s">
        <v>102</v>
      </c>
    </row>
    <row r="45" spans="1:3" x14ac:dyDescent="0.45">
      <c r="A45" s="297">
        <v>42</v>
      </c>
      <c r="B45" s="387" t="s">
        <v>285</v>
      </c>
      <c r="C45" s="387" t="s">
        <v>103</v>
      </c>
    </row>
    <row r="46" spans="1:3" x14ac:dyDescent="0.45">
      <c r="A46" s="297">
        <v>43</v>
      </c>
      <c r="B46" s="387" t="s">
        <v>286</v>
      </c>
      <c r="C46" s="387" t="s">
        <v>104</v>
      </c>
    </row>
    <row r="47" spans="1:3" x14ac:dyDescent="0.45">
      <c r="A47" s="297">
        <v>44</v>
      </c>
      <c r="B47" s="387" t="s">
        <v>287</v>
      </c>
      <c r="C47" s="387" t="s">
        <v>105</v>
      </c>
    </row>
    <row r="48" spans="1:3" x14ac:dyDescent="0.45">
      <c r="A48" s="297">
        <v>45</v>
      </c>
      <c r="B48" s="387" t="s">
        <v>288</v>
      </c>
      <c r="C48" s="387" t="s">
        <v>106</v>
      </c>
    </row>
    <row r="49" spans="1:28" x14ac:dyDescent="0.45">
      <c r="A49" s="297">
        <v>46</v>
      </c>
      <c r="B49" s="387" t="s">
        <v>289</v>
      </c>
      <c r="C49" s="387" t="s">
        <v>107</v>
      </c>
    </row>
    <row r="50" spans="1:28" x14ac:dyDescent="0.45">
      <c r="A50" s="297">
        <v>47</v>
      </c>
      <c r="B50" s="387" t="s">
        <v>290</v>
      </c>
      <c r="C50" s="387" t="s">
        <v>108</v>
      </c>
    </row>
    <row r="51" spans="1:28" x14ac:dyDescent="0.45">
      <c r="A51" s="297">
        <v>48</v>
      </c>
      <c r="B51" s="387" t="s">
        <v>274</v>
      </c>
      <c r="C51" s="387" t="s">
        <v>109</v>
      </c>
    </row>
    <row r="52" spans="1:28" x14ac:dyDescent="0.45">
      <c r="A52" s="297">
        <v>49</v>
      </c>
      <c r="B52" s="387" t="s">
        <v>291</v>
      </c>
      <c r="C52" s="387" t="s">
        <v>110</v>
      </c>
    </row>
    <row r="53" spans="1:28" x14ac:dyDescent="0.45">
      <c r="A53" s="297">
        <v>50</v>
      </c>
      <c r="B53" s="387" t="s">
        <v>111</v>
      </c>
      <c r="C53" s="387" t="s">
        <v>112</v>
      </c>
    </row>
    <row r="54" spans="1:28" x14ac:dyDescent="0.45">
      <c r="A54" s="297">
        <v>51</v>
      </c>
      <c r="B54" s="387" t="s">
        <v>113</v>
      </c>
      <c r="C54" s="387" t="s">
        <v>114</v>
      </c>
    </row>
    <row r="55" spans="1:28" x14ac:dyDescent="0.45">
      <c r="A55" s="297">
        <v>52</v>
      </c>
      <c r="B55" s="387" t="s">
        <v>115</v>
      </c>
      <c r="C55" s="387" t="s">
        <v>116</v>
      </c>
    </row>
    <row r="56" spans="1:28" x14ac:dyDescent="0.45">
      <c r="A56" s="297">
        <v>53</v>
      </c>
      <c r="B56" s="388" t="s">
        <v>292</v>
      </c>
      <c r="C56" s="387" t="s">
        <v>117</v>
      </c>
    </row>
    <row r="57" spans="1:28" x14ac:dyDescent="0.45">
      <c r="A57" s="297">
        <v>54</v>
      </c>
      <c r="B57" s="387" t="s">
        <v>293</v>
      </c>
      <c r="C57" s="387"/>
    </row>
    <row r="58" spans="1:28" x14ac:dyDescent="0.45">
      <c r="A58" s="297">
        <v>55</v>
      </c>
      <c r="B58" s="387" t="s">
        <v>118</v>
      </c>
      <c r="C58" s="387" t="s">
        <v>45</v>
      </c>
    </row>
    <row r="59" spans="1:28" x14ac:dyDescent="0.45">
      <c r="A59" s="297">
        <v>56</v>
      </c>
      <c r="B59" s="387" t="s">
        <v>119</v>
      </c>
      <c r="C59" s="387" t="s">
        <v>120</v>
      </c>
    </row>
    <row r="60" spans="1:28" x14ac:dyDescent="0.45">
      <c r="A60" s="297">
        <v>57</v>
      </c>
      <c r="B60" s="387" t="s">
        <v>294</v>
      </c>
      <c r="C60" s="387" t="s">
        <v>126</v>
      </c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</row>
    <row r="61" spans="1:28" x14ac:dyDescent="0.45">
      <c r="A61" s="297">
        <v>58</v>
      </c>
      <c r="B61" s="387" t="s">
        <v>295</v>
      </c>
      <c r="C61" s="387" t="s">
        <v>127</v>
      </c>
    </row>
    <row r="62" spans="1:28" x14ac:dyDescent="0.45">
      <c r="A62" s="297">
        <v>59</v>
      </c>
      <c r="B62" s="387" t="s">
        <v>296</v>
      </c>
      <c r="C62" s="387" t="s">
        <v>128</v>
      </c>
    </row>
    <row r="63" spans="1:28" x14ac:dyDescent="0.45">
      <c r="A63" s="297">
        <v>60</v>
      </c>
      <c r="B63" s="387" t="s">
        <v>297</v>
      </c>
      <c r="C63" s="387" t="s">
        <v>129</v>
      </c>
    </row>
    <row r="64" spans="1:28" x14ac:dyDescent="0.45">
      <c r="A64" s="297">
        <v>61</v>
      </c>
      <c r="B64" s="387" t="s">
        <v>298</v>
      </c>
      <c r="C64" s="387" t="s">
        <v>166</v>
      </c>
    </row>
    <row r="65" spans="1:3" x14ac:dyDescent="0.45">
      <c r="A65" s="297">
        <v>62</v>
      </c>
      <c r="B65" s="388" t="s">
        <v>168</v>
      </c>
      <c r="C65" s="388" t="s">
        <v>167</v>
      </c>
    </row>
    <row r="66" spans="1:3" x14ac:dyDescent="0.45">
      <c r="A66" s="297">
        <v>63</v>
      </c>
      <c r="B66" s="388" t="s">
        <v>299</v>
      </c>
      <c r="C66" s="388" t="s">
        <v>169</v>
      </c>
    </row>
    <row r="67" spans="1:3" x14ac:dyDescent="0.45">
      <c r="A67" s="297">
        <v>64</v>
      </c>
      <c r="B67" s="387" t="s">
        <v>300</v>
      </c>
      <c r="C67" s="387" t="s">
        <v>170</v>
      </c>
    </row>
    <row r="68" spans="1:3" x14ac:dyDescent="0.45">
      <c r="A68" s="297">
        <v>65</v>
      </c>
      <c r="B68" s="387" t="s">
        <v>177</v>
      </c>
      <c r="C68" s="387" t="s">
        <v>171</v>
      </c>
    </row>
    <row r="69" spans="1:3" x14ac:dyDescent="0.45">
      <c r="A69" s="389">
        <v>66</v>
      </c>
      <c r="B69" s="388" t="s">
        <v>176</v>
      </c>
      <c r="C69" s="387" t="s">
        <v>181</v>
      </c>
    </row>
    <row r="70" spans="1:3" x14ac:dyDescent="0.45">
      <c r="A70" s="297">
        <v>67</v>
      </c>
      <c r="B70" s="387" t="s">
        <v>178</v>
      </c>
      <c r="C70" s="387" t="s">
        <v>180</v>
      </c>
    </row>
    <row r="71" spans="1:3" x14ac:dyDescent="0.45">
      <c r="A71" s="297">
        <v>68</v>
      </c>
      <c r="B71" s="387" t="s">
        <v>301</v>
      </c>
      <c r="C71" s="387" t="s">
        <v>179</v>
      </c>
    </row>
    <row r="72" spans="1:3" x14ac:dyDescent="0.45">
      <c r="A72" s="297">
        <v>69</v>
      </c>
      <c r="B72" s="387" t="s">
        <v>228</v>
      </c>
      <c r="C72" s="387" t="s">
        <v>229</v>
      </c>
    </row>
    <row r="73" spans="1:3" x14ac:dyDescent="0.45">
      <c r="A73" s="297">
        <v>70</v>
      </c>
      <c r="B73" s="387" t="s">
        <v>302</v>
      </c>
      <c r="C73" s="387" t="s">
        <v>230</v>
      </c>
    </row>
    <row r="74" spans="1:3" x14ac:dyDescent="0.45">
      <c r="A74" s="297">
        <v>71</v>
      </c>
      <c r="B74" s="387" t="s">
        <v>231</v>
      </c>
      <c r="C74" s="387" t="s">
        <v>232</v>
      </c>
    </row>
    <row r="75" spans="1:3" x14ac:dyDescent="0.45">
      <c r="A75" s="389">
        <v>72</v>
      </c>
      <c r="B75" s="387" t="s">
        <v>233</v>
      </c>
      <c r="C75" s="387" t="s">
        <v>234</v>
      </c>
    </row>
    <row r="76" spans="1:3" x14ac:dyDescent="0.45">
      <c r="A76" s="389">
        <v>73</v>
      </c>
      <c r="B76" s="387" t="s">
        <v>235</v>
      </c>
      <c r="C76" s="387" t="s">
        <v>236</v>
      </c>
    </row>
    <row r="77" spans="1:3" x14ac:dyDescent="0.45">
      <c r="A77" s="297">
        <v>74</v>
      </c>
      <c r="B77" s="387" t="s">
        <v>237</v>
      </c>
      <c r="C77" s="387" t="s">
        <v>238</v>
      </c>
    </row>
    <row r="78" spans="1:3" x14ac:dyDescent="0.45">
      <c r="A78" s="389">
        <v>75</v>
      </c>
      <c r="B78" s="388" t="s">
        <v>239</v>
      </c>
      <c r="C78" s="388" t="s">
        <v>240</v>
      </c>
    </row>
    <row r="79" spans="1:3" x14ac:dyDescent="0.45">
      <c r="A79" s="389">
        <v>76</v>
      </c>
      <c r="B79" s="23" t="s">
        <v>303</v>
      </c>
      <c r="C79" s="23" t="s">
        <v>304</v>
      </c>
    </row>
    <row r="80" spans="1:3" x14ac:dyDescent="0.45">
      <c r="A80" s="389">
        <v>77</v>
      </c>
      <c r="B80" s="23" t="s">
        <v>305</v>
      </c>
      <c r="C80" s="23" t="s">
        <v>306</v>
      </c>
    </row>
    <row r="81" spans="1:3" x14ac:dyDescent="0.45">
      <c r="A81" s="389">
        <v>78</v>
      </c>
      <c r="B81" s="23" t="s">
        <v>307</v>
      </c>
      <c r="C81" s="23" t="s">
        <v>308</v>
      </c>
    </row>
    <row r="82" spans="1:3" x14ac:dyDescent="0.45">
      <c r="A82" s="389">
        <v>79</v>
      </c>
      <c r="B82" s="23" t="s">
        <v>309</v>
      </c>
      <c r="C82" s="23" t="s">
        <v>310</v>
      </c>
    </row>
    <row r="83" spans="1:3" x14ac:dyDescent="0.45">
      <c r="A83" s="389">
        <v>80</v>
      </c>
      <c r="B83" s="23" t="s">
        <v>311</v>
      </c>
      <c r="C83" s="23" t="s">
        <v>312</v>
      </c>
    </row>
    <row r="84" spans="1:3" x14ac:dyDescent="0.45">
      <c r="A84" s="389">
        <v>81</v>
      </c>
      <c r="B84" s="23" t="s">
        <v>319</v>
      </c>
      <c r="C84" s="23" t="s">
        <v>320</v>
      </c>
    </row>
    <row r="85" spans="1:3" x14ac:dyDescent="0.45">
      <c r="A85" s="389">
        <v>82</v>
      </c>
      <c r="B85" s="387" t="s">
        <v>321</v>
      </c>
      <c r="C85" s="387" t="s">
        <v>322</v>
      </c>
    </row>
    <row r="86" spans="1:3" x14ac:dyDescent="0.45">
      <c r="A86" s="389">
        <v>83</v>
      </c>
      <c r="B86" s="23" t="s">
        <v>323</v>
      </c>
      <c r="C86" s="23" t="s">
        <v>324</v>
      </c>
    </row>
    <row r="87" spans="1:3" x14ac:dyDescent="0.45">
      <c r="A87" s="389">
        <v>84</v>
      </c>
      <c r="B87" s="23" t="s">
        <v>325</v>
      </c>
      <c r="C87" s="23" t="s">
        <v>326</v>
      </c>
    </row>
    <row r="88" spans="1:3" x14ac:dyDescent="0.45">
      <c r="A88" s="389">
        <v>85</v>
      </c>
      <c r="B88" s="23" t="s">
        <v>327</v>
      </c>
      <c r="C88" s="23" t="s">
        <v>328</v>
      </c>
    </row>
    <row r="89" spans="1:3" x14ac:dyDescent="0.45">
      <c r="A89" s="389">
        <v>86</v>
      </c>
      <c r="B89" s="23" t="s">
        <v>329</v>
      </c>
      <c r="C89" s="23" t="s">
        <v>330</v>
      </c>
    </row>
    <row r="90" spans="1:3" x14ac:dyDescent="0.45">
      <c r="A90" s="389">
        <v>87</v>
      </c>
      <c r="B90" s="23" t="s">
        <v>331</v>
      </c>
      <c r="C90" s="23" t="s">
        <v>128</v>
      </c>
    </row>
    <row r="91" spans="1:3" x14ac:dyDescent="0.45">
      <c r="A91" s="389">
        <v>88</v>
      </c>
      <c r="B91" s="23" t="s">
        <v>332</v>
      </c>
      <c r="C91" s="23" t="s">
        <v>333</v>
      </c>
    </row>
    <row r="92" spans="1:3" x14ac:dyDescent="0.45">
      <c r="A92" s="389">
        <v>89</v>
      </c>
      <c r="B92" s="23" t="s">
        <v>334</v>
      </c>
      <c r="C92" s="23" t="s">
        <v>335</v>
      </c>
    </row>
    <row r="93" spans="1:3" x14ac:dyDescent="0.45">
      <c r="A93" s="389">
        <v>90</v>
      </c>
      <c r="B93" s="23" t="s">
        <v>336</v>
      </c>
      <c r="C93" s="23" t="s">
        <v>337</v>
      </c>
    </row>
    <row r="94" spans="1:3" x14ac:dyDescent="0.45">
      <c r="A94" s="389">
        <v>91</v>
      </c>
      <c r="B94" s="23" t="s">
        <v>338</v>
      </c>
      <c r="C94" s="23" t="s">
        <v>339</v>
      </c>
    </row>
    <row r="95" spans="1:3" x14ac:dyDescent="0.45">
      <c r="A95" s="389">
        <v>92</v>
      </c>
      <c r="B95" s="23" t="s">
        <v>340</v>
      </c>
      <c r="C95" s="23" t="s">
        <v>341</v>
      </c>
    </row>
    <row r="96" spans="1:3" x14ac:dyDescent="0.45">
      <c r="A96" s="389">
        <v>93</v>
      </c>
      <c r="B96" s="23" t="s">
        <v>342</v>
      </c>
      <c r="C96" s="23" t="s">
        <v>343</v>
      </c>
    </row>
    <row r="97" spans="1:3" x14ac:dyDescent="0.45">
      <c r="A97" s="389">
        <v>94</v>
      </c>
      <c r="B97" s="23" t="s">
        <v>344</v>
      </c>
      <c r="C97" s="23" t="s">
        <v>345</v>
      </c>
    </row>
    <row r="98" spans="1:3" x14ac:dyDescent="0.45">
      <c r="A98" s="389">
        <v>95</v>
      </c>
      <c r="B98" s="23" t="s">
        <v>352</v>
      </c>
      <c r="C98" s="23" t="s">
        <v>353</v>
      </c>
    </row>
    <row r="99" spans="1:3" x14ac:dyDescent="0.45">
      <c r="A99" s="389">
        <v>96</v>
      </c>
      <c r="B99" s="23" t="s">
        <v>354</v>
      </c>
      <c r="C99" s="23" t="s">
        <v>355</v>
      </c>
    </row>
    <row r="100" spans="1:3" x14ac:dyDescent="0.45">
      <c r="A100" s="389">
        <v>97</v>
      </c>
      <c r="B100" s="23" t="s">
        <v>356</v>
      </c>
      <c r="C100" s="23" t="s">
        <v>357</v>
      </c>
    </row>
    <row r="101" spans="1:3" x14ac:dyDescent="0.45">
      <c r="A101" s="389">
        <v>98</v>
      </c>
      <c r="B101" s="23" t="s">
        <v>358</v>
      </c>
      <c r="C101" s="23" t="s">
        <v>359</v>
      </c>
    </row>
    <row r="102" spans="1:3" x14ac:dyDescent="0.45">
      <c r="A102" s="389">
        <v>99</v>
      </c>
      <c r="B102" s="23" t="s">
        <v>360</v>
      </c>
      <c r="C102" s="23" t="s">
        <v>361</v>
      </c>
    </row>
    <row r="103" spans="1:3" x14ac:dyDescent="0.45">
      <c r="A103" s="389">
        <v>100</v>
      </c>
      <c r="B103" s="23" t="s">
        <v>362</v>
      </c>
      <c r="C103" s="23" t="s">
        <v>363</v>
      </c>
    </row>
    <row r="104" spans="1:3" x14ac:dyDescent="0.45">
      <c r="A104" s="389">
        <v>101</v>
      </c>
      <c r="B104" s="23" t="s">
        <v>364</v>
      </c>
      <c r="C104" s="23" t="s">
        <v>365</v>
      </c>
    </row>
    <row r="105" spans="1:3" x14ac:dyDescent="0.45">
      <c r="A105" s="389">
        <v>102</v>
      </c>
      <c r="B105" s="23" t="s">
        <v>366</v>
      </c>
      <c r="C105" s="23" t="s">
        <v>367</v>
      </c>
    </row>
    <row r="106" spans="1:3" x14ac:dyDescent="0.45">
      <c r="A106" s="389">
        <v>103</v>
      </c>
      <c r="B106" s="23" t="s">
        <v>368</v>
      </c>
      <c r="C106" s="23" t="s">
        <v>369</v>
      </c>
    </row>
    <row r="107" spans="1:3" x14ac:dyDescent="0.45">
      <c r="A107" s="389">
        <v>104</v>
      </c>
      <c r="B107" s="23" t="s">
        <v>370</v>
      </c>
      <c r="C107" s="23" t="s">
        <v>371</v>
      </c>
    </row>
    <row r="108" spans="1:3" x14ac:dyDescent="0.45">
      <c r="A108" s="389">
        <v>105</v>
      </c>
      <c r="B108" s="23" t="s">
        <v>372</v>
      </c>
      <c r="C108" s="23" t="s">
        <v>373</v>
      </c>
    </row>
    <row r="109" spans="1:3" x14ac:dyDescent="0.45">
      <c r="A109" s="389">
        <v>106</v>
      </c>
      <c r="B109" s="23" t="s">
        <v>374</v>
      </c>
      <c r="C109" s="23" t="s">
        <v>375</v>
      </c>
    </row>
    <row r="110" spans="1:3" x14ac:dyDescent="0.45">
      <c r="A110" s="389">
        <v>107</v>
      </c>
      <c r="B110" s="23" t="s">
        <v>376</v>
      </c>
      <c r="C110" s="23" t="s">
        <v>377</v>
      </c>
    </row>
    <row r="111" spans="1:3" x14ac:dyDescent="0.45">
      <c r="A111" s="389">
        <v>108</v>
      </c>
      <c r="B111" s="23" t="s">
        <v>378</v>
      </c>
      <c r="C111" s="23" t="s">
        <v>379</v>
      </c>
    </row>
    <row r="112" spans="1:3" x14ac:dyDescent="0.45">
      <c r="A112" s="389">
        <v>109</v>
      </c>
      <c r="B112" s="23" t="s">
        <v>380</v>
      </c>
      <c r="C112" s="23" t="s">
        <v>381</v>
      </c>
    </row>
    <row r="113" spans="1:3" x14ac:dyDescent="0.45">
      <c r="A113" s="389">
        <v>110</v>
      </c>
      <c r="B113" s="23" t="s">
        <v>382</v>
      </c>
      <c r="C113" s="23" t="s">
        <v>383</v>
      </c>
    </row>
    <row r="114" spans="1:3" x14ac:dyDescent="0.45">
      <c r="A114" s="389">
        <v>111</v>
      </c>
      <c r="B114" s="23" t="s">
        <v>384</v>
      </c>
      <c r="C114" s="23" t="s">
        <v>385</v>
      </c>
    </row>
    <row r="115" spans="1:3" x14ac:dyDescent="0.45">
      <c r="A115" s="389">
        <v>112</v>
      </c>
      <c r="B115" s="23" t="s">
        <v>386</v>
      </c>
      <c r="C115" s="23" t="s">
        <v>387</v>
      </c>
    </row>
    <row r="116" spans="1:3" x14ac:dyDescent="0.45">
      <c r="A116" s="389">
        <v>113</v>
      </c>
      <c r="B116" s="23" t="s">
        <v>388</v>
      </c>
      <c r="C116" s="23" t="s">
        <v>389</v>
      </c>
    </row>
    <row r="117" spans="1:3" x14ac:dyDescent="0.45">
      <c r="A117" s="389">
        <v>114</v>
      </c>
      <c r="B117" s="23" t="s">
        <v>390</v>
      </c>
      <c r="C117" s="23" t="s">
        <v>391</v>
      </c>
    </row>
    <row r="118" spans="1:3" x14ac:dyDescent="0.45">
      <c r="A118" s="389">
        <v>115</v>
      </c>
      <c r="B118" s="23" t="s">
        <v>401</v>
      </c>
      <c r="C118" s="23" t="s">
        <v>402</v>
      </c>
    </row>
    <row r="119" spans="1:3" x14ac:dyDescent="0.45">
      <c r="A119" s="389">
        <v>116</v>
      </c>
      <c r="B119" s="23" t="s">
        <v>403</v>
      </c>
      <c r="C119" s="23" t="s">
        <v>404</v>
      </c>
    </row>
    <row r="120" spans="1:3" x14ac:dyDescent="0.45">
      <c r="A120" s="389">
        <v>117</v>
      </c>
      <c r="B120" s="23" t="s">
        <v>405</v>
      </c>
      <c r="C120" s="23" t="s">
        <v>406</v>
      </c>
    </row>
    <row r="121" spans="1:3" x14ac:dyDescent="0.45">
      <c r="A121" s="389">
        <v>118</v>
      </c>
      <c r="B121" s="23" t="s">
        <v>407</v>
      </c>
      <c r="C121" s="23" t="s">
        <v>408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"/>
  <dimension ref="A1:B2"/>
  <sheetViews>
    <sheetView workbookViewId="0">
      <selection activeCell="B2" sqref="B2"/>
    </sheetView>
  </sheetViews>
  <sheetFormatPr baseColWidth="10" defaultRowHeight="12.75" x14ac:dyDescent="0.2"/>
  <sheetData>
    <row r="1" spans="1:2" x14ac:dyDescent="0.2">
      <c r="A1" t="s">
        <v>22</v>
      </c>
      <c r="B1">
        <v>2</v>
      </c>
    </row>
    <row r="2" spans="1:2" x14ac:dyDescent="0.2">
      <c r="A2" t="s">
        <v>23</v>
      </c>
      <c r="B2">
        <f>COUNTA(#REF!)</f>
        <v>1</v>
      </c>
    </row>
  </sheetData>
  <phoneticPr fontId="0" type="noConversion"/>
  <pageMargins left="0.78740157499999996" right="0.78740157499999996" top="0.984251969" bottom="0.984251969" header="0" footer="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4"/>
  <dimension ref="A1:A7"/>
  <sheetViews>
    <sheetView workbookViewId="0">
      <selection activeCell="B3" sqref="B3:E49"/>
    </sheetView>
  </sheetViews>
  <sheetFormatPr baseColWidth="10" defaultRowHeight="12.75" x14ac:dyDescent="0.2"/>
  <sheetData>
    <row r="1" spans="1:1" x14ac:dyDescent="0.2">
      <c r="A1" t="s">
        <v>4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26</v>
      </c>
    </row>
    <row r="7" spans="1:1" x14ac:dyDescent="0.2">
      <c r="A7" s="3" t="s">
        <v>24</v>
      </c>
    </row>
  </sheetData>
  <phoneticPr fontId="0" type="noConversion"/>
  <pageMargins left="0.78740157499999996" right="0.78740157499999996" top="0.984251969" bottom="0.984251969" header="0" footer="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3"/>
  <dimension ref="A1:D10"/>
  <sheetViews>
    <sheetView workbookViewId="0">
      <selection activeCell="B49" sqref="B49"/>
    </sheetView>
  </sheetViews>
  <sheetFormatPr baseColWidth="10" defaultRowHeight="12.75" x14ac:dyDescent="0.2"/>
  <cols>
    <col min="1" max="1" width="32.85546875" style="1" customWidth="1"/>
    <col min="2" max="2" width="28.85546875" customWidth="1"/>
    <col min="3" max="3" width="26.42578125" style="1" customWidth="1"/>
    <col min="4" max="4" width="38.28515625" bestFit="1" customWidth="1"/>
    <col min="5" max="5" width="9.140625" customWidth="1"/>
    <col min="6" max="6" width="12.28515625" bestFit="1" customWidth="1"/>
  </cols>
  <sheetData>
    <row r="1" spans="1:4" x14ac:dyDescent="0.2">
      <c r="A1" s="1" t="s">
        <v>5</v>
      </c>
      <c r="B1">
        <v>15</v>
      </c>
      <c r="C1" s="1" t="s">
        <v>12</v>
      </c>
      <c r="D1" t="s">
        <v>29</v>
      </c>
    </row>
    <row r="2" spans="1:4" x14ac:dyDescent="0.2">
      <c r="A2" s="1" t="s">
        <v>6</v>
      </c>
      <c r="B2">
        <v>4</v>
      </c>
      <c r="C2" s="1" t="s">
        <v>13</v>
      </c>
      <c r="D2" t="s">
        <v>30</v>
      </c>
    </row>
    <row r="3" spans="1:4" x14ac:dyDescent="0.2">
      <c r="A3" s="1" t="s">
        <v>7</v>
      </c>
      <c r="B3">
        <v>8</v>
      </c>
      <c r="C3" s="1" t="s">
        <v>14</v>
      </c>
      <c r="D3" t="s">
        <v>30</v>
      </c>
    </row>
    <row r="4" spans="1:4" x14ac:dyDescent="0.2">
      <c r="A4" s="1" t="s">
        <v>8</v>
      </c>
      <c r="B4">
        <v>65</v>
      </c>
      <c r="C4" s="1" t="s">
        <v>15</v>
      </c>
      <c r="D4" t="s">
        <v>32</v>
      </c>
    </row>
    <row r="5" spans="1:4" x14ac:dyDescent="0.2">
      <c r="A5" s="1" t="s">
        <v>9</v>
      </c>
      <c r="B5">
        <v>640</v>
      </c>
      <c r="C5" s="1" t="s">
        <v>16</v>
      </c>
      <c r="D5" t="s">
        <v>28</v>
      </c>
    </row>
    <row r="6" spans="1:4" x14ac:dyDescent="0.2">
      <c r="A6" s="1" t="s">
        <v>11</v>
      </c>
      <c r="B6">
        <v>40</v>
      </c>
      <c r="C6" s="1" t="s">
        <v>17</v>
      </c>
      <c r="D6" t="s">
        <v>27</v>
      </c>
    </row>
    <row r="7" spans="1:4" x14ac:dyDescent="0.2">
      <c r="A7" s="1" t="s">
        <v>10</v>
      </c>
      <c r="B7">
        <v>450</v>
      </c>
      <c r="C7" s="1" t="s">
        <v>18</v>
      </c>
      <c r="D7" t="s">
        <v>121</v>
      </c>
    </row>
    <row r="8" spans="1:4" x14ac:dyDescent="0.2">
      <c r="A8" s="1" t="s">
        <v>25</v>
      </c>
      <c r="B8" t="s">
        <v>122</v>
      </c>
      <c r="C8" s="1" t="s">
        <v>19</v>
      </c>
      <c r="D8" s="2" t="s">
        <v>31</v>
      </c>
    </row>
    <row r="9" spans="1:4" x14ac:dyDescent="0.2">
      <c r="C9" s="1" t="s">
        <v>20</v>
      </c>
      <c r="D9" t="s">
        <v>21</v>
      </c>
    </row>
    <row r="10" spans="1:4" x14ac:dyDescent="0.2">
      <c r="B10">
        <v>1</v>
      </c>
    </row>
  </sheetData>
  <phoneticPr fontId="0" type="noConversion"/>
  <pageMargins left="0.78740157499999996" right="0.78740157499999996" top="0.984251969" bottom="0.984251969" header="0" footer="0"/>
  <headerFooter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0"/>
  <dimension ref="A1"/>
  <sheetViews>
    <sheetView topLeftCell="A4" workbookViewId="0">
      <selection activeCell="L27" sqref="L27"/>
    </sheetView>
  </sheetViews>
  <sheetFormatPr baseColWidth="10"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10</vt:i4>
      </vt:variant>
    </vt:vector>
  </HeadingPairs>
  <TitlesOfParts>
    <vt:vector size="24" baseType="lpstr">
      <vt:lpstr>DATOS</vt:lpstr>
      <vt:lpstr>TERMOGRAFIA</vt:lpstr>
      <vt:lpstr>DISTORSION</vt:lpstr>
      <vt:lpstr>DOBLE IMAGEN</vt:lpstr>
      <vt:lpstr>ACCESORIOS</vt:lpstr>
      <vt:lpstr>BN</vt:lpstr>
      <vt:lpstr>SERIGRAPHY</vt:lpstr>
      <vt:lpstr>PC</vt:lpstr>
      <vt:lpstr>STICKER ADUANA</vt:lpstr>
      <vt:lpstr>Lista Defeitos</vt:lpstr>
      <vt:lpstr>VARIABLES</vt:lpstr>
      <vt:lpstr>POSICIONES</vt:lpstr>
      <vt:lpstr>parametros</vt:lpstr>
      <vt:lpstr>BN EDITABLE</vt:lpstr>
      <vt:lpstr>ACCESORIOS!Área_de_impresión</vt:lpstr>
      <vt:lpstr>BN!Área_de_impresión</vt:lpstr>
      <vt:lpstr>DATOS!Área_de_impresión</vt:lpstr>
      <vt:lpstr>DISTORSION!Área_de_impresión</vt:lpstr>
      <vt:lpstr>'DOBLE IMAGEN'!Área_de_impresión</vt:lpstr>
      <vt:lpstr>PC!Área_de_impresión</vt:lpstr>
      <vt:lpstr>SERIGRAPHY!Área_de_impresión</vt:lpstr>
      <vt:lpstr>'STICKER ADUANA'!Área_de_impresión</vt:lpstr>
      <vt:lpstr>TERMOGRAFIA!Área_de_impresión</vt:lpstr>
      <vt:lpstr>HOLA</vt:lpstr>
    </vt:vector>
  </TitlesOfParts>
  <Company>A.G.P. de Colombia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auxcalidad2@agpglass.com</dc:creator>
  <cp:lastModifiedBy>Lina Tovar Bermudez</cp:lastModifiedBy>
  <cp:lastPrinted>2020-12-18T20:00:22Z</cp:lastPrinted>
  <dcterms:created xsi:type="dcterms:W3CDTF">2003-06-21T14:33:30Z</dcterms:created>
  <dcterms:modified xsi:type="dcterms:W3CDTF">2023-11-30T21:56:22Z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ynDocOpportunityDesc">
    <vt:lpwstr/>
  </property>
  <property fmtid="{D5CDD505-2E9C-101B-9397-08002B2CF9AE}" pid="3" name="eSynDocOpportunityID">
    <vt:lpwstr/>
  </property>
  <property fmtid="{D5CDD505-2E9C-101B-9397-08002B2CF9AE}" pid="4" name="eSynDocAttachmentID">
    <vt:lpwstr>{c1dc2ff0-d9bf-4a8d-b719-325d0d25c7c8}</vt:lpwstr>
  </property>
  <property fmtid="{D5CDD505-2E9C-101B-9397-08002B2CF9AE}" pid="5" name="eSynDocContactDesc">
    <vt:lpwstr/>
  </property>
  <property fmtid="{D5CDD505-2E9C-101B-9397-08002B2CF9AE}" pid="6" name="eSynDocAccountDesc">
    <vt:lpwstr/>
  </property>
  <property fmtid="{D5CDD505-2E9C-101B-9397-08002B2CF9AE}" pid="7" name="eSynDocProjectDesc">
    <vt:lpwstr>EPD OEM W166 VPAM6</vt:lpwstr>
  </property>
  <property fmtid="{D5CDD505-2E9C-101B-9397-08002B2CF9AE}" pid="8" name="eSynDocTransactionDesc">
    <vt:lpwstr/>
  </property>
  <property fmtid="{D5CDD505-2E9C-101B-9397-08002B2CF9AE}" pid="9" name="eSynDocSerialDesc">
    <vt:lpwstr/>
  </property>
  <property fmtid="{D5CDD505-2E9C-101B-9397-08002B2CF9AE}" pid="10" name="eSynDocItemDesc">
    <vt:lpwstr>3. Process Development</vt:lpwstr>
  </property>
  <property fmtid="{D5CDD505-2E9C-101B-9397-08002B2CF9AE}" pid="11" name="eSynDocResourceDesc">
    <vt:lpwstr>Andres Fernando Sarmiento Santos</vt:lpwstr>
  </property>
  <property fmtid="{D5CDD505-2E9C-101B-9397-08002B2CF9AE}" pid="12" name="eSynTransactionEntryKey">
    <vt:lpwstr/>
  </property>
  <property fmtid="{D5CDD505-2E9C-101B-9397-08002B2CF9AE}" pid="13" name="eSynDocVersionStartDate">
    <vt:lpwstr>09/02/2013 00:00:00</vt:lpwstr>
  </property>
  <property fmtid="{D5CDD505-2E9C-101B-9397-08002B2CF9AE}" pid="14" name="eSynDocVersion">
    <vt:lpwstr>1</vt:lpwstr>
  </property>
  <property fmtid="{D5CDD505-2E9C-101B-9397-08002B2CF9AE}" pid="15" name="eSynDocAttachFileName">
    <vt:lpwstr>00_3) W166 VPAM6 WSS (PBS) Visual.xls</vt:lpwstr>
  </property>
  <property fmtid="{D5CDD505-2E9C-101B-9397-08002B2CF9AE}" pid="16" name="eSynDocSummary">
    <vt:lpwstr/>
  </property>
  <property fmtid="{D5CDD505-2E9C-101B-9397-08002B2CF9AE}" pid="17" name="eSynDocPublish">
    <vt:lpwstr>0</vt:lpwstr>
  </property>
  <property fmtid="{D5CDD505-2E9C-101B-9397-08002B2CF9AE}" pid="18" name="eSynDocTypeID">
    <vt:lpwstr>358</vt:lpwstr>
  </property>
  <property fmtid="{D5CDD505-2E9C-101B-9397-08002B2CF9AE}" pid="19" name="eSynDocSerialNumber">
    <vt:lpwstr/>
  </property>
  <property fmtid="{D5CDD505-2E9C-101B-9397-08002B2CF9AE}" pid="20" name="eSynDocSubject">
    <vt:lpwstr>OEM W166 VPAM6 - Formatos Informes Calidad</vt:lpwstr>
  </property>
  <property fmtid="{D5CDD505-2E9C-101B-9397-08002B2CF9AE}" pid="21" name="eSynDocItem">
    <vt:lpwstr>3.Process-Development</vt:lpwstr>
  </property>
  <property fmtid="{D5CDD505-2E9C-101B-9397-08002B2CF9AE}" pid="22" name="eSynDocAcctContact">
    <vt:lpwstr/>
  </property>
  <property fmtid="{D5CDD505-2E9C-101B-9397-08002B2CF9AE}" pid="23" name="eSynDocContactID">
    <vt:lpwstr/>
  </property>
  <property fmtid="{D5CDD505-2E9C-101B-9397-08002B2CF9AE}" pid="24" name="eSynDocAccount">
    <vt:lpwstr/>
  </property>
  <property fmtid="{D5CDD505-2E9C-101B-9397-08002B2CF9AE}" pid="25" name="eSynDocResource">
    <vt:lpwstr>397</vt:lpwstr>
  </property>
  <property fmtid="{D5CDD505-2E9C-101B-9397-08002B2CF9AE}" pid="26" name="eSynDocProjectNr">
    <vt:lpwstr>EPD - 004.004</vt:lpwstr>
  </property>
  <property fmtid="{D5CDD505-2E9C-101B-9397-08002B2CF9AE}" pid="27" name="eSynDocSecurity">
    <vt:lpwstr>101</vt:lpwstr>
  </property>
  <property fmtid="{D5CDD505-2E9C-101B-9397-08002B2CF9AE}" pid="28" name="eSynDocAssortment">
    <vt:lpwstr>etapas-proyectos-OEM</vt:lpwstr>
  </property>
  <property fmtid="{D5CDD505-2E9C-101B-9397-08002B2CF9AE}" pid="29" name="eSynDocLanguageCode">
    <vt:lpwstr/>
  </property>
  <property fmtid="{D5CDD505-2E9C-101B-9397-08002B2CF9AE}" pid="30" name="eSynDocDivisionDesc">
    <vt:lpwstr>AGP Brasil</vt:lpwstr>
  </property>
  <property fmtid="{D5CDD505-2E9C-101B-9397-08002B2CF9AE}" pid="31" name="eSynDocDivision">
    <vt:lpwstr>003</vt:lpwstr>
  </property>
  <property fmtid="{D5CDD505-2E9C-101B-9397-08002B2CF9AE}" pid="32" name="eSynDocParentDocument">
    <vt:lpwstr/>
  </property>
  <property fmtid="{D5CDD505-2E9C-101B-9397-08002B2CF9AE}" pid="33" name="eSynDocSubCategory">
    <vt:lpwstr/>
  </property>
  <property fmtid="{D5CDD505-2E9C-101B-9397-08002B2CF9AE}" pid="34" name="eSynDocCategoryID">
    <vt:lpwstr/>
  </property>
  <property fmtid="{D5CDD505-2E9C-101B-9397-08002B2CF9AE}" pid="35" name="eSynDocGroupDesc">
    <vt:lpwstr>Attachments &amp; notes</vt:lpwstr>
  </property>
  <property fmtid="{D5CDD505-2E9C-101B-9397-08002B2CF9AE}" pid="36" name="eSynDocGroupID">
    <vt:lpwstr>0</vt:lpwstr>
  </property>
  <property fmtid="{D5CDD505-2E9C-101B-9397-08002B2CF9AE}" pid="37" name="eSynDocHID">
    <vt:lpwstr>12217</vt:lpwstr>
  </property>
  <property fmtid="{D5CDD505-2E9C-101B-9397-08002B2CF9AE}" pid="38" name="eSynCleanUp12/30/2013 14:54:46">
    <vt:i4>1</vt:i4>
  </property>
</Properties>
</file>