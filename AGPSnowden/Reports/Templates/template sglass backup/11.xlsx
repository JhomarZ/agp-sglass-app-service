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6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7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14" documentId="13_ncr:1_{4126CD39-7AE3-4B4E-B74A-D25426A6FA38}" xr6:coauthVersionLast="47" xr6:coauthVersionMax="47" xr10:uidLastSave="{2FFA3379-3D16-4953-A179-4A9F1320A9A8}"/>
  <bookViews>
    <workbookView xWindow="-108" yWindow="-108" windowWidth="23256" windowHeight="12456" activeTab="2" xr2:uid="{00000000-000D-0000-FFFF-FFFF00000000}"/>
  </bookViews>
  <sheets>
    <sheet name="DATOS" sheetId="14" r:id="rId1"/>
    <sheet name="REFLEXION" sheetId="20" r:id="rId2"/>
    <sheet name="ACCESORIOS" sheetId="16" r:id="rId3"/>
    <sheet name="BN" sheetId="17" r:id="rId4"/>
    <sheet name="SERIGRAFIA" sheetId="18" r:id="rId5"/>
    <sheet name="PC" sheetId="19" r:id="rId6"/>
    <sheet name="STICKER ADUANA" sheetId="21" r:id="rId7"/>
    <sheet name="Lista Defeitos" sheetId="10" r:id="rId8"/>
    <sheet name="VARIABLES" sheetId="5" state="hidden" r:id="rId9"/>
    <sheet name="POSICIONES" sheetId="6" state="hidden" r:id="rId10"/>
    <sheet name="parametros" sheetId="3" state="hidden" r:id="rId11"/>
  </sheets>
  <definedNames>
    <definedName name="_xlnm._FilterDatabase" localSheetId="7" hidden="1">'Lista Defeitos'!$A$2:$C$121</definedName>
    <definedName name="_xlnm.Print_Area" localSheetId="2">ACCESORIOS!$A$1:$P$53</definedName>
    <definedName name="_xlnm.Print_Area" localSheetId="3">BN!$A$1:$P$53</definedName>
    <definedName name="_xlnm.Print_Area" localSheetId="0">DATOS!$A$1:$AW$87</definedName>
    <definedName name="_xlnm.Print_Area" localSheetId="5">PC!$A$1:$N$53</definedName>
    <definedName name="_xlnm.Print_Area" localSheetId="1">REFLEXION!$A$1:$J$67</definedName>
    <definedName name="_xlnm.Print_Area" localSheetId="4">SERIGRAFIA!$A$1:$P$53</definedName>
    <definedName name="_xlnm.Print_Area" localSheetId="6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1" l="1"/>
  <c r="M4" i="19"/>
  <c r="M4" i="18"/>
  <c r="M4" i="17"/>
  <c r="M4" i="16"/>
  <c r="C4" i="17"/>
  <c r="C4" i="18" s="1"/>
  <c r="C4" i="19" s="1"/>
  <c r="C4" i="21" s="1"/>
  <c r="C4" i="16"/>
  <c r="D6" i="20"/>
  <c r="K51" i="14"/>
  <c r="K52" i="14"/>
  <c r="K53" i="14"/>
  <c r="K54" i="14"/>
  <c r="K55" i="14"/>
  <c r="K56" i="14"/>
  <c r="K57" i="14"/>
  <c r="K58" i="14"/>
  <c r="K59" i="14"/>
  <c r="K60" i="14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externa A (LES) - INSPECCIÓN DIMENSIONAL
B - banda negra externa B (LES) - INSPECCIÓN DIMENSIONAL
C - banda negra externa C (LES) - INSPECCIÓN DIMENSIONAL</t>
        </r>
      </text>
    </comment>
    <comment ref="C3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interna A (LES) - INSPECCIÓN DIMENSIONAL
B - banda negra interna B (LES) - INSPECCIÓN DIMENSIONAL
C - banda negra interna C (LES) - INSPECCIÓN DIMENSIONAL</t>
        </r>
      </text>
    </comment>
  </commentList>
</comments>
</file>

<file path=xl/sharedStrings.xml><?xml version="1.0" encoding="utf-8"?>
<sst xmlns="http://schemas.openxmlformats.org/spreadsheetml/2006/main" count="524" uniqueCount="393">
  <si>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</si>
  <si>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</si>
  <si>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</si>
  <si>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</si>
  <si>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</si>
  <si>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</si>
  <si>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</si>
  <si>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</si>
  <si>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</si>
  <si>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</si>
  <si>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</si>
  <si>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</si>
  <si>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</si>
  <si>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</si>
  <si>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</si>
  <si>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</si>
  <si>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</si>
  <si>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</si>
  <si>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</si>
  <si>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</si>
  <si>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</si>
  <si>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</si>
  <si>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</si>
  <si>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</si>
  <si>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</si>
  <si>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</si>
  <si>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</si>
  <si>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</si>
  <si>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</si>
  <si>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</si>
  <si>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</si>
  <si>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</si>
  <si>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</si>
  <si>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</si>
  <si>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</si>
  <si>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</si>
  <si>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</si>
  <si>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</si>
  <si>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</si>
  <si>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</si>
  <si>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</si>
  <si>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</si>
  <si>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</si>
  <si>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</si>
  <si>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</si>
  <si>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</si>
  <si>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</si>
  <si>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</si>
  <si>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</si>
  <si>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</si>
  <si>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>CONVENTIONS: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</si>
  <si>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</si>
  <si>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</si>
  <si>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</si>
  <si>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</si>
  <si>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</si>
  <si>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</si>
  <si>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</si>
  <si>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</si>
  <si>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</si>
  <si>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</si>
  <si>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</si>
  <si>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</si>
  <si>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</si>
  <si>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</si>
  <si>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</si>
  <si>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</si>
  <si>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</si>
  <si>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</si>
  <si>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</si>
  <si>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</si>
  <si>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</si>
  <si>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</si>
  <si>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</si>
  <si>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</si>
  <si>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</si>
  <si>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</si>
  <si>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</si>
  <si>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</si>
  <si>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</si>
  <si>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</si>
  <si>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</si>
  <si>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</si>
  <si>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</si>
  <si>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</si>
  <si>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</si>
  <si>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</si>
  <si>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</si>
  <si>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</si>
  <si>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</si>
  <si>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</si>
  <si>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</si>
  <si>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</si>
  <si>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</si>
  <si>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</si>
  <si>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</si>
  <si>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</si>
  <si>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</si>
  <si>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</si>
  <si>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</si>
  <si>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</si>
  <si>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</si>
  <si>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</si>
  <si>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</si>
  <si>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</si>
  <si>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</si>
  <si>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</si>
  <si>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</si>
  <si>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</si>
  <si>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</si>
  <si>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</si>
  <si>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</si>
  <si>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</si>
  <si>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</si>
  <si>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</si>
  <si>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</si>
  <si>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</si>
  <si>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</si>
  <si>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</si>
  <si>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</si>
  <si>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</si>
  <si>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</si>
  <si>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</si>
  <si>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</si>
  <si>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</si>
  <si>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</si>
  <si>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</si>
  <si>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</si>
  <si>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</si>
  <si>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</si>
  <si>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</si>
  <si>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</si>
  <si>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</si>
  <si>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CUSTOMER:</t>
  </si>
  <si>
    <t>REASON FOR SUBMISSION</t>
  </si>
  <si>
    <t xml:space="preserve">Report Evaluation of Quality </t>
  </si>
  <si>
    <t>First Production Shipment</t>
  </si>
  <si>
    <t>QUALITY TEST</t>
  </si>
  <si>
    <t>CONCLUSION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</si>
  <si>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</si>
  <si>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</si>
  <si>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</si>
  <si>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</si>
  <si>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</si>
  <si>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</si>
  <si>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</si>
  <si>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</si>
  <si>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</si>
  <si>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</si>
  <si>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</si>
  <si>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</si>
  <si>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</si>
  <si>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</si>
  <si>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</si>
  <si>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</si>
  <si>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</si>
  <si>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</si>
  <si>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</si>
  <si>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</si>
  <si>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</si>
  <si>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</si>
  <si>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</si>
  <si>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</si>
  <si>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</si>
  <si>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</si>
  <si>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</si>
  <si>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REAR DOOR LEFT</t>
  </si>
  <si>
    <t>BENTELER</t>
  </si>
  <si>
    <t>LOGO (INTERNAL BLACK)</t>
  </si>
  <si>
    <t>MIRROR BRACKET</t>
  </si>
  <si>
    <t>PART NUMBER AGP:</t>
  </si>
  <si>
    <t>PART:</t>
  </si>
  <si>
    <t>BENTELER lightweight Protection GmbH</t>
  </si>
  <si>
    <t>CLIENT:</t>
  </si>
  <si>
    <t>MANUFACTURE ORDER Nº:</t>
  </si>
  <si>
    <t>ACCORDING TO DRAWING</t>
  </si>
  <si>
    <t>TECOFLEX</t>
  </si>
  <si>
    <t xml:space="preserve"> SUPERFICIAL AND INTERNAL  APPEARANCE VISUAL DEFECTS CHART</t>
  </si>
  <si>
    <t>ACCORDING TO QV0008
2.3.2</t>
  </si>
  <si>
    <t>TERMINALS INSULATION</t>
  </si>
  <si>
    <t>BRILLIANT ROUNDED</t>
  </si>
  <si>
    <t>ANNEXES</t>
  </si>
  <si>
    <t>See attached the geometric report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</si>
  <si>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</si>
  <si>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</si>
  <si>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</si>
  <si>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>REFLECTION 1</t>
  </si>
  <si>
    <t>Requirement: Without interruption of  grid lines</t>
  </si>
  <si>
    <t>REFLECTION 2</t>
  </si>
  <si>
    <t>ACCESSORIES</t>
  </si>
  <si>
    <t xml:space="preserve">QUALITY CONTROL </t>
  </si>
  <si>
    <t>STEELS 1</t>
  </si>
  <si>
    <t>STEELS 2</t>
  </si>
  <si>
    <t xml:space="preserve">VIEW FROM THE INSIDE     </t>
  </si>
  <si>
    <t>The part fullfil the reflection test requirement.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</si>
  <si>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</si>
  <si>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</si>
  <si>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</si>
  <si>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</si>
  <si>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</si>
  <si>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</si>
  <si>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</si>
  <si>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</si>
  <si>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</si>
  <si>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</si>
  <si>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</si>
  <si>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</si>
  <si>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</si>
  <si>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</si>
  <si>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BLACK BAND INTERNAL</t>
  </si>
  <si>
    <t>BLACK BAND EXTERNAL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</si>
  <si>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</si>
  <si>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</si>
  <si>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</si>
  <si>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</si>
  <si>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</si>
  <si>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</si>
  <si>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</si>
  <si>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</si>
  <si>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</si>
  <si>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</si>
  <si>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</si>
  <si>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</si>
  <si>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</si>
  <si>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</si>
  <si>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</si>
  <si>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</si>
  <si>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</si>
  <si>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</si>
  <si>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</si>
  <si>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</si>
  <si>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</si>
  <si>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</si>
  <si>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</si>
  <si>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</si>
  <si>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</si>
  <si>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</si>
  <si>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</si>
  <si>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</si>
  <si>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</si>
  <si>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</si>
  <si>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</si>
  <si>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</si>
  <si>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</si>
  <si>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</si>
  <si>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</si>
  <si>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</si>
  <si>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</si>
  <si>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</si>
  <si>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</si>
  <si>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</si>
  <si>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</si>
  <si>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</si>
  <si>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</si>
  <si>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</si>
  <si>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</si>
  <si>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</si>
  <si>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</si>
  <si>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</si>
  <si>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</si>
  <si>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</si>
  <si>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</si>
  <si>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</si>
  <si>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</si>
  <si>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</si>
  <si>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</si>
  <si>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</si>
  <si>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</si>
  <si>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</si>
  <si>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</si>
  <si>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</si>
  <si>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</si>
  <si>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</si>
  <si>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</si>
  <si>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</si>
  <si>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</si>
  <si>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</si>
  <si>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</si>
  <si>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</si>
  <si>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</si>
  <si>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BLACK BAND MEASUREMET</t>
  </si>
  <si>
    <t xml:space="preserve"> </t>
  </si>
  <si>
    <t>BMW G05 X5 4D 2020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</si>
  <si>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</si>
  <si>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</si>
  <si>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</si>
  <si>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</si>
  <si>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</si>
  <si>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</si>
  <si>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</si>
  <si>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</si>
  <si>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</si>
  <si>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</si>
  <si>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</si>
  <si>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</si>
  <si>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</si>
  <si>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</si>
  <si>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</si>
  <si>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</si>
  <si>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</si>
  <si>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</si>
  <si>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</si>
  <si>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</si>
  <si>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</si>
  <si>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</si>
  <si>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</si>
  <si>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</si>
  <si>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</si>
  <si>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</si>
  <si>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</si>
  <si>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</si>
  <si>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</si>
  <si>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</si>
  <si>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</si>
  <si>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</si>
  <si>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</si>
  <si>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</si>
  <si>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</si>
  <si>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</si>
  <si>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</si>
  <si>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</si>
  <si>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</si>
  <si>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</si>
  <si>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</si>
  <si>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</si>
  <si>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</si>
  <si>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</si>
  <si>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</si>
  <si>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</si>
  <si>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</si>
  <si>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</si>
  <si>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</si>
  <si>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</si>
  <si>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</si>
  <si>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</si>
  <si>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</si>
  <si>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</si>
  <si>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</si>
  <si>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</si>
  <si>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</si>
  <si>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</si>
  <si>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</si>
  <si>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</si>
  <si>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</si>
  <si>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</si>
  <si>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</si>
  <si>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</si>
  <si>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</si>
  <si>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</si>
  <si>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</si>
  <si>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</si>
  <si>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</si>
  <si>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</si>
  <si>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</si>
  <si>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</si>
  <si>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</si>
  <si>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REASON FOR SUBMISSION:</t>
  </si>
  <si>
    <t>Determination of Refractive Power is according to AZDIN 52305 for Zones 1 and 2.</t>
  </si>
  <si>
    <t>EVALUATION</t>
  </si>
  <si>
    <t>IMAGE 1</t>
  </si>
  <si>
    <t>IMAGE 2</t>
  </si>
  <si>
    <t>IMAGE PC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</si>
  <si>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</si>
  <si>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</si>
  <si>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</si>
  <si>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</si>
  <si>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</si>
  <si>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</si>
  <si>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</si>
  <si>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</si>
  <si>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Pag 1 of 7</t>
  </si>
  <si>
    <t>Pag 2 of 7</t>
  </si>
  <si>
    <t>Pag 3 of 7</t>
  </si>
  <si>
    <t>Pag 4 of 7</t>
  </si>
  <si>
    <t>Pag 5 of 7</t>
  </si>
  <si>
    <t>Pag 6 of 7</t>
  </si>
  <si>
    <t>Pag 7 of 7</t>
  </si>
  <si>
    <t>CUSTOMS STICKER</t>
  </si>
  <si>
    <t>L31-1</t>
  </si>
  <si>
    <t>THICKNESS (31.0 - 34,3) mm</t>
  </si>
  <si>
    <t>DIVIDING BLACK MASKING VERTICAL FRINGES ALIGNED</t>
  </si>
  <si>
    <t>751-28-03A-15-F01 V.5</t>
  </si>
  <si>
    <t>BMW G05 X5 4D U 2020</t>
  </si>
  <si>
    <t>1220200814</t>
  </si>
  <si>
    <t>GREEN LIGHT</t>
  </si>
  <si>
    <t>Luis Florez</t>
  </si>
  <si>
    <t>16</t>
  </si>
  <si>
    <t>2</t>
  </si>
  <si>
    <t>2021</t>
  </si>
  <si>
    <t>16/2/2021</t>
  </si>
  <si>
    <t>ELENA BEJARANO</t>
  </si>
  <si>
    <t>LINA TOVA</t>
  </si>
  <si>
    <t xml:space="preserve">LINA TOVA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</si>
</sst>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 tint="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8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4" borderId="0" xfId="1" applyFont="1" applyFill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6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17" fillId="0" borderId="0" xfId="0" applyFont="1" applyAlignment="1">
      <alignment horizontal="left" readingOrder="1"/>
    </xf>
    <xf numFmtId="0" fontId="5" fillId="4" borderId="5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6" xfId="1" applyNumberFormat="1" applyFont="1" applyFill="1" applyBorder="1" applyAlignment="1">
      <alignment horizontal="left" vertical="center"/>
    </xf>
    <xf numFmtId="14" fontId="5" fillId="4" borderId="6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6" xfId="1" applyFill="1" applyBorder="1"/>
    <xf numFmtId="0" fontId="1" fillId="4" borderId="0" xfId="1" applyFont="1" applyFill="1" applyAlignment="1">
      <alignment horizontal="left"/>
    </xf>
    <xf numFmtId="0" fontId="1" fillId="4" borderId="6" xfId="1" applyFont="1" applyFill="1" applyBorder="1" applyAlignment="1">
      <alignment horizontal="center"/>
    </xf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8" xfId="1" applyFill="1" applyBorder="1"/>
    <xf numFmtId="0" fontId="3" fillId="4" borderId="4" xfId="1" applyFill="1" applyBorder="1"/>
    <xf numFmtId="0" fontId="1" fillId="4" borderId="4" xfId="1" applyFont="1" applyFill="1" applyBorder="1"/>
    <xf numFmtId="0" fontId="3" fillId="4" borderId="5" xfId="1" applyFill="1" applyBorder="1"/>
    <xf numFmtId="0" fontId="3" fillId="4" borderId="3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9" xfId="1" applyFill="1" applyBorder="1"/>
    <xf numFmtId="0" fontId="3" fillId="4" borderId="7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1" fillId="0" borderId="8" xfId="0" applyFont="1" applyBorder="1"/>
    <xf numFmtId="0" fontId="3" fillId="0" borderId="4" xfId="0" applyFont="1" applyBorder="1"/>
    <xf numFmtId="0" fontId="1" fillId="0" borderId="3" xfId="0" applyFont="1" applyBorder="1"/>
    <xf numFmtId="0" fontId="3" fillId="0" borderId="9" xfId="0" applyFont="1" applyBorder="1"/>
    <xf numFmtId="0" fontId="3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4" borderId="0" xfId="1" applyFill="1" applyAlignment="1">
      <alignment horizontal="left" vertical="center"/>
    </xf>
    <xf numFmtId="0" fontId="1" fillId="4" borderId="0" xfId="1" applyFont="1" applyFill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0" borderId="0" xfId="1" applyFont="1"/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0" fontId="1" fillId="5" borderId="0" xfId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5" borderId="0" xfId="1" applyFont="1" applyFill="1"/>
    <xf numFmtId="0" fontId="0" fillId="0" borderId="4" xfId="0" applyBorder="1"/>
    <xf numFmtId="0" fontId="1" fillId="0" borderId="2" xfId="0" applyFont="1" applyBorder="1" applyAlignment="1">
      <alignment horizontal="right" vertical="center"/>
    </xf>
    <xf numFmtId="0" fontId="0" fillId="0" borderId="2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49" fontId="1" fillId="5" borderId="4" xfId="0" applyNumberFormat="1" applyFont="1" applyFill="1" applyBorder="1" applyAlignment="1">
      <alignment vertical="center"/>
    </xf>
    <xf numFmtId="0" fontId="3" fillId="5" borderId="1" xfId="1" applyFill="1" applyBorder="1" applyAlignment="1" applyProtection="1">
      <alignment horizontal="center" vertical="center"/>
      <protection locked="0"/>
    </xf>
    <xf numFmtId="0" fontId="1" fillId="4" borderId="11" xfId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/>
    </xf>
    <xf numFmtId="0" fontId="1" fillId="4" borderId="13" xfId="1" applyFont="1" applyFill="1" applyBorder="1" applyAlignment="1">
      <alignment horizontal="center" vertical="center"/>
    </xf>
    <xf numFmtId="0" fontId="1" fillId="4" borderId="22" xfId="1" applyFont="1" applyFill="1" applyBorder="1" applyAlignment="1">
      <alignment horizontal="center" vertical="center"/>
    </xf>
    <xf numFmtId="0" fontId="3" fillId="5" borderId="23" xfId="1" applyFill="1" applyBorder="1" applyAlignment="1" applyProtection="1">
      <alignment horizontal="center" vertical="center"/>
      <protection locked="0"/>
    </xf>
    <xf numFmtId="0" fontId="3" fillId="5" borderId="11" xfId="1" applyFill="1" applyBorder="1" applyAlignment="1" applyProtection="1">
      <alignment horizontal="center" vertical="center"/>
      <protection locked="0"/>
    </xf>
    <xf numFmtId="0" fontId="3" fillId="5" borderId="12" xfId="1" applyFill="1" applyBorder="1" applyAlignment="1" applyProtection="1">
      <alignment horizontal="center" vertical="center"/>
      <protection locked="0"/>
    </xf>
    <xf numFmtId="0" fontId="3" fillId="5" borderId="13" xfId="1" applyFill="1" applyBorder="1" applyAlignment="1" applyProtection="1">
      <alignment horizontal="center" vertical="center"/>
      <protection locked="0"/>
    </xf>
    <xf numFmtId="0" fontId="7" fillId="4" borderId="0" xfId="1" applyFont="1" applyFill="1" applyAlignment="1">
      <alignment horizontal="center"/>
    </xf>
    <xf numFmtId="0" fontId="7" fillId="4" borderId="6" xfId="1" applyFont="1" applyFill="1" applyBorder="1" applyAlignment="1">
      <alignment horizontal="center"/>
    </xf>
    <xf numFmtId="0" fontId="3" fillId="5" borderId="1" xfId="1" applyFill="1" applyBorder="1" applyAlignment="1" applyProtection="1">
      <alignment horizontal="center"/>
      <protection locked="0"/>
    </xf>
    <xf numFmtId="0" fontId="3" fillId="5" borderId="11" xfId="1" applyFill="1" applyBorder="1" applyAlignment="1" applyProtection="1">
      <alignment horizontal="center" vertical="center" wrapText="1"/>
      <protection locked="0"/>
    </xf>
    <xf numFmtId="0" fontId="3" fillId="5" borderId="13" xfId="1" applyFill="1" applyBorder="1" applyAlignment="1" applyProtection="1">
      <alignment horizontal="center" vertical="center" wrapText="1"/>
      <protection locked="0"/>
    </xf>
    <xf numFmtId="0" fontId="3" fillId="4" borderId="3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2" xfId="1" applyFill="1" applyBorder="1" applyAlignment="1">
      <alignment horizontal="center" vertical="center"/>
    </xf>
    <xf numFmtId="49" fontId="3" fillId="5" borderId="2" xfId="1" applyNumberFormat="1" applyFill="1" applyBorder="1" applyAlignment="1" applyProtection="1">
      <alignment horizontal="center" vertical="center"/>
      <protection locked="0"/>
    </xf>
    <xf numFmtId="0" fontId="3" fillId="5" borderId="2" xfId="1" applyFill="1" applyBorder="1" applyAlignment="1">
      <alignment horizontal="center"/>
    </xf>
    <xf numFmtId="0" fontId="3" fillId="5" borderId="7" xfId="1" applyFill="1" applyBorder="1" applyAlignment="1">
      <alignment horizontal="center"/>
    </xf>
    <xf numFmtId="0" fontId="3" fillId="4" borderId="12" xfId="1" applyFill="1" applyBorder="1" applyAlignment="1">
      <alignment horizontal="center" vertical="center"/>
    </xf>
    <xf numFmtId="0" fontId="3" fillId="3" borderId="0" xfId="1" applyFill="1" applyAlignment="1">
      <alignment horizontal="right" vertical="center"/>
    </xf>
    <xf numFmtId="0" fontId="3" fillId="5" borderId="12" xfId="1" applyFill="1" applyBorder="1" applyAlignment="1">
      <alignment horizontal="center" vertical="center"/>
    </xf>
    <xf numFmtId="0" fontId="3" fillId="4" borderId="12" xfId="1" applyFill="1" applyBorder="1" applyAlignment="1">
      <alignment horizontal="center"/>
    </xf>
    <xf numFmtId="0" fontId="3" fillId="4" borderId="13" xfId="1" applyFill="1" applyBorder="1" applyAlignment="1">
      <alignment horizontal="center"/>
    </xf>
    <xf numFmtId="0" fontId="1" fillId="4" borderId="11" xfId="1" applyFont="1" applyFill="1" applyBorder="1" applyAlignment="1">
      <alignment horizontal="center" vertical="center" wrapText="1"/>
    </xf>
    <xf numFmtId="0" fontId="1" fillId="4" borderId="12" xfId="1" applyFont="1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0" xfId="1" applyFill="1" applyAlignment="1">
      <alignment horizontal="center"/>
    </xf>
    <xf numFmtId="49" fontId="3" fillId="4" borderId="14" xfId="1" applyNumberFormat="1" applyFill="1" applyBorder="1" applyAlignment="1">
      <alignment horizontal="center" vertical="center" wrapText="1"/>
    </xf>
    <xf numFmtId="49" fontId="3" fillId="4" borderId="14" xfId="1" applyNumberFormat="1" applyFill="1" applyBorder="1" applyAlignment="1">
      <alignment horizontal="center" wrapText="1"/>
    </xf>
    <xf numFmtId="0" fontId="1" fillId="4" borderId="15" xfId="1" applyFont="1" applyFill="1" applyBorder="1" applyAlignment="1" applyProtection="1">
      <alignment horizontal="center"/>
      <protection locked="0"/>
    </xf>
    <xf numFmtId="0" fontId="1" fillId="4" borderId="14" xfId="1" applyFont="1" applyFill="1" applyBorder="1" applyAlignment="1" applyProtection="1">
      <alignment horizontal="center"/>
      <protection locked="0"/>
    </xf>
    <xf numFmtId="0" fontId="1" fillId="4" borderId="16" xfId="1" applyFont="1" applyFill="1" applyBorder="1" applyAlignment="1" applyProtection="1">
      <alignment horizontal="center"/>
      <protection locked="0"/>
    </xf>
    <xf numFmtId="0" fontId="1" fillId="4" borderId="17" xfId="1" applyFont="1" applyFill="1" applyBorder="1" applyAlignment="1" applyProtection="1">
      <alignment horizontal="center"/>
      <protection locked="0"/>
    </xf>
    <xf numFmtId="0" fontId="1" fillId="4" borderId="0" xfId="1" applyFont="1" applyFill="1" applyAlignment="1" applyProtection="1">
      <alignment horizontal="center"/>
      <protection locked="0"/>
    </xf>
    <xf numFmtId="0" fontId="1" fillId="4" borderId="18" xfId="1" applyFont="1" applyFill="1" applyBorder="1" applyAlignment="1" applyProtection="1">
      <alignment horizontal="center"/>
      <protection locked="0"/>
    </xf>
    <xf numFmtId="0" fontId="3" fillId="3" borderId="19" xfId="0" applyFont="1" applyFill="1" applyBorder="1" applyAlignment="1" applyProtection="1">
      <alignment horizontal="right"/>
      <protection locked="0"/>
    </xf>
    <xf numFmtId="0" fontId="3" fillId="3" borderId="20" xfId="0" applyFont="1" applyFill="1" applyBorder="1" applyAlignment="1" applyProtection="1">
      <alignment horizontal="right"/>
      <protection locked="0"/>
    </xf>
    <xf numFmtId="0" fontId="3" fillId="3" borderId="21" xfId="0" applyFont="1" applyFill="1" applyBorder="1" applyAlignment="1" applyProtection="1">
      <alignment horizontal="right"/>
      <protection locked="0"/>
    </xf>
    <xf numFmtId="0" fontId="1" fillId="4" borderId="0" xfId="1" applyFont="1" applyFill="1" applyAlignment="1">
      <alignment horizontal="center"/>
    </xf>
    <xf numFmtId="0" fontId="1" fillId="6" borderId="11" xfId="1" applyFont="1" applyFill="1" applyBorder="1" applyAlignment="1">
      <alignment horizontal="center"/>
    </xf>
    <xf numFmtId="0" fontId="1" fillId="6" borderId="12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3" fillId="5" borderId="11" xfId="1" applyFill="1" applyBorder="1" applyAlignment="1" applyProtection="1">
      <alignment horizontal="center"/>
      <protection locked="0"/>
    </xf>
    <xf numFmtId="0" fontId="3" fillId="5" borderId="12" xfId="1" applyFill="1" applyBorder="1" applyAlignment="1" applyProtection="1">
      <alignment horizontal="center"/>
      <protection locked="0"/>
    </xf>
    <xf numFmtId="0" fontId="3" fillId="5" borderId="13" xfId="1" applyFill="1" applyBorder="1" applyAlignment="1" applyProtection="1">
      <alignment horizontal="center"/>
      <protection locked="0"/>
    </xf>
    <xf numFmtId="0" fontId="3" fillId="5" borderId="11" xfId="1" applyFill="1" applyBorder="1" applyAlignment="1">
      <alignment horizontal="center"/>
    </xf>
    <xf numFmtId="0" fontId="3" fillId="5" borderId="12" xfId="1" applyFill="1" applyBorder="1" applyAlignment="1">
      <alignment horizontal="center"/>
    </xf>
    <xf numFmtId="0" fontId="3" fillId="5" borderId="13" xfId="1" applyFill="1" applyBorder="1" applyAlignment="1">
      <alignment horizontal="center"/>
    </xf>
    <xf numFmtId="0" fontId="3" fillId="5" borderId="13" xfId="1" applyFill="1" applyBorder="1" applyProtection="1">
      <protection locked="0"/>
    </xf>
    <xf numFmtId="0" fontId="20" fillId="6" borderId="11" xfId="1" applyFont="1" applyFill="1" applyBorder="1" applyAlignment="1">
      <alignment horizontal="center" vertical="center"/>
    </xf>
    <xf numFmtId="0" fontId="20" fillId="6" borderId="12" xfId="1" applyFont="1" applyFill="1" applyBorder="1" applyAlignment="1">
      <alignment horizontal="center" vertical="center"/>
    </xf>
    <xf numFmtId="0" fontId="20" fillId="6" borderId="13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1" fillId="5" borderId="4" xfId="1" applyFont="1" applyFill="1" applyBorder="1" applyAlignment="1">
      <alignment horizontal="center"/>
    </xf>
    <xf numFmtId="0" fontId="3" fillId="4" borderId="11" xfId="1" applyFill="1" applyBorder="1" applyAlignment="1" applyProtection="1">
      <alignment horizontal="left"/>
      <protection locked="0"/>
    </xf>
    <xf numFmtId="0" fontId="3" fillId="4" borderId="12" xfId="1" applyFill="1" applyBorder="1" applyAlignment="1" applyProtection="1">
      <alignment horizontal="left"/>
      <protection locked="0"/>
    </xf>
    <xf numFmtId="0" fontId="3" fillId="4" borderId="13" xfId="1" applyFill="1" applyBorder="1" applyAlignment="1" applyProtection="1">
      <alignment horizontal="left"/>
      <protection locked="0"/>
    </xf>
    <xf numFmtId="0" fontId="3" fillId="4" borderId="0" xfId="1" applyFill="1" applyAlignment="1" applyProtection="1">
      <alignment horizontal="left"/>
      <protection locked="0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20" fillId="6" borderId="11" xfId="1" applyFont="1" applyFill="1" applyBorder="1" applyAlignment="1">
      <alignment horizontal="center" vertical="center" wrapText="1"/>
    </xf>
    <xf numFmtId="0" fontId="20" fillId="6" borderId="12" xfId="1" applyFont="1" applyFill="1" applyBorder="1" applyAlignment="1">
      <alignment horizontal="center" vertical="center" wrapText="1"/>
    </xf>
    <xf numFmtId="0" fontId="20" fillId="6" borderId="13" xfId="1" applyFont="1" applyFill="1" applyBorder="1" applyAlignment="1">
      <alignment horizontal="center" vertical="center" wrapText="1"/>
    </xf>
    <xf numFmtId="0" fontId="1" fillId="5" borderId="11" xfId="1" applyFont="1" applyFill="1" applyBorder="1" applyAlignment="1" applyProtection="1">
      <alignment horizontal="center" vertical="center"/>
      <protection locked="0"/>
    </xf>
    <xf numFmtId="0" fontId="1" fillId="5" borderId="12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3" fillId="4" borderId="11" xfId="1" applyFill="1" applyBorder="1" applyAlignment="1" applyProtection="1">
      <alignment horizontal="center"/>
      <protection locked="0"/>
    </xf>
    <xf numFmtId="0" fontId="3" fillId="4" borderId="12" xfId="1" applyFill="1" applyBorder="1" applyAlignment="1" applyProtection="1">
      <alignment horizontal="center"/>
      <protection locked="0"/>
    </xf>
    <xf numFmtId="0" fontId="3" fillId="4" borderId="13" xfId="1" applyFill="1" applyBorder="1" applyAlignment="1" applyProtection="1">
      <alignment horizontal="center"/>
      <protection locked="0"/>
    </xf>
    <xf numFmtId="0" fontId="1" fillId="5" borderId="2" xfId="1" applyFont="1" applyFill="1" applyBorder="1" applyAlignment="1">
      <alignment horizontal="center"/>
    </xf>
    <xf numFmtId="0" fontId="3" fillId="5" borderId="0" xfId="1" applyFill="1" applyAlignment="1">
      <alignment horizontal="center" vertic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19" fillId="5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067" name="Text Box 11">
          <a:extLst>
            <a:ext uri="{FF2B5EF4-FFF2-40B4-BE49-F238E27FC236}">
              <a16:creationId xmlns:a16="http://schemas.microsoft.com/office/drawing/2014/main" id="{00000000-0008-0000-0000-0000FB76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68580</xdr:rowOff>
    </xdr:to>
    <xdr:sp macro="" textlink="">
      <xdr:nvSpPr>
        <xdr:cNvPr id="227068" name="Text Box 12">
          <a:extLst>
            <a:ext uri="{FF2B5EF4-FFF2-40B4-BE49-F238E27FC236}">
              <a16:creationId xmlns:a16="http://schemas.microsoft.com/office/drawing/2014/main" id="{00000000-0008-0000-0000-0000FC76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68580</xdr:rowOff>
    </xdr:to>
    <xdr:sp macro="" textlink="">
      <xdr:nvSpPr>
        <xdr:cNvPr id="227069" name="Text Box 13">
          <a:extLst>
            <a:ext uri="{FF2B5EF4-FFF2-40B4-BE49-F238E27FC236}">
              <a16:creationId xmlns:a16="http://schemas.microsoft.com/office/drawing/2014/main" id="{00000000-0008-0000-0000-0000FD76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36</xdr:col>
      <xdr:colOff>441960</xdr:colOff>
      <xdr:row>36</xdr:row>
      <xdr:rowOff>38100</xdr:rowOff>
    </xdr:to>
    <xdr:sp macro="" textlink="">
      <xdr:nvSpPr>
        <xdr:cNvPr id="227070" name="Text Box 14">
          <a:extLst>
            <a:ext uri="{FF2B5EF4-FFF2-40B4-BE49-F238E27FC236}">
              <a16:creationId xmlns:a16="http://schemas.microsoft.com/office/drawing/2014/main" id="{00000000-0008-0000-0000-0000FE76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36</xdr:col>
      <xdr:colOff>441960</xdr:colOff>
      <xdr:row>37</xdr:row>
      <xdr:rowOff>7620</xdr:rowOff>
    </xdr:to>
    <xdr:sp macro="" textlink="">
      <xdr:nvSpPr>
        <xdr:cNvPr id="227071" name="Text Box 15">
          <a:extLst>
            <a:ext uri="{FF2B5EF4-FFF2-40B4-BE49-F238E27FC236}">
              <a16:creationId xmlns:a16="http://schemas.microsoft.com/office/drawing/2014/main" id="{00000000-0008-0000-0000-0000FF76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2484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072" name="Text Box 1490">
          <a:extLst>
            <a:ext uri="{FF2B5EF4-FFF2-40B4-BE49-F238E27FC236}">
              <a16:creationId xmlns:a16="http://schemas.microsoft.com/office/drawing/2014/main" id="{00000000-0008-0000-0000-000000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073" name="Text Box 1494">
          <a:extLst>
            <a:ext uri="{FF2B5EF4-FFF2-40B4-BE49-F238E27FC236}">
              <a16:creationId xmlns:a16="http://schemas.microsoft.com/office/drawing/2014/main" id="{00000000-0008-0000-0000-000001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27074" name="12 Imagen">
          <a:extLst>
            <a:ext uri="{FF2B5EF4-FFF2-40B4-BE49-F238E27FC236}">
              <a16:creationId xmlns:a16="http://schemas.microsoft.com/office/drawing/2014/main" id="{00000000-0008-0000-0000-00000277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24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24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24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25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24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24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24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25</xdr:row>
      <xdr:rowOff>64770</xdr:rowOff>
    </xdr:from>
    <xdr:to>
      <xdr:col>27</xdr:col>
      <xdr:colOff>124979</xdr:colOff>
      <xdr:row>36</xdr:row>
      <xdr:rowOff>67054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5</xdr:col>
      <xdr:colOff>106680</xdr:colOff>
      <xdr:row>22</xdr:row>
      <xdr:rowOff>22860</xdr:rowOff>
    </xdr:to>
    <xdr:sp macro="" textlink="">
      <xdr:nvSpPr>
        <xdr:cNvPr id="227098" name="Text Box 11">
          <a:extLst>
            <a:ext uri="{FF2B5EF4-FFF2-40B4-BE49-F238E27FC236}">
              <a16:creationId xmlns:a16="http://schemas.microsoft.com/office/drawing/2014/main" id="{00000000-0008-0000-0000-00001A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1628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45720</xdr:rowOff>
    </xdr:to>
    <xdr:sp macro="" textlink="">
      <xdr:nvSpPr>
        <xdr:cNvPr id="227099" name="Text Box 12">
          <a:extLst>
            <a:ext uri="{FF2B5EF4-FFF2-40B4-BE49-F238E27FC236}">
              <a16:creationId xmlns:a16="http://schemas.microsoft.com/office/drawing/2014/main" id="{00000000-0008-0000-0000-00001B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45720</xdr:rowOff>
    </xdr:to>
    <xdr:sp macro="" textlink="">
      <xdr:nvSpPr>
        <xdr:cNvPr id="227100" name="Text Box 13">
          <a:extLst>
            <a:ext uri="{FF2B5EF4-FFF2-40B4-BE49-F238E27FC236}">
              <a16:creationId xmlns:a16="http://schemas.microsoft.com/office/drawing/2014/main" id="{00000000-0008-0000-0000-00001C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22860</xdr:colOff>
      <xdr:row>36</xdr:row>
      <xdr:rowOff>30480</xdr:rowOff>
    </xdr:to>
    <xdr:sp macro="" textlink="">
      <xdr:nvSpPr>
        <xdr:cNvPr id="227101" name="Text Box 14">
          <a:extLst>
            <a:ext uri="{FF2B5EF4-FFF2-40B4-BE49-F238E27FC236}">
              <a16:creationId xmlns:a16="http://schemas.microsoft.com/office/drawing/2014/main" id="{00000000-0008-0000-0000-00001D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62484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22860</xdr:colOff>
      <xdr:row>37</xdr:row>
      <xdr:rowOff>7620</xdr:rowOff>
    </xdr:to>
    <xdr:sp macro="" textlink="">
      <xdr:nvSpPr>
        <xdr:cNvPr id="227102" name="Text Box 15">
          <a:extLst>
            <a:ext uri="{FF2B5EF4-FFF2-40B4-BE49-F238E27FC236}">
              <a16:creationId xmlns:a16="http://schemas.microsoft.com/office/drawing/2014/main" id="{00000000-0008-0000-0000-00001E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553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103" name="Text Box 1490">
          <a:extLst>
            <a:ext uri="{FF2B5EF4-FFF2-40B4-BE49-F238E27FC236}">
              <a16:creationId xmlns:a16="http://schemas.microsoft.com/office/drawing/2014/main" id="{00000000-0008-0000-0000-00001F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104" name="Text Box 1494">
          <a:extLst>
            <a:ext uri="{FF2B5EF4-FFF2-40B4-BE49-F238E27FC236}">
              <a16:creationId xmlns:a16="http://schemas.microsoft.com/office/drawing/2014/main" id="{00000000-0008-0000-0000-000020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3274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5844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5304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3305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8608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30800" y="4540250"/>
          <a:ext cx="272825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6924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600575" y="458152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23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860800" y="4616450"/>
          <a:ext cx="234913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524250" y="441007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5815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229100" y="4581525"/>
          <a:ext cx="254074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768600" y="4619625"/>
          <a:ext cx="228308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340100" y="4616450"/>
          <a:ext cx="238276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8641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1117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 flipH="1">
          <a:off x="49434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124979</xdr:colOff>
      <xdr:row>36</xdr:row>
      <xdr:rowOff>67098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810125" y="6657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727575" y="7362825"/>
          <a:ext cx="2695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43450" y="7077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7908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98675" y="7000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391025" y="7229474"/>
          <a:ext cx="19073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24295" name="12 Imagen">
          <a:extLst>
            <a:ext uri="{FF2B5EF4-FFF2-40B4-BE49-F238E27FC236}">
              <a16:creationId xmlns:a16="http://schemas.microsoft.com/office/drawing/2014/main" id="{00000000-0008-0000-0100-0000276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8</xdr:row>
          <xdr:rowOff>45720</xdr:rowOff>
        </xdr:from>
        <xdr:to>
          <xdr:col>5</xdr:col>
          <xdr:colOff>975360</xdr:colOff>
          <xdr:row>10</xdr:row>
          <xdr:rowOff>30480</xdr:rowOff>
        </xdr:to>
        <xdr:sp macro="" textlink="">
          <xdr:nvSpPr>
            <xdr:cNvPr id="224264" name="Check Box 8" hidden="1">
              <a:extLst>
                <a:ext uri="{63B3BB69-23CF-44E3-9099-C40C66FF867C}">
                  <a14:compatExt spid="_x0000_s224264"/>
                </a:ext>
                <a:ext uri="{FF2B5EF4-FFF2-40B4-BE49-F238E27FC236}">
                  <a16:creationId xmlns:a16="http://schemas.microsoft.com/office/drawing/2014/main" id="{00000000-0008-0000-0100-000008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10</xdr:row>
          <xdr:rowOff>22860</xdr:rowOff>
        </xdr:from>
        <xdr:to>
          <xdr:col>5</xdr:col>
          <xdr:colOff>975360</xdr:colOff>
          <xdr:row>11</xdr:row>
          <xdr:rowOff>38100</xdr:rowOff>
        </xdr:to>
        <xdr:sp macro="" textlink="">
          <xdr:nvSpPr>
            <xdr:cNvPr id="224265" name="Check Box 9" hidden="1">
              <a:extLst>
                <a:ext uri="{63B3BB69-23CF-44E3-9099-C40C66FF867C}">
                  <a14:compatExt spid="_x0000_s224265"/>
                </a:ext>
                <a:ext uri="{FF2B5EF4-FFF2-40B4-BE49-F238E27FC236}">
                  <a16:creationId xmlns:a16="http://schemas.microsoft.com/office/drawing/2014/main" id="{00000000-0008-0000-0100-000009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11</xdr:row>
          <xdr:rowOff>30480</xdr:rowOff>
        </xdr:from>
        <xdr:to>
          <xdr:col>5</xdr:col>
          <xdr:colOff>975360</xdr:colOff>
          <xdr:row>12</xdr:row>
          <xdr:rowOff>45720</xdr:rowOff>
        </xdr:to>
        <xdr:sp macro="" textlink="">
          <xdr:nvSpPr>
            <xdr:cNvPr id="224266" name="Check Box 10" hidden="1">
              <a:extLst>
                <a:ext uri="{63B3BB69-23CF-44E3-9099-C40C66FF867C}">
                  <a14:compatExt spid="_x0000_s224266"/>
                </a:ext>
                <a:ext uri="{FF2B5EF4-FFF2-40B4-BE49-F238E27FC236}">
                  <a16:creationId xmlns:a16="http://schemas.microsoft.com/office/drawing/2014/main" id="{00000000-0008-0000-0100-00000A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8</xdr:row>
          <xdr:rowOff>38100</xdr:rowOff>
        </xdr:from>
        <xdr:to>
          <xdr:col>2</xdr:col>
          <xdr:colOff>944880</xdr:colOff>
          <xdr:row>10</xdr:row>
          <xdr:rowOff>7620</xdr:rowOff>
        </xdr:to>
        <xdr:sp macro="" textlink="">
          <xdr:nvSpPr>
            <xdr:cNvPr id="224267" name="Check Box 11" hidden="1">
              <a:extLst>
                <a:ext uri="{63B3BB69-23CF-44E3-9099-C40C66FF867C}">
                  <a14:compatExt spid="_x0000_s224267"/>
                </a:ext>
                <a:ext uri="{FF2B5EF4-FFF2-40B4-BE49-F238E27FC236}">
                  <a16:creationId xmlns:a16="http://schemas.microsoft.com/office/drawing/2014/main" id="{00000000-0008-0000-0100-00000B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9</xdr:row>
          <xdr:rowOff>167640</xdr:rowOff>
        </xdr:from>
        <xdr:to>
          <xdr:col>2</xdr:col>
          <xdr:colOff>944880</xdr:colOff>
          <xdr:row>11</xdr:row>
          <xdr:rowOff>0</xdr:rowOff>
        </xdr:to>
        <xdr:sp macro="" textlink="">
          <xdr:nvSpPr>
            <xdr:cNvPr id="224268" name="Check Box 12" hidden="1">
              <a:extLst>
                <a:ext uri="{63B3BB69-23CF-44E3-9099-C40C66FF867C}">
                  <a14:compatExt spid="_x0000_s224268"/>
                </a:ext>
                <a:ext uri="{FF2B5EF4-FFF2-40B4-BE49-F238E27FC236}">
                  <a16:creationId xmlns:a16="http://schemas.microsoft.com/office/drawing/2014/main" id="{00000000-0008-0000-0100-00000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10</xdr:row>
          <xdr:rowOff>160020</xdr:rowOff>
        </xdr:from>
        <xdr:to>
          <xdr:col>2</xdr:col>
          <xdr:colOff>944880</xdr:colOff>
          <xdr:row>12</xdr:row>
          <xdr:rowOff>0</xdr:rowOff>
        </xdr:to>
        <xdr:sp macro="" textlink="">
          <xdr:nvSpPr>
            <xdr:cNvPr id="224269" name="Check Box 13" hidden="1">
              <a:extLst>
                <a:ext uri="{63B3BB69-23CF-44E3-9099-C40C66FF867C}">
                  <a14:compatExt spid="_x0000_s224269"/>
                </a:ext>
                <a:ext uri="{FF2B5EF4-FFF2-40B4-BE49-F238E27FC236}">
                  <a16:creationId xmlns:a16="http://schemas.microsoft.com/office/drawing/2014/main" id="{00000000-0008-0000-0100-00000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746760</xdr:colOff>
          <xdr:row>12</xdr:row>
          <xdr:rowOff>0</xdr:rowOff>
        </xdr:from>
        <xdr:to>
          <xdr:col>2</xdr:col>
          <xdr:colOff>944880</xdr:colOff>
          <xdr:row>13</xdr:row>
          <xdr:rowOff>22860</xdr:rowOff>
        </xdr:to>
        <xdr:sp macro="" textlink="">
          <xdr:nvSpPr>
            <xdr:cNvPr id="224270" name="Check Box 14" hidden="1">
              <a:extLst>
                <a:ext uri="{63B3BB69-23CF-44E3-9099-C40C66FF867C}">
                  <a14:compatExt spid="_x0000_s224270"/>
                </a:ext>
                <a:ext uri="{FF2B5EF4-FFF2-40B4-BE49-F238E27FC236}">
                  <a16:creationId xmlns:a16="http://schemas.microsoft.com/office/drawing/2014/main" id="{00000000-0008-0000-0100-00000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8205" name="12 Imagen">
          <a:extLst>
            <a:ext uri="{FF2B5EF4-FFF2-40B4-BE49-F238E27FC236}">
              <a16:creationId xmlns:a16="http://schemas.microsoft.com/office/drawing/2014/main" id="{00000000-0008-0000-0200-00005D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121920</xdr:rowOff>
        </xdr:from>
        <xdr:to>
          <xdr:col>1</xdr:col>
          <xdr:colOff>784860</xdr:colOff>
          <xdr:row>0</xdr:row>
          <xdr:rowOff>152400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152400</xdr:rowOff>
        </xdr:from>
        <xdr:to>
          <xdr:col>1</xdr:col>
          <xdr:colOff>784860</xdr:colOff>
          <xdr:row>0</xdr:row>
          <xdr:rowOff>198120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190500</xdr:rowOff>
        </xdr:from>
        <xdr:to>
          <xdr:col>1</xdr:col>
          <xdr:colOff>784860</xdr:colOff>
          <xdr:row>1</xdr:row>
          <xdr:rowOff>83820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784860</xdr:colOff>
          <xdr:row>0</xdr:row>
          <xdr:rowOff>213360</xdr:rowOff>
        </xdr:from>
        <xdr:to>
          <xdr:col>1</xdr:col>
          <xdr:colOff>784860</xdr:colOff>
          <xdr:row>1</xdr:row>
          <xdr:rowOff>83820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121920</xdr:rowOff>
        </xdr:from>
        <xdr:to>
          <xdr:col>1</xdr:col>
          <xdr:colOff>1013460</xdr:colOff>
          <xdr:row>0</xdr:row>
          <xdr:rowOff>152400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152400</xdr:rowOff>
        </xdr:from>
        <xdr:to>
          <xdr:col>1</xdr:col>
          <xdr:colOff>1013460</xdr:colOff>
          <xdr:row>0</xdr:row>
          <xdr:rowOff>198120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1013460</xdr:colOff>
          <xdr:row>0</xdr:row>
          <xdr:rowOff>160020</xdr:rowOff>
        </xdr:from>
        <xdr:to>
          <xdr:col>1</xdr:col>
          <xdr:colOff>1013460</xdr:colOff>
          <xdr:row>0</xdr:row>
          <xdr:rowOff>190500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403860</xdr:colOff>
          <xdr:row>6</xdr:row>
          <xdr:rowOff>175260</xdr:rowOff>
        </xdr:to>
        <xdr:sp macro="" textlink="">
          <xdr:nvSpPr>
            <xdr:cNvPr id="218154" name="Check Box 42" hidden="1">
              <a:extLst>
                <a:ext uri="{63B3BB69-23CF-44E3-9099-C40C66FF867C}">
                  <a14:compatExt spid="_x0000_s218154"/>
                </a:ext>
                <a:ext uri="{FF2B5EF4-FFF2-40B4-BE49-F238E27FC236}">
                  <a16:creationId xmlns:a16="http://schemas.microsoft.com/office/drawing/2014/main" id="{00000000-0008-0000-0200-00002A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403860</xdr:colOff>
          <xdr:row>7</xdr:row>
          <xdr:rowOff>175260</xdr:rowOff>
        </xdr:to>
        <xdr:sp macro="" textlink="">
          <xdr:nvSpPr>
            <xdr:cNvPr id="218155" name="Check Box 43" hidden="1">
              <a:extLst>
                <a:ext uri="{63B3BB69-23CF-44E3-9099-C40C66FF867C}">
                  <a14:compatExt spid="_x0000_s218155"/>
                </a:ext>
                <a:ext uri="{FF2B5EF4-FFF2-40B4-BE49-F238E27FC236}">
                  <a16:creationId xmlns:a16="http://schemas.microsoft.com/office/drawing/2014/main" id="{00000000-0008-0000-0200-00002B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7620</xdr:rowOff>
        </xdr:from>
        <xdr:to>
          <xdr:col>3</xdr:col>
          <xdr:colOff>403860</xdr:colOff>
          <xdr:row>8</xdr:row>
          <xdr:rowOff>175260</xdr:rowOff>
        </xdr:to>
        <xdr:sp macro="" textlink="">
          <xdr:nvSpPr>
            <xdr:cNvPr id="218156" name="Check Box 44" hidden="1">
              <a:extLst>
                <a:ext uri="{63B3BB69-23CF-44E3-9099-C40C66FF867C}">
                  <a14:compatExt spid="_x0000_s218156"/>
                </a:ext>
                <a:ext uri="{FF2B5EF4-FFF2-40B4-BE49-F238E27FC236}">
                  <a16:creationId xmlns:a16="http://schemas.microsoft.com/office/drawing/2014/main" id="{00000000-0008-0000-0200-00002C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7620</xdr:rowOff>
        </xdr:from>
        <xdr:to>
          <xdr:col>3</xdr:col>
          <xdr:colOff>403860</xdr:colOff>
          <xdr:row>9</xdr:row>
          <xdr:rowOff>175260</xdr:rowOff>
        </xdr:to>
        <xdr:sp macro="" textlink="">
          <xdr:nvSpPr>
            <xdr:cNvPr id="218157" name="Check Box 45" hidden="1">
              <a:extLst>
                <a:ext uri="{63B3BB69-23CF-44E3-9099-C40C66FF867C}">
                  <a14:compatExt spid="_x0000_s218157"/>
                </a:ext>
                <a:ext uri="{FF2B5EF4-FFF2-40B4-BE49-F238E27FC236}">
                  <a16:creationId xmlns:a16="http://schemas.microsoft.com/office/drawing/2014/main" id="{00000000-0008-0000-0200-00002D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6</xdr:row>
          <xdr:rowOff>7620</xdr:rowOff>
        </xdr:from>
        <xdr:to>
          <xdr:col>11</xdr:col>
          <xdr:colOff>830580</xdr:colOff>
          <xdr:row>6</xdr:row>
          <xdr:rowOff>175260</xdr:rowOff>
        </xdr:to>
        <xdr:sp macro="" textlink="">
          <xdr:nvSpPr>
            <xdr:cNvPr id="218158" name="Check Box 46" hidden="1">
              <a:extLst>
                <a:ext uri="{63B3BB69-23CF-44E3-9099-C40C66FF867C}">
                  <a14:compatExt spid="_x0000_s218158"/>
                </a:ext>
                <a:ext uri="{FF2B5EF4-FFF2-40B4-BE49-F238E27FC236}">
                  <a16:creationId xmlns:a16="http://schemas.microsoft.com/office/drawing/2014/main" id="{00000000-0008-0000-0200-00002E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7</xdr:row>
          <xdr:rowOff>7620</xdr:rowOff>
        </xdr:from>
        <xdr:to>
          <xdr:col>11</xdr:col>
          <xdr:colOff>830580</xdr:colOff>
          <xdr:row>7</xdr:row>
          <xdr:rowOff>175260</xdr:rowOff>
        </xdr:to>
        <xdr:sp macro="" textlink="">
          <xdr:nvSpPr>
            <xdr:cNvPr id="218159" name="Check Box 47" hidden="1">
              <a:extLst>
                <a:ext uri="{63B3BB69-23CF-44E3-9099-C40C66FF867C}">
                  <a14:compatExt spid="_x0000_s218159"/>
                </a:ext>
                <a:ext uri="{FF2B5EF4-FFF2-40B4-BE49-F238E27FC236}">
                  <a16:creationId xmlns:a16="http://schemas.microsoft.com/office/drawing/2014/main" id="{00000000-0008-0000-0200-00002F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8</xdr:row>
          <xdr:rowOff>7620</xdr:rowOff>
        </xdr:from>
        <xdr:to>
          <xdr:col>11</xdr:col>
          <xdr:colOff>830580</xdr:colOff>
          <xdr:row>8</xdr:row>
          <xdr:rowOff>175260</xdr:rowOff>
        </xdr:to>
        <xdr:sp macro="" textlink="">
          <xdr:nvSpPr>
            <xdr:cNvPr id="218160" name="Check Box 48" hidden="1">
              <a:extLst>
                <a:ext uri="{63B3BB69-23CF-44E3-9099-C40C66FF867C}">
                  <a14:compatExt spid="_x0000_s218160"/>
                </a:ext>
                <a:ext uri="{FF2B5EF4-FFF2-40B4-BE49-F238E27FC236}">
                  <a16:creationId xmlns:a16="http://schemas.microsoft.com/office/drawing/2014/main" id="{00000000-0008-0000-0200-000030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12</xdr:row>
      <xdr:rowOff>104775</xdr:rowOff>
    </xdr:from>
    <xdr:to>
      <xdr:col>12</xdr:col>
      <xdr:colOff>878227</xdr:colOff>
      <xdr:row>26</xdr:row>
      <xdr:rowOff>66675</xdr:rowOff>
    </xdr:to>
    <xdr:pic>
      <xdr:nvPicPr>
        <xdr:cNvPr id="219439" name="Imagen 1">
          <a:extLst>
            <a:ext uri="{FF2B5EF4-FFF2-40B4-BE49-F238E27FC236}">
              <a16:creationId xmlns:a16="http://schemas.microsoft.com/office/drawing/2014/main" id="{00000000-0008-0000-0300-00002F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33525" y="2686050"/>
          <a:ext cx="5191125" cy="240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31</xdr:row>
      <xdr:rowOff>85725</xdr:rowOff>
    </xdr:from>
    <xdr:to>
      <xdr:col>12</xdr:col>
      <xdr:colOff>889635</xdr:colOff>
      <xdr:row>43</xdr:row>
      <xdr:rowOff>125749</xdr:rowOff>
    </xdr:to>
    <xdr:pic>
      <xdr:nvPicPr>
        <xdr:cNvPr id="219440" name="Imagen 17">
          <a:extLst>
            <a:ext uri="{FF2B5EF4-FFF2-40B4-BE49-F238E27FC236}">
              <a16:creationId xmlns:a16="http://schemas.microsoft.com/office/drawing/2014/main" id="{00000000-0008-0000-0300-000030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33525" y="5981700"/>
          <a:ext cx="5210175" cy="2257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9490" name="12 Imagen">
          <a:extLst>
            <a:ext uri="{FF2B5EF4-FFF2-40B4-BE49-F238E27FC236}">
              <a16:creationId xmlns:a16="http://schemas.microsoft.com/office/drawing/2014/main" id="{00000000-0008-0000-0300-000062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3</xdr:col>
          <xdr:colOff>419100</xdr:colOff>
          <xdr:row>6</xdr:row>
          <xdr:rowOff>190500</xdr:rowOff>
        </xdr:to>
        <xdr:sp macro="" textlink="">
          <xdr:nvSpPr>
            <xdr:cNvPr id="219144" name="Check Box 8" hidden="1">
              <a:extLst>
                <a:ext uri="{63B3BB69-23CF-44E3-9099-C40C66FF867C}">
                  <a14:compatExt spid="_x0000_s219144"/>
                </a:ext>
                <a:ext uri="{FF2B5EF4-FFF2-40B4-BE49-F238E27FC236}">
                  <a16:creationId xmlns:a16="http://schemas.microsoft.com/office/drawing/2014/main" id="{00000000-0008-0000-0300-00000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9145" name="Check Box 9" hidden="1">
              <a:extLst>
                <a:ext uri="{63B3BB69-23CF-44E3-9099-C40C66FF867C}">
                  <a14:compatExt spid="_x0000_s219145"/>
                </a:ext>
                <a:ext uri="{FF2B5EF4-FFF2-40B4-BE49-F238E27FC236}">
                  <a16:creationId xmlns:a16="http://schemas.microsoft.com/office/drawing/2014/main" id="{00000000-0008-0000-0300-000009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19146" name="Check Box 10" hidden="1">
              <a:extLst>
                <a:ext uri="{63B3BB69-23CF-44E3-9099-C40C66FF867C}">
                  <a14:compatExt spid="_x0000_s219146"/>
                </a:ext>
                <a:ext uri="{FF2B5EF4-FFF2-40B4-BE49-F238E27FC236}">
                  <a16:creationId xmlns:a16="http://schemas.microsoft.com/office/drawing/2014/main" id="{00000000-0008-0000-0300-00000A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19147" name="Check Box 11" hidden="1">
              <a:extLst>
                <a:ext uri="{63B3BB69-23CF-44E3-9099-C40C66FF867C}">
                  <a14:compatExt spid="_x0000_s219147"/>
                </a:ext>
                <a:ext uri="{FF2B5EF4-FFF2-40B4-BE49-F238E27FC236}">
                  <a16:creationId xmlns:a16="http://schemas.microsoft.com/office/drawing/2014/main" id="{00000000-0008-0000-0300-00000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6</xdr:row>
          <xdr:rowOff>7620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19148" name="Check Box 12" hidden="1">
              <a:extLst>
                <a:ext uri="{63B3BB69-23CF-44E3-9099-C40C66FF867C}">
                  <a14:compatExt spid="_x0000_s219148"/>
                </a:ext>
                <a:ext uri="{FF2B5EF4-FFF2-40B4-BE49-F238E27FC236}">
                  <a16:creationId xmlns:a16="http://schemas.microsoft.com/office/drawing/2014/main" id="{00000000-0008-0000-0300-00000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7</xdr:row>
          <xdr:rowOff>7620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19149" name="Check Box 13" hidden="1">
              <a:extLst>
                <a:ext uri="{63B3BB69-23CF-44E3-9099-C40C66FF867C}">
                  <a14:compatExt spid="_x0000_s219149"/>
                </a:ext>
                <a:ext uri="{FF2B5EF4-FFF2-40B4-BE49-F238E27FC236}">
                  <a16:creationId xmlns:a16="http://schemas.microsoft.com/office/drawing/2014/main" id="{00000000-0008-0000-0300-00000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8</xdr:row>
          <xdr:rowOff>7620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19150" name="Check Box 14" hidden="1">
              <a:extLst>
                <a:ext uri="{63B3BB69-23CF-44E3-9099-C40C66FF867C}">
                  <a14:compatExt spid="_x0000_s219150"/>
                </a:ext>
                <a:ext uri="{FF2B5EF4-FFF2-40B4-BE49-F238E27FC236}">
                  <a16:creationId xmlns:a16="http://schemas.microsoft.com/office/drawing/2014/main" id="{00000000-0008-0000-0300-00000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1223" name="12 Imagen">
          <a:extLst>
            <a:ext uri="{FF2B5EF4-FFF2-40B4-BE49-F238E27FC236}">
              <a16:creationId xmlns:a16="http://schemas.microsoft.com/office/drawing/2014/main" id="{00000000-0008-0000-0400-0000276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1185" name="Check Box 1" hidden="1">
              <a:extLst>
                <a:ext uri="{63B3BB69-23CF-44E3-9099-C40C66FF867C}">
                  <a14:compatExt spid="_x0000_s221185"/>
                </a:ext>
                <a:ext uri="{FF2B5EF4-FFF2-40B4-BE49-F238E27FC236}">
                  <a16:creationId xmlns:a16="http://schemas.microsoft.com/office/drawing/2014/main" id="{00000000-0008-0000-0400-000001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1186" name="Check Box 2" hidden="1">
              <a:extLst>
                <a:ext uri="{63B3BB69-23CF-44E3-9099-C40C66FF867C}">
                  <a14:compatExt spid="_x0000_s221186"/>
                </a:ext>
                <a:ext uri="{FF2B5EF4-FFF2-40B4-BE49-F238E27FC236}">
                  <a16:creationId xmlns:a16="http://schemas.microsoft.com/office/drawing/2014/main" id="{00000000-0008-0000-0400-000002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1187" name="Check Box 3" hidden="1">
              <a:extLst>
                <a:ext uri="{63B3BB69-23CF-44E3-9099-C40C66FF867C}">
                  <a14:compatExt spid="_x0000_s221187"/>
                </a:ext>
                <a:ext uri="{FF2B5EF4-FFF2-40B4-BE49-F238E27FC236}">
                  <a16:creationId xmlns:a16="http://schemas.microsoft.com/office/drawing/2014/main" id="{00000000-0008-0000-0400-000003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1188" name="Check Box 4" hidden="1">
              <a:extLst>
                <a:ext uri="{63B3BB69-23CF-44E3-9099-C40C66FF867C}">
                  <a14:compatExt spid="_x0000_s221188"/>
                </a:ext>
                <a:ext uri="{FF2B5EF4-FFF2-40B4-BE49-F238E27FC236}">
                  <a16:creationId xmlns:a16="http://schemas.microsoft.com/office/drawing/2014/main" id="{00000000-0008-0000-0400-000004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6</xdr:row>
          <xdr:rowOff>7620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21189" name="Check Box 5" hidden="1">
              <a:extLst>
                <a:ext uri="{63B3BB69-23CF-44E3-9099-C40C66FF867C}">
                  <a14:compatExt spid="_x0000_s221189"/>
                </a:ext>
                <a:ext uri="{FF2B5EF4-FFF2-40B4-BE49-F238E27FC236}">
                  <a16:creationId xmlns:a16="http://schemas.microsoft.com/office/drawing/2014/main" id="{00000000-0008-0000-0400-000005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7</xdr:row>
          <xdr:rowOff>7620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21190" name="Check Box 6" hidden="1">
              <a:extLst>
                <a:ext uri="{63B3BB69-23CF-44E3-9099-C40C66FF867C}">
                  <a14:compatExt spid="_x0000_s221190"/>
                </a:ext>
                <a:ext uri="{FF2B5EF4-FFF2-40B4-BE49-F238E27FC236}">
                  <a16:creationId xmlns:a16="http://schemas.microsoft.com/office/drawing/2014/main" id="{00000000-0008-0000-0400-000006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8</xdr:row>
          <xdr:rowOff>7620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21191" name="Check Box 7" hidden="1">
              <a:extLst>
                <a:ext uri="{63B3BB69-23CF-44E3-9099-C40C66FF867C}">
                  <a14:compatExt spid="_x0000_s221191"/>
                </a:ext>
                <a:ext uri="{FF2B5EF4-FFF2-40B4-BE49-F238E27FC236}">
                  <a16:creationId xmlns:a16="http://schemas.microsoft.com/office/drawing/2014/main" id="{00000000-0008-0000-0400-000007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2249" name="12 Imagen">
          <a:extLst>
            <a:ext uri="{FF2B5EF4-FFF2-40B4-BE49-F238E27FC236}">
              <a16:creationId xmlns:a16="http://schemas.microsoft.com/office/drawing/2014/main" id="{00000000-0008-0000-0500-0000296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2209" name="Check Box 1" hidden="1">
              <a:extLst>
                <a:ext uri="{63B3BB69-23CF-44E3-9099-C40C66FF867C}">
                  <a14:compatExt spid="_x0000_s222209"/>
                </a:ext>
                <a:ext uri="{FF2B5EF4-FFF2-40B4-BE49-F238E27FC236}">
                  <a16:creationId xmlns:a16="http://schemas.microsoft.com/office/drawing/2014/main" id="{00000000-0008-0000-0500-000001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2210" name="Check Box 2" hidden="1">
              <a:extLst>
                <a:ext uri="{63B3BB69-23CF-44E3-9099-C40C66FF867C}">
                  <a14:compatExt spid="_x0000_s222210"/>
                </a:ext>
                <a:ext uri="{FF2B5EF4-FFF2-40B4-BE49-F238E27FC236}">
                  <a16:creationId xmlns:a16="http://schemas.microsoft.com/office/drawing/2014/main" id="{00000000-0008-0000-0500-000002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2211" name="Check Box 3" hidden="1">
              <a:extLst>
                <a:ext uri="{63B3BB69-23CF-44E3-9099-C40C66FF867C}">
                  <a14:compatExt spid="_x0000_s222211"/>
                </a:ext>
                <a:ext uri="{FF2B5EF4-FFF2-40B4-BE49-F238E27FC236}">
                  <a16:creationId xmlns:a16="http://schemas.microsoft.com/office/drawing/2014/main" id="{00000000-0008-0000-0500-000003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2212" name="Check Box 4" hidden="1">
              <a:extLst>
                <a:ext uri="{63B3BB69-23CF-44E3-9099-C40C66FF867C}">
                  <a14:compatExt spid="_x0000_s222212"/>
                </a:ext>
                <a:ext uri="{FF2B5EF4-FFF2-40B4-BE49-F238E27FC236}">
                  <a16:creationId xmlns:a16="http://schemas.microsoft.com/office/drawing/2014/main" id="{00000000-0008-0000-0500-000004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6</xdr:row>
          <xdr:rowOff>7620</xdr:rowOff>
        </xdr:from>
        <xdr:to>
          <xdr:col>10</xdr:col>
          <xdr:colOff>822960</xdr:colOff>
          <xdr:row>7</xdr:row>
          <xdr:rowOff>0</xdr:rowOff>
        </xdr:to>
        <xdr:sp macro="" textlink="">
          <xdr:nvSpPr>
            <xdr:cNvPr id="222213" name="Check Box 5" hidden="1">
              <a:extLst>
                <a:ext uri="{63B3BB69-23CF-44E3-9099-C40C66FF867C}">
                  <a14:compatExt spid="_x0000_s222213"/>
                </a:ext>
                <a:ext uri="{FF2B5EF4-FFF2-40B4-BE49-F238E27FC236}">
                  <a16:creationId xmlns:a16="http://schemas.microsoft.com/office/drawing/2014/main" id="{00000000-0008-0000-0500-000005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7</xdr:row>
          <xdr:rowOff>7620</xdr:rowOff>
        </xdr:from>
        <xdr:to>
          <xdr:col>10</xdr:col>
          <xdr:colOff>822960</xdr:colOff>
          <xdr:row>8</xdr:row>
          <xdr:rowOff>0</xdr:rowOff>
        </xdr:to>
        <xdr:sp macro="" textlink="">
          <xdr:nvSpPr>
            <xdr:cNvPr id="222214" name="Check Box 6" hidden="1">
              <a:extLst>
                <a:ext uri="{63B3BB69-23CF-44E3-9099-C40C66FF867C}">
                  <a14:compatExt spid="_x0000_s222214"/>
                </a:ext>
                <a:ext uri="{FF2B5EF4-FFF2-40B4-BE49-F238E27FC236}">
                  <a16:creationId xmlns:a16="http://schemas.microsoft.com/office/drawing/2014/main" id="{00000000-0008-0000-0500-000006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8</xdr:row>
          <xdr:rowOff>7620</xdr:rowOff>
        </xdr:from>
        <xdr:to>
          <xdr:col>10</xdr:col>
          <xdr:colOff>822960</xdr:colOff>
          <xdr:row>9</xdr:row>
          <xdr:rowOff>0</xdr:rowOff>
        </xdr:to>
        <xdr:sp macro="" textlink="">
          <xdr:nvSpPr>
            <xdr:cNvPr id="222215" name="Check Box 7" hidden="1">
              <a:extLst>
                <a:ext uri="{63B3BB69-23CF-44E3-9099-C40C66FF867C}">
                  <a14:compatExt spid="_x0000_s222215"/>
                </a:ext>
                <a:ext uri="{FF2B5EF4-FFF2-40B4-BE49-F238E27FC236}">
                  <a16:creationId xmlns:a16="http://schemas.microsoft.com/office/drawing/2014/main" id="{00000000-0008-0000-0500-000007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5303" name="12 Imagen">
          <a:extLst>
            <a:ext uri="{FF2B5EF4-FFF2-40B4-BE49-F238E27FC236}">
              <a16:creationId xmlns:a16="http://schemas.microsoft.com/office/drawing/2014/main" id="{00000000-0008-0000-0600-0000177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6</xdr:row>
          <xdr:rowOff>7620</xdr:rowOff>
        </xdr:from>
        <xdr:to>
          <xdr:col>10</xdr:col>
          <xdr:colOff>822960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7</xdr:row>
          <xdr:rowOff>7620</xdr:rowOff>
        </xdr:from>
        <xdr:to>
          <xdr:col>10</xdr:col>
          <xdr:colOff>822960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632460</xdr:colOff>
          <xdr:row>8</xdr:row>
          <xdr:rowOff>7620</xdr:rowOff>
        </xdr:from>
        <xdr:to>
          <xdr:col>10</xdr:col>
          <xdr:colOff>822960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84" name="Text Box 1">
          <a:extLst>
            <a:ext uri="{FF2B5EF4-FFF2-40B4-BE49-F238E27FC236}">
              <a16:creationId xmlns:a16="http://schemas.microsoft.com/office/drawing/2014/main" id="{00000000-0008-0000-0A00-0000BC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7"/>
  <sheetViews>
    <sheetView view="pageBreakPreview" topLeftCell="A60" zoomScaleNormal="100" zoomScaleSheetLayoutView="100" workbookViewId="0">
      <selection activeCell="Y84" sqref="Y84:AF84"/>
    </sheetView>
  </sheetViews>
  <sheetFormatPr baseColWidth="10" defaultColWidth="2.6640625" defaultRowHeight="13.2" x14ac:dyDescent="0.25"/>
  <cols>
    <col min="1" max="1" width="4.6640625" style="56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2.1093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2.5546875" customWidth="1"/>
    <col min="33" max="33" width="4.109375" customWidth="1"/>
    <col min="34" max="34" width="3.88671875" customWidth="1"/>
    <col min="35" max="35" width="3.109375" customWidth="1"/>
    <col min="36" max="36" width="2.6640625" customWidth="1"/>
    <col min="37" max="37" width="6.5546875" customWidth="1"/>
    <col min="38" max="38" width="3.88671875" customWidth="1"/>
    <col min="39" max="39" width="1.88671875" customWidth="1"/>
    <col min="40" max="40" width="2.33203125" customWidth="1"/>
    <col min="41" max="41" width="5.6640625" customWidth="1"/>
    <col min="42" max="42" width="5.33203125" customWidth="1"/>
    <col min="43" max="43" width="8.109375" customWidth="1"/>
    <col min="44" max="44" width="1" customWidth="1"/>
    <col min="45" max="45" width="6.109375" customWidth="1"/>
    <col min="46" max="46" width="6" customWidth="1"/>
    <col min="47" max="47" width="7.10937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4"/>
      <c r="AV1" s="23"/>
      <c r="AW1" s="163"/>
    </row>
    <row r="2" spans="1:49" ht="21.75" customHeight="1" x14ac:dyDescent="0.4">
      <c r="A2" s="25"/>
      <c r="B2" s="26"/>
      <c r="C2" s="27"/>
      <c r="D2" s="27"/>
      <c r="E2" s="27"/>
      <c r="F2" s="27"/>
      <c r="G2" s="27"/>
      <c r="H2" s="27"/>
      <c r="I2" s="26"/>
      <c r="J2" s="26"/>
      <c r="K2" s="26"/>
      <c r="L2" s="26"/>
      <c r="M2" s="28"/>
      <c r="N2" s="26"/>
      <c r="O2" s="26"/>
      <c r="P2" s="26"/>
      <c r="Q2" s="26"/>
      <c r="R2" s="26"/>
      <c r="S2" s="26"/>
      <c r="T2" s="27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 t="s">
        <v>33</v>
      </c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164"/>
      <c r="AU2" s="164"/>
      <c r="AV2" s="29"/>
      <c r="AW2" s="163"/>
    </row>
    <row r="3" spans="1:49" ht="12.75" customHeight="1" x14ac:dyDescent="0.25">
      <c r="A3" s="25"/>
      <c r="B3" s="26"/>
      <c r="C3" s="26"/>
      <c r="D3" s="26"/>
      <c r="E3" s="26"/>
      <c r="F3" s="26"/>
      <c r="G3" s="26"/>
      <c r="H3" s="26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30"/>
      <c r="AF3" s="30" t="s">
        <v>34</v>
      </c>
      <c r="AG3" s="26"/>
      <c r="AH3" s="30"/>
      <c r="AI3" s="30"/>
      <c r="AJ3" s="30"/>
      <c r="AK3" s="26"/>
      <c r="AL3" s="26"/>
      <c r="AM3" s="26"/>
      <c r="AN3" s="26"/>
      <c r="AO3" s="26"/>
      <c r="AP3" s="26"/>
      <c r="AQ3" s="26"/>
      <c r="AR3" s="26"/>
      <c r="AS3" s="26"/>
      <c r="AT3" s="164"/>
      <c r="AU3" s="164"/>
      <c r="AV3" s="31"/>
      <c r="AW3" s="163"/>
    </row>
    <row r="4" spans="1:49" ht="12.75" customHeight="1" x14ac:dyDescent="0.25">
      <c r="A4" s="25"/>
      <c r="B4" s="26"/>
      <c r="C4" s="26"/>
      <c r="D4" s="26"/>
      <c r="E4" s="26"/>
      <c r="F4" s="26"/>
      <c r="G4" s="30"/>
      <c r="H4" s="26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30"/>
      <c r="AF4" s="30" t="s">
        <v>128</v>
      </c>
      <c r="AG4" s="26"/>
      <c r="AH4" s="30"/>
      <c r="AI4" s="30"/>
      <c r="AJ4" s="30"/>
      <c r="AK4" s="26"/>
      <c r="AL4" s="26"/>
      <c r="AM4" s="26"/>
      <c r="AN4" s="26"/>
      <c r="AO4" s="26"/>
      <c r="AP4" s="26"/>
      <c r="AQ4" s="26"/>
      <c r="AR4" s="26"/>
      <c r="AS4" s="26"/>
      <c r="AT4" s="164"/>
      <c r="AU4" s="164"/>
      <c r="AV4" s="32"/>
      <c r="AW4" s="163"/>
    </row>
    <row r="5" spans="1:49" ht="12.75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3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34"/>
      <c r="AW5" s="163"/>
    </row>
    <row r="6" spans="1:49" ht="16.5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2"/>
      <c r="AP6" s="22"/>
      <c r="AQ6" s="22"/>
      <c r="AR6" s="26"/>
      <c r="AS6" s="26"/>
      <c r="AT6" s="116"/>
      <c r="AU6" s="116"/>
      <c r="AV6" s="117"/>
      <c r="AW6" s="163"/>
    </row>
    <row r="7" spans="1:49" ht="16.350000000000001" customHeight="1" x14ac:dyDescent="0.25">
      <c r="A7" s="25"/>
      <c r="B7" s="121" t="s">
        <v>173</v>
      </c>
      <c r="C7" s="122"/>
      <c r="D7" s="122"/>
      <c r="E7" s="123" t="s">
        <v>167</v>
      </c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2" t="s">
        <v>174</v>
      </c>
      <c r="V7" s="122"/>
      <c r="W7" s="122"/>
      <c r="X7" s="122"/>
      <c r="Y7" s="122"/>
      <c r="Z7" s="122"/>
      <c r="AA7" s="122"/>
      <c r="AB7" s="122"/>
      <c r="AC7" s="122"/>
      <c r="AD7" s="122"/>
      <c r="AE7" s="124" t="s">
        <v>383</v>
      </c>
      <c r="AF7" s="124"/>
      <c r="AG7" s="124"/>
      <c r="AH7" s="124"/>
      <c r="AI7" s="124"/>
      <c r="AJ7" s="124"/>
      <c r="AK7" s="124"/>
      <c r="AL7" s="124"/>
      <c r="AM7" s="124"/>
      <c r="AN7" s="124"/>
      <c r="AO7" s="122" t="s">
        <v>35</v>
      </c>
      <c r="AP7" s="122"/>
      <c r="AQ7" s="122"/>
      <c r="AR7" s="125" t="s">
        <v>384</v>
      </c>
      <c r="AS7" s="125"/>
      <c r="AT7" s="125"/>
      <c r="AU7" s="125"/>
      <c r="AV7" s="126"/>
      <c r="AW7" s="163"/>
    </row>
    <row r="8" spans="1:49" ht="16.350000000000001" customHeight="1" x14ac:dyDescent="0.25">
      <c r="A8" s="25"/>
      <c r="B8" s="121" t="s">
        <v>36</v>
      </c>
      <c r="C8" s="122"/>
      <c r="D8" s="122"/>
      <c r="E8" s="127" t="s">
        <v>282</v>
      </c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8" t="s">
        <v>37</v>
      </c>
      <c r="V8" s="128"/>
      <c r="W8" s="128"/>
      <c r="X8" s="128"/>
      <c r="Y8" s="128"/>
      <c r="Z8" s="128"/>
      <c r="AA8" s="128"/>
      <c r="AB8" s="128"/>
      <c r="AC8" s="128"/>
      <c r="AD8" s="128"/>
      <c r="AE8" s="129" t="s">
        <v>378</v>
      </c>
      <c r="AF8" s="129"/>
      <c r="AG8" s="129"/>
      <c r="AH8" s="129"/>
      <c r="AI8" s="129"/>
      <c r="AJ8" s="129"/>
      <c r="AK8" s="129"/>
      <c r="AL8" s="129"/>
      <c r="AM8" s="129"/>
      <c r="AN8" s="129"/>
      <c r="AO8" s="128" t="s">
        <v>38</v>
      </c>
      <c r="AP8" s="128"/>
      <c r="AQ8" s="128"/>
      <c r="AR8" s="130">
        <v>7946937</v>
      </c>
      <c r="AS8" s="130"/>
      <c r="AT8" s="130"/>
      <c r="AU8" s="130"/>
      <c r="AV8" s="131"/>
      <c r="AW8" s="163"/>
    </row>
    <row r="9" spans="1:49" ht="16.350000000000001" customHeight="1" x14ac:dyDescent="0.25">
      <c r="A9" s="25"/>
      <c r="B9" s="121" t="s">
        <v>171</v>
      </c>
      <c r="C9" s="122"/>
      <c r="D9" s="122"/>
      <c r="E9" s="127" t="s">
        <v>166</v>
      </c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2" t="s">
        <v>39</v>
      </c>
      <c r="V9" s="122"/>
      <c r="W9" s="122"/>
      <c r="X9" s="122"/>
      <c r="Y9" s="122"/>
      <c r="Z9" s="122"/>
      <c r="AA9" s="122"/>
      <c r="AB9" s="122"/>
      <c r="AC9" s="122"/>
      <c r="AD9" s="122"/>
      <c r="AE9" s="127" t="s">
        <v>175</v>
      </c>
      <c r="AF9" s="127"/>
      <c r="AG9" s="127"/>
      <c r="AH9" s="127"/>
      <c r="AI9" s="127"/>
      <c r="AJ9" s="127"/>
      <c r="AK9" s="127"/>
      <c r="AL9" s="127"/>
      <c r="AM9" s="127"/>
      <c r="AN9" s="127"/>
      <c r="AO9" s="122" t="s">
        <v>40</v>
      </c>
      <c r="AP9" s="122"/>
      <c r="AQ9" s="122"/>
      <c r="AR9" s="130" t="s">
        <v>176</v>
      </c>
      <c r="AS9" s="130"/>
      <c r="AT9" s="130"/>
      <c r="AU9" s="130"/>
      <c r="AV9" s="131"/>
      <c r="AW9" s="163"/>
    </row>
    <row r="10" spans="1:49" ht="16.5" customHeight="1" thickBot="1" x14ac:dyDescent="0.3">
      <c r="A10" s="25"/>
      <c r="B10" s="26"/>
      <c r="C10" s="26"/>
      <c r="D10" s="16"/>
      <c r="E10" s="16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16"/>
      <c r="AF10" s="26"/>
      <c r="AG10" s="26"/>
      <c r="AH10" s="12"/>
      <c r="AI10" s="16"/>
      <c r="AJ10" s="16"/>
      <c r="AK10" s="26"/>
      <c r="AL10" s="12"/>
      <c r="AM10" s="16"/>
      <c r="AN10" s="26"/>
      <c r="AO10" s="136"/>
      <c r="AP10" s="136"/>
      <c r="AQ10" s="136"/>
      <c r="AR10" s="136"/>
      <c r="AS10" s="136"/>
      <c r="AT10" s="12"/>
      <c r="AU10" s="33"/>
      <c r="AV10" s="36"/>
      <c r="AW10" s="163"/>
    </row>
    <row r="11" spans="1:49" ht="15" customHeight="1" thickTop="1" x14ac:dyDescent="0.25">
      <c r="A11" s="22"/>
      <c r="B11" s="139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1"/>
      <c r="AW11" s="163"/>
    </row>
    <row r="12" spans="1:49" ht="15" customHeight="1" x14ac:dyDescent="0.25">
      <c r="A12" s="22"/>
      <c r="B12" s="142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4"/>
      <c r="AW12" s="163"/>
    </row>
    <row r="13" spans="1:49" ht="15" customHeight="1" x14ac:dyDescent="0.25">
      <c r="A13" s="22"/>
      <c r="B13" s="142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4"/>
      <c r="AW13" s="163"/>
    </row>
    <row r="14" spans="1:49" ht="15" customHeight="1" x14ac:dyDescent="0.25">
      <c r="A14" s="22"/>
      <c r="B14" s="142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4"/>
      <c r="AW14" s="163"/>
    </row>
    <row r="15" spans="1:49" ht="15" customHeight="1" x14ac:dyDescent="0.25">
      <c r="A15" s="22"/>
      <c r="B15" s="142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4"/>
      <c r="AW15" s="163"/>
    </row>
    <row r="16" spans="1:49" ht="15" customHeight="1" x14ac:dyDescent="0.25">
      <c r="A16" s="22"/>
      <c r="B16" s="142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4"/>
      <c r="AW16" s="163"/>
    </row>
    <row r="17" spans="1:49" ht="15" customHeight="1" x14ac:dyDescent="0.25">
      <c r="A17" s="22"/>
      <c r="B17" s="142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4"/>
      <c r="AW17" s="163"/>
    </row>
    <row r="18" spans="1:49" ht="15" customHeight="1" x14ac:dyDescent="0.25">
      <c r="A18" s="22"/>
      <c r="B18" s="142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4"/>
      <c r="AW18" s="163"/>
    </row>
    <row r="19" spans="1:49" ht="15" customHeight="1" x14ac:dyDescent="0.25">
      <c r="A19" s="22"/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4"/>
      <c r="AW19" s="163"/>
    </row>
    <row r="20" spans="1:49" ht="15" customHeight="1" x14ac:dyDescent="0.25">
      <c r="A20" s="22"/>
      <c r="B20" s="142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4"/>
      <c r="AW20" s="163"/>
    </row>
    <row r="21" spans="1:49" ht="15" customHeight="1" x14ac:dyDescent="0.25">
      <c r="A21" s="22"/>
      <c r="B21" s="142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4"/>
      <c r="AW21" s="163"/>
    </row>
    <row r="22" spans="1:49" ht="15" customHeight="1" x14ac:dyDescent="0.25">
      <c r="A22" s="22"/>
      <c r="B22" s="142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4"/>
      <c r="AW22" s="163"/>
    </row>
    <row r="23" spans="1:49" ht="15" customHeight="1" x14ac:dyDescent="0.25">
      <c r="A23" s="22"/>
      <c r="B23" s="142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4"/>
      <c r="AW23" s="163"/>
    </row>
    <row r="24" spans="1:49" ht="15" customHeight="1" x14ac:dyDescent="0.25">
      <c r="A24" s="22"/>
      <c r="B24" s="142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4"/>
      <c r="AW24" s="163"/>
    </row>
    <row r="25" spans="1:49" ht="15" customHeight="1" x14ac:dyDescent="0.25">
      <c r="A25" s="22"/>
      <c r="B25" s="142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4"/>
      <c r="AW25" s="163"/>
    </row>
    <row r="26" spans="1:49" ht="15" customHeight="1" x14ac:dyDescent="0.25">
      <c r="A26" s="22"/>
      <c r="B26" s="142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4"/>
      <c r="AW26" s="163"/>
    </row>
    <row r="27" spans="1:49" ht="15" customHeight="1" x14ac:dyDescent="0.25">
      <c r="A27" s="22"/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4"/>
      <c r="AW27" s="163"/>
    </row>
    <row r="28" spans="1:49" ht="15" customHeight="1" x14ac:dyDescent="0.25">
      <c r="A28" s="22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4"/>
      <c r="AW28" s="163"/>
    </row>
    <row r="29" spans="1:49" ht="15" customHeight="1" x14ac:dyDescent="0.25">
      <c r="A29" s="22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4"/>
      <c r="AW29" s="163"/>
    </row>
    <row r="30" spans="1:49" ht="15" customHeight="1" x14ac:dyDescent="0.25">
      <c r="A30" s="22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4"/>
      <c r="AW30" s="163"/>
    </row>
    <row r="31" spans="1:49" ht="15" customHeight="1" x14ac:dyDescent="0.25">
      <c r="A31" s="22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4"/>
      <c r="AW31" s="163"/>
    </row>
    <row r="32" spans="1:49" ht="15" customHeight="1" x14ac:dyDescent="0.25">
      <c r="A32" s="22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4"/>
      <c r="AW32" s="163"/>
    </row>
    <row r="33" spans="1:49" ht="15" customHeight="1" x14ac:dyDescent="0.25">
      <c r="A33" s="22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4"/>
      <c r="AW33" s="163"/>
    </row>
    <row r="34" spans="1:49" ht="15" customHeight="1" x14ac:dyDescent="0.25">
      <c r="A34" s="22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4"/>
      <c r="AW34" s="163"/>
    </row>
    <row r="35" spans="1:49" ht="15" customHeight="1" x14ac:dyDescent="0.25">
      <c r="A35" s="22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4"/>
      <c r="AW35" s="163"/>
    </row>
    <row r="36" spans="1:49" ht="15" customHeight="1" x14ac:dyDescent="0.25">
      <c r="A36" s="22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4"/>
      <c r="AW36" s="163"/>
    </row>
    <row r="37" spans="1:49" ht="15" customHeight="1" x14ac:dyDescent="0.25">
      <c r="A37" s="22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4"/>
      <c r="AW37" s="163"/>
    </row>
    <row r="38" spans="1:49" ht="15" customHeight="1" x14ac:dyDescent="0.25">
      <c r="A38" s="22"/>
      <c r="B38" s="142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4"/>
      <c r="AW38" s="163"/>
    </row>
    <row r="39" spans="1:49" ht="15" customHeight="1" x14ac:dyDescent="0.25">
      <c r="A39" s="22"/>
      <c r="B39" s="142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4"/>
      <c r="AW39" s="163"/>
    </row>
    <row r="40" spans="1:49" ht="15" customHeight="1" x14ac:dyDescent="0.25">
      <c r="A40" s="22"/>
      <c r="B40" s="142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4"/>
      <c r="AW40" s="163"/>
    </row>
    <row r="41" spans="1:49" ht="15" customHeight="1" x14ac:dyDescent="0.25">
      <c r="A41" s="22"/>
      <c r="B41" s="142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4"/>
      <c r="AW41" s="163"/>
    </row>
    <row r="42" spans="1:49" ht="15" customHeight="1" x14ac:dyDescent="0.25">
      <c r="A42" s="22"/>
      <c r="B42" s="142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4"/>
      <c r="AW42" s="163"/>
    </row>
    <row r="43" spans="1:49" ht="15" customHeight="1" x14ac:dyDescent="0.25">
      <c r="A43" s="22"/>
      <c r="B43" s="142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4"/>
      <c r="AW43" s="163"/>
    </row>
    <row r="44" spans="1:49" ht="15" customHeight="1" thickBot="1" x14ac:dyDescent="0.3">
      <c r="A44" s="22"/>
      <c r="B44" s="145" t="s">
        <v>193</v>
      </c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7"/>
      <c r="AW44" s="163"/>
    </row>
    <row r="45" spans="1:49" ht="12.75" customHeight="1" thickTop="1" x14ac:dyDescent="0.25">
      <c r="A45" s="22"/>
      <c r="B45" s="33"/>
      <c r="C45" s="37"/>
      <c r="D45" s="37"/>
      <c r="E45" s="37"/>
      <c r="F45" s="37"/>
      <c r="G45" s="38"/>
      <c r="H45" s="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37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163"/>
    </row>
    <row r="46" spans="1:49" ht="12.75" customHeight="1" x14ac:dyDescent="0.25">
      <c r="A46" s="22"/>
      <c r="B46" s="148" t="s">
        <v>177</v>
      </c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63"/>
    </row>
    <row r="47" spans="1:49" ht="18" customHeight="1" x14ac:dyDescent="0.25">
      <c r="A47" s="22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163"/>
    </row>
    <row r="48" spans="1:49" ht="48.75" customHeight="1" x14ac:dyDescent="0.25">
      <c r="A48" s="22"/>
      <c r="B48" s="108" t="s">
        <v>41</v>
      </c>
      <c r="C48" s="109"/>
      <c r="D48" s="110"/>
      <c r="E48" s="108" t="s">
        <v>42</v>
      </c>
      <c r="F48" s="109"/>
      <c r="G48" s="110"/>
      <c r="H48" s="132" t="s">
        <v>127</v>
      </c>
      <c r="I48" s="133"/>
      <c r="J48" s="134"/>
      <c r="K48" s="108" t="s">
        <v>43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0"/>
      <c r="AK48" s="132" t="s">
        <v>44</v>
      </c>
      <c r="AL48" s="133"/>
      <c r="AM48" s="133"/>
      <c r="AN48" s="133"/>
      <c r="AO48" s="134"/>
      <c r="AP48" s="132" t="s">
        <v>45</v>
      </c>
      <c r="AQ48" s="134"/>
      <c r="AR48" s="135" t="s">
        <v>178</v>
      </c>
      <c r="AS48" s="135"/>
      <c r="AT48" s="135"/>
      <c r="AU48" s="135"/>
      <c r="AV48" s="135"/>
      <c r="AW48" s="163"/>
    </row>
    <row r="49" spans="1:81" ht="12.75" customHeight="1" x14ac:dyDescent="0.25">
      <c r="A49" s="22"/>
      <c r="B49" s="149">
        <v>1</v>
      </c>
      <c r="C49" s="150"/>
      <c r="D49" s="151"/>
      <c r="E49" s="152"/>
      <c r="F49" s="153"/>
      <c r="G49" s="154"/>
      <c r="H49" s="152"/>
      <c r="I49" s="153"/>
      <c r="J49" s="154"/>
      <c r="K49" s="155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7"/>
      <c r="AK49" s="113"/>
      <c r="AL49" s="114"/>
      <c r="AM49" s="114"/>
      <c r="AN49" s="114"/>
      <c r="AO49" s="115"/>
      <c r="AP49" s="119"/>
      <c r="AQ49" s="120"/>
      <c r="AR49" s="118"/>
      <c r="AS49" s="118"/>
      <c r="AT49" s="118"/>
      <c r="AU49" s="118"/>
      <c r="AV49" s="118"/>
      <c r="AW49" s="163"/>
    </row>
    <row r="50" spans="1:81" ht="12.75" customHeight="1" x14ac:dyDescent="0.25">
      <c r="A50" s="22"/>
      <c r="B50" s="149">
        <v>2</v>
      </c>
      <c r="C50" s="150"/>
      <c r="D50" s="151"/>
      <c r="E50" s="152"/>
      <c r="F50" s="153"/>
      <c r="G50" s="154"/>
      <c r="H50" s="152"/>
      <c r="I50" s="153"/>
      <c r="J50" s="154"/>
      <c r="K50" s="155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7"/>
      <c r="AK50" s="113"/>
      <c r="AL50" s="114"/>
      <c r="AM50" s="114"/>
      <c r="AN50" s="114"/>
      <c r="AO50" s="115"/>
      <c r="AP50" s="119"/>
      <c r="AQ50" s="120"/>
      <c r="AR50" s="118"/>
      <c r="AS50" s="118"/>
      <c r="AT50" s="118"/>
      <c r="AU50" s="118"/>
      <c r="AV50" s="118"/>
      <c r="AW50" s="163"/>
    </row>
    <row r="51" spans="1:81" ht="12.75" customHeight="1" x14ac:dyDescent="0.25">
      <c r="A51" s="22"/>
      <c r="B51" s="149">
        <v>3</v>
      </c>
      <c r="C51" s="150"/>
      <c r="D51" s="151"/>
      <c r="E51" s="152"/>
      <c r="F51" s="153"/>
      <c r="G51" s="154"/>
      <c r="H51" s="152"/>
      <c r="I51" s="153"/>
      <c r="J51" s="154"/>
      <c r="K51" s="155" t="str">
        <f>VLOOKUP(H51,'Lista Defeitos'!$1:$1048576,3)</f>
        <v>-</v>
      </c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7"/>
      <c r="AK51" s="113"/>
      <c r="AL51" s="114"/>
      <c r="AM51" s="114"/>
      <c r="AN51" s="114"/>
      <c r="AO51" s="115"/>
      <c r="AP51" s="119"/>
      <c r="AQ51" s="120"/>
      <c r="AR51" s="118"/>
      <c r="AS51" s="118"/>
      <c r="AT51" s="118"/>
      <c r="AU51" s="118"/>
      <c r="AV51" s="118"/>
      <c r="AW51" s="163"/>
    </row>
    <row r="52" spans="1:81" ht="12.75" customHeight="1" x14ac:dyDescent="0.25">
      <c r="A52" s="22"/>
      <c r="B52" s="149">
        <v>4</v>
      </c>
      <c r="C52" s="150"/>
      <c r="D52" s="151"/>
      <c r="E52" s="152"/>
      <c r="F52" s="153"/>
      <c r="G52" s="158"/>
      <c r="H52" s="152"/>
      <c r="I52" s="153"/>
      <c r="J52" s="154"/>
      <c r="K52" s="155" t="str">
        <f>VLOOKUP(H52,'Lista Defeitos'!$1:$1048576,3)</f>
        <v>-</v>
      </c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7"/>
      <c r="AK52" s="113"/>
      <c r="AL52" s="114"/>
      <c r="AM52" s="114"/>
      <c r="AN52" s="114"/>
      <c r="AO52" s="115"/>
      <c r="AP52" s="119"/>
      <c r="AQ52" s="120"/>
      <c r="AR52" s="118"/>
      <c r="AS52" s="118"/>
      <c r="AT52" s="118"/>
      <c r="AU52" s="118"/>
      <c r="AV52" s="118"/>
      <c r="AW52" s="163"/>
    </row>
    <row r="53" spans="1:81" ht="12.75" customHeight="1" x14ac:dyDescent="0.25">
      <c r="A53" s="22"/>
      <c r="B53" s="149">
        <v>5</v>
      </c>
      <c r="C53" s="150"/>
      <c r="D53" s="151"/>
      <c r="E53" s="152"/>
      <c r="F53" s="153"/>
      <c r="G53" s="158"/>
      <c r="H53" s="152"/>
      <c r="I53" s="153"/>
      <c r="J53" s="154"/>
      <c r="K53" s="155" t="str">
        <f>VLOOKUP(H53,'Lista Defeitos'!$1:$1048576,3)</f>
        <v>-</v>
      </c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7"/>
      <c r="AK53" s="113"/>
      <c r="AL53" s="114"/>
      <c r="AM53" s="114"/>
      <c r="AN53" s="114"/>
      <c r="AO53" s="115"/>
      <c r="AP53" s="119"/>
      <c r="AQ53" s="120"/>
      <c r="AR53" s="118"/>
      <c r="AS53" s="118"/>
      <c r="AT53" s="118"/>
      <c r="AU53" s="118"/>
      <c r="AV53" s="118"/>
      <c r="AW53" s="163"/>
    </row>
    <row r="54" spans="1:81" ht="12.75" customHeight="1" x14ac:dyDescent="0.25">
      <c r="A54" s="22"/>
      <c r="B54" s="149">
        <v>6</v>
      </c>
      <c r="C54" s="150"/>
      <c r="D54" s="151"/>
      <c r="E54" s="152"/>
      <c r="F54" s="153"/>
      <c r="G54" s="158"/>
      <c r="H54" s="152"/>
      <c r="I54" s="153"/>
      <c r="J54" s="154"/>
      <c r="K54" s="155" t="str">
        <f>VLOOKUP(H54,'Lista Defeitos'!$1:$1048576,3)</f>
        <v>-</v>
      </c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7"/>
      <c r="AK54" s="113"/>
      <c r="AL54" s="114"/>
      <c r="AM54" s="114"/>
      <c r="AN54" s="114"/>
      <c r="AO54" s="115"/>
      <c r="AP54" s="119"/>
      <c r="AQ54" s="120"/>
      <c r="AR54" s="118"/>
      <c r="AS54" s="118"/>
      <c r="AT54" s="118"/>
      <c r="AU54" s="118"/>
      <c r="AV54" s="118"/>
      <c r="AW54" s="163"/>
    </row>
    <row r="55" spans="1:81" ht="12.75" customHeight="1" x14ac:dyDescent="0.25">
      <c r="A55" s="22"/>
      <c r="B55" s="149">
        <v>7</v>
      </c>
      <c r="C55" s="150"/>
      <c r="D55" s="151"/>
      <c r="E55" s="152"/>
      <c r="F55" s="153"/>
      <c r="G55" s="158"/>
      <c r="H55" s="152"/>
      <c r="I55" s="153"/>
      <c r="J55" s="154"/>
      <c r="K55" s="155" t="str">
        <f>VLOOKUP(H55,'Lista Defeitos'!$1:$1048576,3)</f>
        <v>-</v>
      </c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7"/>
      <c r="AK55" s="113"/>
      <c r="AL55" s="114"/>
      <c r="AM55" s="114"/>
      <c r="AN55" s="114"/>
      <c r="AO55" s="115"/>
      <c r="AP55" s="119"/>
      <c r="AQ55" s="120"/>
      <c r="AR55" s="118"/>
      <c r="AS55" s="118"/>
      <c r="AT55" s="118"/>
      <c r="AU55" s="118"/>
      <c r="AV55" s="118"/>
      <c r="AW55" s="163"/>
    </row>
    <row r="56" spans="1:81" ht="12.75" customHeight="1" x14ac:dyDescent="0.25">
      <c r="A56" s="22"/>
      <c r="B56" s="149">
        <v>8</v>
      </c>
      <c r="C56" s="150"/>
      <c r="D56" s="151"/>
      <c r="E56" s="152"/>
      <c r="F56" s="153"/>
      <c r="G56" s="158"/>
      <c r="H56" s="152"/>
      <c r="I56" s="153"/>
      <c r="J56" s="154"/>
      <c r="K56" s="155" t="str">
        <f>VLOOKUP(H56,'Lista Defeitos'!$1:$1048576,3)</f>
        <v>-</v>
      </c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7"/>
      <c r="AK56" s="113"/>
      <c r="AL56" s="114"/>
      <c r="AM56" s="114"/>
      <c r="AN56" s="114"/>
      <c r="AO56" s="115"/>
      <c r="AP56" s="119"/>
      <c r="AQ56" s="120"/>
      <c r="AR56" s="118"/>
      <c r="AS56" s="118"/>
      <c r="AT56" s="118"/>
      <c r="AU56" s="118"/>
      <c r="AV56" s="118"/>
      <c r="AW56" s="163"/>
      <c r="CC56" s="39"/>
    </row>
    <row r="57" spans="1:81" ht="12.75" customHeight="1" x14ac:dyDescent="0.25">
      <c r="A57" s="22"/>
      <c r="B57" s="149">
        <v>9</v>
      </c>
      <c r="C57" s="150"/>
      <c r="D57" s="151"/>
      <c r="E57" s="152"/>
      <c r="F57" s="153"/>
      <c r="G57" s="158"/>
      <c r="H57" s="152"/>
      <c r="I57" s="153"/>
      <c r="J57" s="154"/>
      <c r="K57" s="155" t="str">
        <f>VLOOKUP(H57,'Lista Defeitos'!$1:$1048576,3)</f>
        <v>-</v>
      </c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7"/>
      <c r="AK57" s="113"/>
      <c r="AL57" s="114"/>
      <c r="AM57" s="114"/>
      <c r="AN57" s="114"/>
      <c r="AO57" s="115"/>
      <c r="AP57" s="119"/>
      <c r="AQ57" s="120"/>
      <c r="AR57" s="118"/>
      <c r="AS57" s="118"/>
      <c r="AT57" s="118"/>
      <c r="AU57" s="118"/>
      <c r="AV57" s="118"/>
      <c r="AW57" s="163"/>
    </row>
    <row r="58" spans="1:81" ht="12.75" customHeight="1" x14ac:dyDescent="0.25">
      <c r="A58" s="22"/>
      <c r="B58" s="149">
        <v>10</v>
      </c>
      <c r="C58" s="150"/>
      <c r="D58" s="151"/>
      <c r="E58" s="152"/>
      <c r="F58" s="153"/>
      <c r="G58" s="158"/>
      <c r="H58" s="152"/>
      <c r="I58" s="153"/>
      <c r="J58" s="154"/>
      <c r="K58" s="155" t="str">
        <f>VLOOKUP(H58,'Lista Defeitos'!$1:$1048576,3)</f>
        <v>-</v>
      </c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7"/>
      <c r="AK58" s="113"/>
      <c r="AL58" s="114"/>
      <c r="AM58" s="114"/>
      <c r="AN58" s="114"/>
      <c r="AO58" s="115"/>
      <c r="AP58" s="119"/>
      <c r="AQ58" s="120"/>
      <c r="AR58" s="118"/>
      <c r="AS58" s="118"/>
      <c r="AT58" s="118"/>
      <c r="AU58" s="118"/>
      <c r="AV58" s="118"/>
      <c r="AW58" s="163"/>
    </row>
    <row r="59" spans="1:81" ht="12.75" customHeight="1" x14ac:dyDescent="0.25">
      <c r="A59" s="22"/>
      <c r="B59" s="149">
        <v>11</v>
      </c>
      <c r="C59" s="150"/>
      <c r="D59" s="151"/>
      <c r="E59" s="152"/>
      <c r="F59" s="153"/>
      <c r="G59" s="158"/>
      <c r="H59" s="152"/>
      <c r="I59" s="153"/>
      <c r="J59" s="154"/>
      <c r="K59" s="155" t="str">
        <f>VLOOKUP(H59,'Lista Defeitos'!$1:$1048576,3)</f>
        <v>-</v>
      </c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7"/>
      <c r="AK59" s="113"/>
      <c r="AL59" s="114"/>
      <c r="AM59" s="114"/>
      <c r="AN59" s="114"/>
      <c r="AO59" s="115"/>
      <c r="AP59" s="119"/>
      <c r="AQ59" s="120"/>
      <c r="AR59" s="118"/>
      <c r="AS59" s="118"/>
      <c r="AT59" s="118"/>
      <c r="AU59" s="118"/>
      <c r="AV59" s="118"/>
      <c r="AW59" s="163"/>
    </row>
    <row r="60" spans="1:81" ht="12.75" customHeight="1" x14ac:dyDescent="0.25">
      <c r="A60" s="22"/>
      <c r="B60" s="149">
        <v>12</v>
      </c>
      <c r="C60" s="150"/>
      <c r="D60" s="151"/>
      <c r="E60" s="152"/>
      <c r="F60" s="153"/>
      <c r="G60" s="158"/>
      <c r="H60" s="152"/>
      <c r="I60" s="153"/>
      <c r="J60" s="154"/>
      <c r="K60" s="155" t="str">
        <f>VLOOKUP(H60,'Lista Defeitos'!$1:$1048576,3)</f>
        <v>-</v>
      </c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7"/>
      <c r="AK60" s="113"/>
      <c r="AL60" s="114"/>
      <c r="AM60" s="114"/>
      <c r="AN60" s="114"/>
      <c r="AO60" s="115"/>
      <c r="AP60" s="119"/>
      <c r="AQ60" s="120"/>
      <c r="AR60" s="118"/>
      <c r="AS60" s="118"/>
      <c r="AT60" s="118"/>
      <c r="AU60" s="118"/>
      <c r="AV60" s="118"/>
      <c r="AW60" s="163"/>
    </row>
    <row r="61" spans="1:81" ht="12.75" customHeight="1" x14ac:dyDescent="0.25">
      <c r="A61" s="22"/>
      <c r="B61" s="40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163"/>
    </row>
    <row r="62" spans="1:81" ht="15" customHeight="1" x14ac:dyDescent="0.25">
      <c r="A62" s="22"/>
      <c r="B62" s="89"/>
      <c r="C62" s="90"/>
      <c r="D62" s="90"/>
      <c r="E62" s="90"/>
      <c r="F62" s="90"/>
      <c r="G62" s="90"/>
      <c r="H62" s="90"/>
      <c r="I62" s="90"/>
      <c r="J62" s="90"/>
      <c r="K62" s="170" t="s">
        <v>163</v>
      </c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1" t="s">
        <v>164</v>
      </c>
      <c r="W62" s="171"/>
      <c r="X62" s="171"/>
      <c r="Y62" s="171"/>
      <c r="Z62" s="171"/>
      <c r="AA62" s="171"/>
      <c r="AB62" s="171"/>
      <c r="AC62" s="171"/>
      <c r="AD62" s="171"/>
      <c r="AE62" s="90"/>
      <c r="AF62" s="90"/>
      <c r="AG62" s="90"/>
      <c r="AH62" s="90"/>
      <c r="AI62" s="90"/>
      <c r="AJ62" s="90"/>
      <c r="AK62" s="90"/>
      <c r="AL62" s="108" t="s">
        <v>163</v>
      </c>
      <c r="AM62" s="109"/>
      <c r="AN62" s="109"/>
      <c r="AO62" s="109"/>
      <c r="AP62" s="109"/>
      <c r="AQ62" s="109"/>
      <c r="AR62" s="110"/>
      <c r="AS62" s="111" t="s">
        <v>164</v>
      </c>
      <c r="AT62" s="111"/>
      <c r="AU62" s="111"/>
      <c r="AV62" s="111"/>
      <c r="AW62" s="163"/>
    </row>
    <row r="63" spans="1:81" ht="20.100000000000001" customHeight="1" x14ac:dyDescent="0.25">
      <c r="A63" s="22"/>
      <c r="B63" s="159" t="s">
        <v>179</v>
      </c>
      <c r="C63" s="160"/>
      <c r="D63" s="160"/>
      <c r="E63" s="160"/>
      <c r="F63" s="160"/>
      <c r="G63" s="160"/>
      <c r="H63" s="160"/>
      <c r="I63" s="160"/>
      <c r="J63" s="161"/>
      <c r="K63" s="113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5"/>
      <c r="AE63" s="159" t="s">
        <v>168</v>
      </c>
      <c r="AF63" s="160"/>
      <c r="AG63" s="160"/>
      <c r="AH63" s="160"/>
      <c r="AI63" s="160"/>
      <c r="AJ63" s="160"/>
      <c r="AK63" s="161"/>
      <c r="AL63" s="113"/>
      <c r="AM63" s="114"/>
      <c r="AN63" s="114"/>
      <c r="AO63" s="114"/>
      <c r="AP63" s="114"/>
      <c r="AQ63" s="114"/>
      <c r="AR63" s="115"/>
      <c r="AS63" s="107"/>
      <c r="AT63" s="107"/>
      <c r="AU63" s="107"/>
      <c r="AV63" s="107"/>
      <c r="AW63" s="163"/>
    </row>
    <row r="64" spans="1:81" ht="20.100000000000001" customHeight="1" x14ac:dyDescent="0.25">
      <c r="A64" s="22"/>
      <c r="B64" s="159" t="s">
        <v>47</v>
      </c>
      <c r="C64" s="160"/>
      <c r="D64" s="160"/>
      <c r="E64" s="160"/>
      <c r="F64" s="160"/>
      <c r="G64" s="160"/>
      <c r="H64" s="160"/>
      <c r="I64" s="160"/>
      <c r="J64" s="161"/>
      <c r="K64" s="113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5"/>
      <c r="AE64" s="159" t="s">
        <v>180</v>
      </c>
      <c r="AF64" s="160"/>
      <c r="AG64" s="160"/>
      <c r="AH64" s="160"/>
      <c r="AI64" s="160"/>
      <c r="AJ64" s="160"/>
      <c r="AK64" s="161"/>
      <c r="AL64" s="113"/>
      <c r="AM64" s="114"/>
      <c r="AN64" s="114"/>
      <c r="AO64" s="114"/>
      <c r="AP64" s="114"/>
      <c r="AQ64" s="114"/>
      <c r="AR64" s="115"/>
      <c r="AS64" s="107"/>
      <c r="AT64" s="107"/>
      <c r="AU64" s="107"/>
      <c r="AV64" s="107"/>
      <c r="AW64" s="163"/>
    </row>
    <row r="65" spans="1:49" ht="20.100000000000001" customHeight="1" x14ac:dyDescent="0.25">
      <c r="A65" s="22"/>
      <c r="B65" s="159" t="s">
        <v>48</v>
      </c>
      <c r="C65" s="160"/>
      <c r="D65" s="160"/>
      <c r="E65" s="160"/>
      <c r="F65" s="160"/>
      <c r="G65" s="160"/>
      <c r="H65" s="160"/>
      <c r="I65" s="160"/>
      <c r="J65" s="161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59" t="s">
        <v>165</v>
      </c>
      <c r="AF65" s="160"/>
      <c r="AG65" s="160"/>
      <c r="AH65" s="160"/>
      <c r="AI65" s="160"/>
      <c r="AJ65" s="160"/>
      <c r="AK65" s="161"/>
      <c r="AL65" s="113"/>
      <c r="AM65" s="114"/>
      <c r="AN65" s="114"/>
      <c r="AO65" s="114"/>
      <c r="AP65" s="114"/>
      <c r="AQ65" s="114"/>
      <c r="AR65" s="115"/>
      <c r="AS65" s="112"/>
      <c r="AT65" s="112"/>
      <c r="AU65" s="112"/>
      <c r="AV65" s="112"/>
      <c r="AW65" s="163"/>
    </row>
    <row r="66" spans="1:49" ht="20.100000000000001" customHeight="1" x14ac:dyDescent="0.25">
      <c r="A66" s="22"/>
      <c r="B66" s="159" t="s">
        <v>169</v>
      </c>
      <c r="C66" s="160"/>
      <c r="D66" s="160"/>
      <c r="E66" s="160"/>
      <c r="F66" s="160"/>
      <c r="G66" s="160"/>
      <c r="H66" s="160"/>
      <c r="I66" s="160"/>
      <c r="J66" s="161"/>
      <c r="K66" s="113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5"/>
      <c r="AE66" s="159" t="s">
        <v>209</v>
      </c>
      <c r="AF66" s="160"/>
      <c r="AG66" s="160"/>
      <c r="AH66" s="160"/>
      <c r="AI66" s="160"/>
      <c r="AJ66" s="160"/>
      <c r="AK66" s="161"/>
      <c r="AL66" s="175"/>
      <c r="AM66" s="176"/>
      <c r="AN66" s="176"/>
      <c r="AO66" s="176"/>
      <c r="AP66" s="176"/>
      <c r="AQ66" s="176"/>
      <c r="AR66" s="177"/>
      <c r="AS66" s="113"/>
      <c r="AT66" s="114"/>
      <c r="AU66" s="114"/>
      <c r="AV66" s="115"/>
      <c r="AW66" s="163"/>
    </row>
    <row r="67" spans="1:49" s="42" customFormat="1" ht="20.100000000000001" customHeight="1" x14ac:dyDescent="0.25">
      <c r="A67" s="41"/>
      <c r="B67" s="159" t="s">
        <v>379</v>
      </c>
      <c r="C67" s="160"/>
      <c r="D67" s="160"/>
      <c r="E67" s="160"/>
      <c r="F67" s="160"/>
      <c r="G67" s="160"/>
      <c r="H67" s="160"/>
      <c r="I67" s="160"/>
      <c r="J67" s="161"/>
      <c r="K67" s="113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5"/>
      <c r="AE67" s="159" t="s">
        <v>210</v>
      </c>
      <c r="AF67" s="160"/>
      <c r="AG67" s="160"/>
      <c r="AH67" s="160"/>
      <c r="AI67" s="160"/>
      <c r="AJ67" s="160"/>
      <c r="AK67" s="161"/>
      <c r="AL67" s="175"/>
      <c r="AM67" s="176"/>
      <c r="AN67" s="176"/>
      <c r="AO67" s="176"/>
      <c r="AP67" s="176"/>
      <c r="AQ67" s="176"/>
      <c r="AR67" s="177"/>
      <c r="AS67" s="113"/>
      <c r="AT67" s="114"/>
      <c r="AU67" s="114"/>
      <c r="AV67" s="115"/>
      <c r="AW67" s="163"/>
    </row>
    <row r="68" spans="1:49" s="42" customFormat="1" ht="26.25" customHeight="1" x14ac:dyDescent="0.25">
      <c r="A68" s="41"/>
      <c r="B68" s="159" t="s">
        <v>310</v>
      </c>
      <c r="C68" s="160"/>
      <c r="D68" s="160"/>
      <c r="E68" s="160"/>
      <c r="F68" s="160"/>
      <c r="G68" s="160"/>
      <c r="H68" s="160"/>
      <c r="I68" s="160"/>
      <c r="J68" s="161"/>
      <c r="K68" s="113"/>
      <c r="L68" s="114"/>
      <c r="M68" s="114"/>
      <c r="N68" s="114"/>
      <c r="O68" s="114"/>
      <c r="P68" s="114"/>
      <c r="Q68" s="114"/>
      <c r="R68" s="114"/>
      <c r="S68" s="114"/>
      <c r="T68" s="114"/>
      <c r="U68" s="115"/>
      <c r="V68" s="113"/>
      <c r="W68" s="114"/>
      <c r="X68" s="114"/>
      <c r="Y68" s="114"/>
      <c r="Z68" s="114"/>
      <c r="AA68" s="114"/>
      <c r="AB68" s="114"/>
      <c r="AC68" s="114"/>
      <c r="AD68" s="115"/>
      <c r="AE68" s="172" t="s">
        <v>380</v>
      </c>
      <c r="AF68" s="173"/>
      <c r="AG68" s="173"/>
      <c r="AH68" s="173"/>
      <c r="AI68" s="173"/>
      <c r="AJ68" s="173"/>
      <c r="AK68" s="174"/>
      <c r="AL68" s="175"/>
      <c r="AM68" s="176"/>
      <c r="AN68" s="176"/>
      <c r="AO68" s="176"/>
      <c r="AP68" s="176"/>
      <c r="AQ68" s="176"/>
      <c r="AR68" s="177"/>
      <c r="AS68" s="113"/>
      <c r="AT68" s="114"/>
      <c r="AU68" s="114"/>
      <c r="AV68" s="115"/>
      <c r="AW68" s="163"/>
    </row>
    <row r="69" spans="1:49" ht="12.75" customHeight="1" x14ac:dyDescent="0.25">
      <c r="A69" s="22"/>
      <c r="B69" s="40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163"/>
    </row>
    <row r="70" spans="1:49" ht="12.75" customHeight="1" x14ac:dyDescent="0.25">
      <c r="A70" s="22"/>
      <c r="B70" s="149" t="s">
        <v>49</v>
      </c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1"/>
      <c r="AM70" s="26"/>
      <c r="AN70" s="26"/>
      <c r="AO70" s="43"/>
      <c r="AP70" s="44"/>
      <c r="AQ70" s="44"/>
      <c r="AR70" s="45" t="s">
        <v>50</v>
      </c>
      <c r="AS70" s="44"/>
      <c r="AT70" s="44"/>
      <c r="AU70" s="44"/>
      <c r="AV70" s="46"/>
      <c r="AW70" s="163"/>
    </row>
    <row r="71" spans="1:49" ht="12.75" customHeight="1" x14ac:dyDescent="0.25">
      <c r="A71" s="22"/>
      <c r="B71" s="166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8"/>
      <c r="AM71" s="26"/>
      <c r="AN71" s="26"/>
      <c r="AO71" s="47"/>
      <c r="AP71" s="26"/>
      <c r="AQ71" s="26"/>
      <c r="AR71" s="26"/>
      <c r="AS71" s="26"/>
      <c r="AT71" s="26"/>
      <c r="AU71" s="26"/>
      <c r="AV71" s="34"/>
      <c r="AW71" s="163"/>
    </row>
    <row r="72" spans="1:49" ht="12.75" customHeight="1" x14ac:dyDescent="0.25">
      <c r="A72" s="22"/>
      <c r="B72" s="166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8"/>
      <c r="AM72" s="26"/>
      <c r="AN72" s="26"/>
      <c r="AO72" s="47" t="s">
        <v>51</v>
      </c>
      <c r="AP72" s="26"/>
      <c r="AQ72" s="26"/>
      <c r="AR72" s="26"/>
      <c r="AS72" s="26"/>
      <c r="AT72" s="26"/>
      <c r="AU72" s="26"/>
      <c r="AV72" s="34"/>
      <c r="AW72" s="163"/>
    </row>
    <row r="73" spans="1:49" ht="12.75" customHeight="1" x14ac:dyDescent="0.25">
      <c r="A73" s="22"/>
      <c r="B73" s="166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8"/>
      <c r="AM73" s="26"/>
      <c r="AN73" s="26"/>
      <c r="AO73" s="47" t="s">
        <v>52</v>
      </c>
      <c r="AP73" s="26"/>
      <c r="AQ73" s="26"/>
      <c r="AR73" s="26"/>
      <c r="AS73" s="26"/>
      <c r="AT73" s="26"/>
      <c r="AU73" s="26"/>
      <c r="AV73" s="34"/>
      <c r="AW73" s="163"/>
    </row>
    <row r="74" spans="1:49" ht="12.75" customHeight="1" x14ac:dyDescent="0.25">
      <c r="A74" s="22"/>
      <c r="B74" s="166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8"/>
      <c r="AM74" s="26"/>
      <c r="AN74" s="26"/>
      <c r="AO74" s="47" t="s">
        <v>53</v>
      </c>
      <c r="AP74" s="26"/>
      <c r="AQ74" s="26"/>
      <c r="AR74" s="26"/>
      <c r="AS74" s="26"/>
      <c r="AT74" s="26"/>
      <c r="AU74" s="26"/>
      <c r="AV74" s="34"/>
      <c r="AW74" s="163"/>
    </row>
    <row r="75" spans="1:49" ht="12.75" customHeight="1" x14ac:dyDescent="0.25">
      <c r="A75" s="22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26"/>
      <c r="AN75" s="26"/>
      <c r="AO75" s="47" t="s">
        <v>54</v>
      </c>
      <c r="AP75" s="26"/>
      <c r="AQ75" s="26"/>
      <c r="AR75" s="26"/>
      <c r="AS75" s="26"/>
      <c r="AT75" s="26"/>
      <c r="AU75" s="26"/>
      <c r="AV75" s="34"/>
      <c r="AW75" s="163"/>
    </row>
    <row r="76" spans="1:49" ht="12.75" customHeight="1" x14ac:dyDescent="0.25">
      <c r="A76" s="22"/>
      <c r="B76" s="149" t="s">
        <v>181</v>
      </c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1"/>
      <c r="AM76" s="26"/>
      <c r="AN76" s="26"/>
      <c r="AO76" s="47" t="s">
        <v>55</v>
      </c>
      <c r="AP76" s="26"/>
      <c r="AQ76" s="26"/>
      <c r="AR76" s="26"/>
      <c r="AS76" s="26"/>
      <c r="AT76" s="26"/>
      <c r="AU76" s="26"/>
      <c r="AV76" s="34"/>
      <c r="AW76" s="163"/>
    </row>
    <row r="77" spans="1:49" ht="12.75" customHeight="1" x14ac:dyDescent="0.25">
      <c r="A77" s="22"/>
      <c r="B77" s="166" t="s">
        <v>182</v>
      </c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8"/>
      <c r="AM77" s="26"/>
      <c r="AN77" s="26"/>
      <c r="AO77" s="47" t="s">
        <v>56</v>
      </c>
      <c r="AP77" s="26"/>
      <c r="AQ77" s="26"/>
      <c r="AR77" s="26"/>
      <c r="AS77" s="26"/>
      <c r="AT77" s="26"/>
      <c r="AU77" s="26"/>
      <c r="AV77" s="34"/>
      <c r="AW77" s="163"/>
    </row>
    <row r="78" spans="1:49" ht="12.75" customHeight="1" x14ac:dyDescent="0.25">
      <c r="A78" s="22"/>
      <c r="B78" s="178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80"/>
      <c r="AM78" s="26"/>
      <c r="AN78" s="26"/>
      <c r="AO78" s="47" t="s">
        <v>57</v>
      </c>
      <c r="AP78" s="26"/>
      <c r="AQ78" s="26"/>
      <c r="AR78" s="26"/>
      <c r="AS78" s="26"/>
      <c r="AT78" s="26"/>
      <c r="AU78" s="26"/>
      <c r="AV78" s="34"/>
      <c r="AW78" s="163"/>
    </row>
    <row r="79" spans="1:49" ht="12.75" customHeight="1" x14ac:dyDescent="0.25">
      <c r="A79" s="22"/>
      <c r="B79" s="178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80"/>
      <c r="AM79" s="26"/>
      <c r="AN79" s="26"/>
      <c r="AO79" s="47" t="s">
        <v>58</v>
      </c>
      <c r="AP79" s="26"/>
      <c r="AQ79" s="26"/>
      <c r="AR79" s="26"/>
      <c r="AS79" s="26"/>
      <c r="AT79" s="26"/>
      <c r="AU79" s="26"/>
      <c r="AV79" s="34"/>
      <c r="AW79" s="163"/>
    </row>
    <row r="80" spans="1:49" ht="12.75" customHeight="1" x14ac:dyDescent="0.25">
      <c r="A80" s="22"/>
      <c r="B80" s="178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80"/>
      <c r="AM80" s="26"/>
      <c r="AN80" s="26"/>
      <c r="AO80" s="49"/>
      <c r="AP80" s="23"/>
      <c r="AQ80" s="23"/>
      <c r="AR80" s="23"/>
      <c r="AS80" s="23"/>
      <c r="AT80" s="23"/>
      <c r="AU80" s="23"/>
      <c r="AV80" s="50"/>
      <c r="AW80" s="163"/>
    </row>
    <row r="81" spans="1:49" ht="12.75" customHeight="1" x14ac:dyDescent="0.25">
      <c r="A81" s="22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163"/>
    </row>
    <row r="82" spans="1:49" ht="12.75" customHeight="1" x14ac:dyDescent="0.25">
      <c r="A82" s="22"/>
      <c r="B82" s="26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163"/>
    </row>
    <row r="83" spans="1:49" ht="12.75" customHeight="1" x14ac:dyDescent="0.25">
      <c r="A83" s="22"/>
      <c r="B83" s="26"/>
      <c r="C83" s="125" t="s">
        <v>390</v>
      </c>
      <c r="D83" s="125"/>
      <c r="E83" s="125"/>
      <c r="F83" s="125"/>
      <c r="G83" s="125"/>
      <c r="H83" s="125"/>
      <c r="I83" s="125"/>
      <c r="J83" s="125"/>
      <c r="K83" s="125"/>
      <c r="L83" s="125"/>
      <c r="M83" s="52"/>
      <c r="N83" s="181" t="s">
        <v>385</v>
      </c>
      <c r="O83" s="181"/>
      <c r="P83" s="181"/>
      <c r="Q83" s="181"/>
      <c r="R83" s="181"/>
      <c r="S83" s="181"/>
      <c r="T83" s="181"/>
      <c r="U83" s="181"/>
      <c r="V83" s="181"/>
      <c r="W83" s="181"/>
      <c r="X83" s="51"/>
      <c r="Y83" s="125" t="s">
        <v>391</v>
      </c>
      <c r="Z83" s="125"/>
      <c r="AA83" s="125"/>
      <c r="AB83" s="125"/>
      <c r="AC83" s="125"/>
      <c r="AD83" s="125"/>
      <c r="AE83" s="125"/>
      <c r="AF83" s="125"/>
      <c r="AG83" s="51"/>
      <c r="AH83" s="51"/>
      <c r="AI83" s="51"/>
      <c r="AJ83" s="51"/>
      <c r="AK83" s="51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1"/>
      <c r="AW83" s="163"/>
    </row>
    <row r="84" spans="1:49" ht="12.75" customHeight="1" x14ac:dyDescent="0.25">
      <c r="A84" s="22"/>
      <c r="B84" s="26"/>
      <c r="C84" s="165" t="s">
        <v>59</v>
      </c>
      <c r="D84" s="165"/>
      <c r="E84" s="165"/>
      <c r="F84" s="165"/>
      <c r="G84" s="165"/>
      <c r="H84" s="165"/>
      <c r="I84" s="165"/>
      <c r="J84" s="165"/>
      <c r="K84" s="165"/>
      <c r="L84" s="165"/>
      <c r="M84" s="52"/>
      <c r="N84" s="165" t="s">
        <v>355</v>
      </c>
      <c r="O84" s="165"/>
      <c r="P84" s="165"/>
      <c r="Q84" s="165"/>
      <c r="R84" s="165"/>
      <c r="S84" s="165"/>
      <c r="T84" s="165"/>
      <c r="U84" s="165"/>
      <c r="V84" s="165"/>
      <c r="W84" s="165"/>
      <c r="X84" s="95"/>
      <c r="Y84" s="165" t="s">
        <v>126</v>
      </c>
      <c r="Z84" s="165"/>
      <c r="AA84" s="165"/>
      <c r="AB84" s="165"/>
      <c r="AC84" s="165"/>
      <c r="AD84" s="165"/>
      <c r="AE84" s="165"/>
      <c r="AF84" s="165"/>
      <c r="AG84" s="51"/>
      <c r="AH84" s="51"/>
      <c r="AI84" s="51"/>
      <c r="AJ84" s="51"/>
      <c r="AK84" s="51"/>
      <c r="AL84" s="53"/>
      <c r="AM84" s="53"/>
      <c r="AN84" s="53"/>
      <c r="AO84" s="51" t="s">
        <v>60</v>
      </c>
      <c r="AP84" s="51"/>
      <c r="AQ84" s="51"/>
      <c r="AR84" s="51"/>
      <c r="AS84" s="11" t="s">
        <v>386</v>
      </c>
      <c r="AT84" s="11" t="s">
        <v>387</v>
      </c>
      <c r="AU84" s="11" t="s">
        <v>388</v>
      </c>
      <c r="AV84" s="51"/>
      <c r="AW84" s="163"/>
    </row>
    <row r="85" spans="1:49" ht="12.75" customHeight="1" x14ac:dyDescent="0.25">
      <c r="A85" s="22"/>
      <c r="B85" s="26"/>
      <c r="C85" s="53"/>
      <c r="D85" s="53"/>
      <c r="E85" s="53"/>
      <c r="F85" s="54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1"/>
      <c r="AW85" s="163"/>
    </row>
    <row r="86" spans="1:49" ht="16.5" customHeight="1" x14ac:dyDescent="0.25">
      <c r="A86" s="22"/>
      <c r="B86" s="183" t="s">
        <v>381</v>
      </c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4"/>
      <c r="R86" s="184"/>
      <c r="S86" s="184"/>
      <c r="T86" s="184"/>
      <c r="U86" s="184"/>
      <c r="V86" s="184"/>
      <c r="W86" s="184"/>
      <c r="X86" s="184"/>
      <c r="Y86" s="185"/>
      <c r="Z86" s="185"/>
      <c r="AA86" s="185"/>
      <c r="AB86" s="185"/>
      <c r="AC86" s="185"/>
      <c r="AD86" s="185"/>
      <c r="AE86" s="185"/>
      <c r="AF86" s="185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55" t="s">
        <v>370</v>
      </c>
      <c r="AW86" s="163"/>
    </row>
    <row r="87" spans="1:49" ht="20.100000000000001" customHeight="1" x14ac:dyDescent="0.25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</row>
  </sheetData>
  <mergeCells count="179">
    <mergeCell ref="AP86:AU86"/>
    <mergeCell ref="B86:P86"/>
    <mergeCell ref="Q86:X86"/>
    <mergeCell ref="Y86:AF86"/>
    <mergeCell ref="AG86:AO86"/>
    <mergeCell ref="AS67:AV67"/>
    <mergeCell ref="B79:AL79"/>
    <mergeCell ref="B80:AL80"/>
    <mergeCell ref="C83:L83"/>
    <mergeCell ref="Y83:AF83"/>
    <mergeCell ref="AS66:AV66"/>
    <mergeCell ref="B68:J68"/>
    <mergeCell ref="C84:L84"/>
    <mergeCell ref="K68:U68"/>
    <mergeCell ref="V68:AD68"/>
    <mergeCell ref="AE68:AK68"/>
    <mergeCell ref="AS68:AV68"/>
    <mergeCell ref="AL68:AR68"/>
    <mergeCell ref="B78:AL78"/>
    <mergeCell ref="B74:AL74"/>
    <mergeCell ref="AL67:AR67"/>
    <mergeCell ref="N83:W83"/>
    <mergeCell ref="AL66:AR66"/>
    <mergeCell ref="A87:AW87"/>
    <mergeCell ref="AW1:AW86"/>
    <mergeCell ref="AT2:AU2"/>
    <mergeCell ref="AT3:AU3"/>
    <mergeCell ref="AT4:AU4"/>
    <mergeCell ref="N84:W84"/>
    <mergeCell ref="B70:AL70"/>
    <mergeCell ref="B71:AL71"/>
    <mergeCell ref="B72:AL72"/>
    <mergeCell ref="B73:AL73"/>
    <mergeCell ref="B75:AL75"/>
    <mergeCell ref="Y84:AF84"/>
    <mergeCell ref="B76:AL76"/>
    <mergeCell ref="B77:AL77"/>
    <mergeCell ref="B66:J66"/>
    <mergeCell ref="K66:AD66"/>
    <mergeCell ref="AE66:AK66"/>
    <mergeCell ref="B67:J67"/>
    <mergeCell ref="K67:AD67"/>
    <mergeCell ref="AE67:AK67"/>
    <mergeCell ref="V65:AD65"/>
    <mergeCell ref="K64:AD64"/>
    <mergeCell ref="K62:U62"/>
    <mergeCell ref="V62:AD62"/>
    <mergeCell ref="AE65:AK65"/>
    <mergeCell ref="E60:G60"/>
    <mergeCell ref="H60:J60"/>
    <mergeCell ref="K60:AJ60"/>
    <mergeCell ref="AE63:AK63"/>
    <mergeCell ref="AK60:AO60"/>
    <mergeCell ref="B64:J64"/>
    <mergeCell ref="AE64:AK64"/>
    <mergeCell ref="B65:J65"/>
    <mergeCell ref="K65:U65"/>
    <mergeCell ref="B59:D59"/>
    <mergeCell ref="E59:G59"/>
    <mergeCell ref="H59:J59"/>
    <mergeCell ref="K59:AJ59"/>
    <mergeCell ref="AK59:AO59"/>
    <mergeCell ref="AR59:AV59"/>
    <mergeCell ref="AP59:AQ59"/>
    <mergeCell ref="B60:D60"/>
    <mergeCell ref="B63:J63"/>
    <mergeCell ref="K63:AD63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9:D9"/>
    <mergeCell ref="E9:T9"/>
    <mergeCell ref="U9:AD9"/>
    <mergeCell ref="AE9:AN9"/>
    <mergeCell ref="AR9:AV9"/>
    <mergeCell ref="AO9:AQ9"/>
    <mergeCell ref="B48:D48"/>
    <mergeCell ref="E48:G48"/>
    <mergeCell ref="H48:J48"/>
    <mergeCell ref="K48:AJ48"/>
    <mergeCell ref="AK48:AO48"/>
    <mergeCell ref="AR48:AV48"/>
    <mergeCell ref="AP48:AQ48"/>
    <mergeCell ref="AO10:AS10"/>
    <mergeCell ref="I45:T45"/>
    <mergeCell ref="U45:AE45"/>
    <mergeCell ref="B11:AV43"/>
    <mergeCell ref="B44:AV44"/>
    <mergeCell ref="B46:AV46"/>
    <mergeCell ref="B7:D7"/>
    <mergeCell ref="E7:T7"/>
    <mergeCell ref="U7:AD7"/>
    <mergeCell ref="AE7:AN7"/>
    <mergeCell ref="AR7:AV7"/>
    <mergeCell ref="AO7:AQ7"/>
    <mergeCell ref="B8:D8"/>
    <mergeCell ref="E8:T8"/>
    <mergeCell ref="U8:AD8"/>
    <mergeCell ref="AE8:AN8"/>
    <mergeCell ref="AR8:AV8"/>
    <mergeCell ref="AO8:AQ8"/>
    <mergeCell ref="AS64:AV64"/>
    <mergeCell ref="AL62:AR62"/>
    <mergeCell ref="AS62:AV62"/>
    <mergeCell ref="AS65:AV65"/>
    <mergeCell ref="AL65:AR65"/>
    <mergeCell ref="AL64:AR64"/>
    <mergeCell ref="AL63:AR63"/>
    <mergeCell ref="AS63:AV63"/>
    <mergeCell ref="AT6:AV6"/>
    <mergeCell ref="AR60:AV60"/>
    <mergeCell ref="AP60:AQ6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0" orientation="portrait" r:id="rId1"/>
  <rowBreaks count="1" manualBreakCount="1">
    <brk id="87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7"/>
  <sheetViews>
    <sheetView view="pageBreakPreview" topLeftCell="A26" zoomScale="86" zoomScaleNormal="100" zoomScaleSheetLayoutView="86" workbookViewId="0">
      <selection activeCell="H62" sqref="H62:I62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200"/>
      <c r="C2" s="201"/>
      <c r="D2" s="206" t="s">
        <v>183</v>
      </c>
      <c r="E2" s="206"/>
      <c r="F2" s="206"/>
      <c r="G2" s="207"/>
      <c r="H2" s="212" t="s">
        <v>139</v>
      </c>
      <c r="I2" s="213"/>
    </row>
    <row r="3" spans="2:9" ht="12.75" customHeight="1" x14ac:dyDescent="0.25">
      <c r="B3" s="202"/>
      <c r="C3" s="203"/>
      <c r="D3" s="208"/>
      <c r="E3" s="208"/>
      <c r="F3" s="208"/>
      <c r="G3" s="209"/>
      <c r="H3" s="214"/>
      <c r="I3" s="215"/>
    </row>
    <row r="4" spans="2:9" ht="12.75" customHeight="1" x14ac:dyDescent="0.25">
      <c r="B4" s="202"/>
      <c r="C4" s="203"/>
      <c r="D4" s="208"/>
      <c r="E4" s="208"/>
      <c r="F4" s="208"/>
      <c r="G4" s="209"/>
      <c r="H4" s="214"/>
      <c r="I4" s="215"/>
    </row>
    <row r="5" spans="2:9" ht="12.75" customHeight="1" x14ac:dyDescent="0.25">
      <c r="B5" s="204"/>
      <c r="C5" s="205"/>
      <c r="D5" s="210"/>
      <c r="E5" s="210"/>
      <c r="F5" s="210"/>
      <c r="G5" s="211"/>
      <c r="H5" s="216"/>
      <c r="I5" s="217"/>
    </row>
    <row r="6" spans="2:9" x14ac:dyDescent="0.25">
      <c r="B6" s="196" t="s">
        <v>170</v>
      </c>
      <c r="C6" s="197"/>
      <c r="D6" s="106" t="str">
        <f>DATOS!AE7</f>
        <v>1220200814</v>
      </c>
      <c r="E6" s="96"/>
      <c r="F6" s="96"/>
      <c r="G6" s="67" t="s">
        <v>60</v>
      </c>
      <c r="H6" s="218" t="s">
        <v>389</v>
      </c>
      <c r="I6" s="219"/>
    </row>
    <row r="7" spans="2:9" x14ac:dyDescent="0.25">
      <c r="B7" s="220" t="s">
        <v>140</v>
      </c>
      <c r="C7" s="221"/>
      <c r="D7" s="20" t="s">
        <v>382</v>
      </c>
      <c r="E7" s="98"/>
      <c r="F7" s="98"/>
      <c r="G7" s="97" t="s">
        <v>133</v>
      </c>
      <c r="H7" s="222" t="s">
        <v>167</v>
      </c>
      <c r="I7" s="223"/>
    </row>
    <row r="8" spans="2:9" x14ac:dyDescent="0.25">
      <c r="B8" s="58" t="s">
        <v>356</v>
      </c>
      <c r="C8" s="99"/>
      <c r="D8" s="96"/>
      <c r="E8" s="96"/>
      <c r="F8" s="96"/>
      <c r="G8" s="96"/>
      <c r="H8" s="96"/>
      <c r="I8" s="100"/>
    </row>
    <row r="9" spans="2:9" ht="4.5" customHeight="1" x14ac:dyDescent="0.25">
      <c r="B9" s="60"/>
      <c r="C9" s="1"/>
      <c r="I9" s="101"/>
    </row>
    <row r="10" spans="2:9" x14ac:dyDescent="0.25">
      <c r="B10" s="102"/>
      <c r="D10" s="15" t="s">
        <v>135</v>
      </c>
      <c r="E10" s="12"/>
      <c r="G10" s="15" t="s">
        <v>141</v>
      </c>
      <c r="I10" s="101"/>
    </row>
    <row r="11" spans="2:9" x14ac:dyDescent="0.25">
      <c r="B11" s="102"/>
      <c r="D11" s="15" t="s">
        <v>136</v>
      </c>
      <c r="G11" s="15" t="s">
        <v>142</v>
      </c>
      <c r="I11" s="101"/>
    </row>
    <row r="12" spans="2:9" x14ac:dyDescent="0.25">
      <c r="B12" s="102"/>
      <c r="D12" s="15" t="s">
        <v>143</v>
      </c>
      <c r="G12" s="15" t="s">
        <v>144</v>
      </c>
      <c r="I12" s="101"/>
    </row>
    <row r="13" spans="2:9" x14ac:dyDescent="0.25">
      <c r="B13" s="103"/>
      <c r="C13" s="98"/>
      <c r="D13" s="20" t="s">
        <v>145</v>
      </c>
      <c r="E13" s="98"/>
      <c r="F13" s="98"/>
      <c r="G13" s="98"/>
      <c r="H13" s="98"/>
      <c r="I13" s="104"/>
    </row>
    <row r="14" spans="2:9" x14ac:dyDescent="0.25">
      <c r="B14" s="196" t="s">
        <v>137</v>
      </c>
      <c r="C14" s="197"/>
      <c r="D14" s="197"/>
      <c r="E14" s="59" t="s">
        <v>146</v>
      </c>
      <c r="F14" s="96"/>
      <c r="G14" s="77" t="s">
        <v>147</v>
      </c>
      <c r="H14" s="17" t="s">
        <v>184</v>
      </c>
      <c r="I14" s="100"/>
    </row>
    <row r="15" spans="2:9" ht="4.5" customHeight="1" x14ac:dyDescent="0.25">
      <c r="B15" s="61"/>
      <c r="C15" s="62"/>
      <c r="D15" s="98"/>
      <c r="E15" s="98"/>
      <c r="F15" s="98"/>
      <c r="G15" s="20"/>
      <c r="H15" s="98"/>
      <c r="I15" s="104"/>
    </row>
    <row r="16" spans="2:9" x14ac:dyDescent="0.25">
      <c r="B16" s="58" t="s">
        <v>148</v>
      </c>
      <c r="C16" s="99"/>
      <c r="D16" s="96"/>
      <c r="E16" s="96"/>
      <c r="F16" s="96"/>
      <c r="G16" s="96"/>
      <c r="H16" s="96"/>
      <c r="I16" s="100"/>
    </row>
    <row r="17" spans="2:9" x14ac:dyDescent="0.25">
      <c r="B17" s="198" t="s">
        <v>357</v>
      </c>
      <c r="C17" s="199"/>
      <c r="D17" s="199"/>
      <c r="E17" s="199"/>
      <c r="F17" s="199"/>
      <c r="G17" s="199"/>
      <c r="H17" s="199"/>
      <c r="I17" s="101"/>
    </row>
    <row r="18" spans="2:9" ht="4.5" customHeight="1" x14ac:dyDescent="0.25">
      <c r="B18" s="103"/>
      <c r="C18" s="98"/>
      <c r="D18" s="98"/>
      <c r="E18" s="98"/>
      <c r="F18" s="98"/>
      <c r="G18" s="98"/>
      <c r="H18" s="98"/>
      <c r="I18" s="104"/>
    </row>
    <row r="20" spans="2:9" x14ac:dyDescent="0.25">
      <c r="B20" s="1" t="s">
        <v>149</v>
      </c>
      <c r="C20" s="1"/>
      <c r="D20" s="63"/>
      <c r="E20" s="63"/>
      <c r="F20" s="12"/>
    </row>
    <row r="21" spans="2:9" x14ac:dyDescent="0.25">
      <c r="D21" s="63" t="s">
        <v>150</v>
      </c>
      <c r="E21" s="63" t="s">
        <v>185</v>
      </c>
    </row>
    <row r="23" spans="2:9" x14ac:dyDescent="0.25">
      <c r="B23" s="1" t="s">
        <v>358</v>
      </c>
      <c r="C23" s="1"/>
    </row>
    <row r="24" spans="2:9" x14ac:dyDescent="0.25">
      <c r="B24" s="57"/>
      <c r="C24" s="57"/>
      <c r="D24" s="65"/>
    </row>
    <row r="26" spans="2:9" ht="12.75" customHeight="1" x14ac:dyDescent="0.25">
      <c r="B26" s="64"/>
      <c r="C26" s="64"/>
      <c r="D26" s="190" t="s">
        <v>186</v>
      </c>
      <c r="E26" s="190"/>
      <c r="F26" s="190"/>
      <c r="G26" s="190"/>
      <c r="H26" s="64"/>
      <c r="I26" s="64"/>
    </row>
    <row r="27" spans="2:9" x14ac:dyDescent="0.25">
      <c r="D27" s="188"/>
      <c r="E27" s="188"/>
      <c r="F27" s="188"/>
      <c r="G27" s="188"/>
    </row>
    <row r="28" spans="2:9" x14ac:dyDescent="0.25">
      <c r="D28" s="188"/>
      <c r="E28" s="188"/>
      <c r="F28" s="188"/>
      <c r="G28" s="188"/>
    </row>
    <row r="29" spans="2:9" x14ac:dyDescent="0.25">
      <c r="D29" s="188"/>
      <c r="E29" s="188"/>
      <c r="F29" s="188"/>
      <c r="G29" s="188"/>
    </row>
    <row r="30" spans="2:9" x14ac:dyDescent="0.25">
      <c r="D30" s="188"/>
      <c r="E30" s="188"/>
      <c r="F30" s="188"/>
      <c r="G30" s="188"/>
    </row>
    <row r="31" spans="2:9" x14ac:dyDescent="0.25">
      <c r="D31" s="188"/>
      <c r="E31" s="188"/>
      <c r="F31" s="188"/>
      <c r="G31" s="188"/>
    </row>
    <row r="32" spans="2:9" x14ac:dyDescent="0.25">
      <c r="D32" s="188"/>
      <c r="E32" s="188"/>
      <c r="F32" s="188"/>
      <c r="G32" s="188"/>
    </row>
    <row r="33" spans="2:9" x14ac:dyDescent="0.25">
      <c r="D33" s="188"/>
      <c r="E33" s="188"/>
      <c r="F33" s="188"/>
      <c r="G33" s="188"/>
    </row>
    <row r="34" spans="2:9" x14ac:dyDescent="0.25">
      <c r="D34" s="188"/>
      <c r="E34" s="188"/>
      <c r="F34" s="188"/>
      <c r="G34" s="188"/>
    </row>
    <row r="35" spans="2:9" x14ac:dyDescent="0.25">
      <c r="D35" s="188"/>
      <c r="E35" s="188"/>
      <c r="F35" s="188"/>
      <c r="G35" s="188"/>
    </row>
    <row r="36" spans="2:9" x14ac:dyDescent="0.25">
      <c r="D36" s="188"/>
      <c r="E36" s="188"/>
      <c r="F36" s="188"/>
      <c r="G36" s="188"/>
    </row>
    <row r="37" spans="2:9" x14ac:dyDescent="0.25">
      <c r="D37" s="188"/>
      <c r="E37" s="188"/>
      <c r="F37" s="188"/>
      <c r="G37" s="188"/>
    </row>
    <row r="38" spans="2:9" x14ac:dyDescent="0.25">
      <c r="D38" s="188"/>
      <c r="E38" s="188"/>
      <c r="F38" s="188"/>
      <c r="G38" s="188"/>
    </row>
    <row r="39" spans="2:9" x14ac:dyDescent="0.25">
      <c r="D39" s="191" t="s">
        <v>187</v>
      </c>
      <c r="E39" s="191"/>
      <c r="F39" s="191"/>
      <c r="G39" s="191"/>
    </row>
    <row r="42" spans="2:9" ht="12.75" customHeight="1" x14ac:dyDescent="0.25">
      <c r="B42" s="64"/>
      <c r="C42" s="64"/>
      <c r="D42" s="190" t="s">
        <v>188</v>
      </c>
      <c r="E42" s="190"/>
      <c r="F42" s="190"/>
      <c r="G42" s="190"/>
      <c r="H42" s="64"/>
      <c r="I42" s="64"/>
    </row>
    <row r="43" spans="2:9" x14ac:dyDescent="0.25">
      <c r="D43" s="188"/>
      <c r="E43" s="188"/>
      <c r="F43" s="188"/>
      <c r="G43" s="188"/>
    </row>
    <row r="44" spans="2:9" x14ac:dyDescent="0.25">
      <c r="D44" s="188"/>
      <c r="E44" s="188"/>
      <c r="F44" s="188"/>
      <c r="G44" s="188"/>
    </row>
    <row r="45" spans="2:9" x14ac:dyDescent="0.25">
      <c r="D45" s="188"/>
      <c r="E45" s="188"/>
      <c r="F45" s="188"/>
      <c r="G45" s="188"/>
    </row>
    <row r="46" spans="2:9" x14ac:dyDescent="0.25">
      <c r="D46" s="188"/>
      <c r="E46" s="188"/>
      <c r="F46" s="188"/>
      <c r="G46" s="188"/>
    </row>
    <row r="47" spans="2:9" x14ac:dyDescent="0.25">
      <c r="D47" s="188"/>
      <c r="E47" s="188"/>
      <c r="F47" s="188"/>
      <c r="G47" s="188"/>
    </row>
    <row r="48" spans="2:9" x14ac:dyDescent="0.25">
      <c r="D48" s="188"/>
      <c r="E48" s="188"/>
      <c r="F48" s="188"/>
      <c r="G48" s="188"/>
    </row>
    <row r="49" spans="2:9" x14ac:dyDescent="0.25">
      <c r="D49" s="188"/>
      <c r="E49" s="188"/>
      <c r="F49" s="188"/>
      <c r="G49" s="188"/>
    </row>
    <row r="50" spans="2:9" x14ac:dyDescent="0.25">
      <c r="D50" s="188"/>
      <c r="E50" s="188"/>
      <c r="F50" s="188"/>
      <c r="G50" s="188"/>
    </row>
    <row r="51" spans="2:9" x14ac:dyDescent="0.25">
      <c r="D51" s="188"/>
      <c r="E51" s="188"/>
      <c r="F51" s="188"/>
      <c r="G51" s="188"/>
    </row>
    <row r="52" spans="2:9" x14ac:dyDescent="0.25">
      <c r="D52" s="188"/>
      <c r="E52" s="188"/>
      <c r="F52" s="188"/>
      <c r="G52" s="188"/>
    </row>
    <row r="53" spans="2:9" x14ac:dyDescent="0.25">
      <c r="D53" s="188"/>
      <c r="E53" s="188"/>
      <c r="F53" s="188"/>
      <c r="G53" s="188"/>
    </row>
    <row r="54" spans="2:9" x14ac:dyDescent="0.25">
      <c r="D54" s="188"/>
      <c r="E54" s="188"/>
      <c r="F54" s="188"/>
      <c r="G54" s="188"/>
    </row>
    <row r="55" spans="2:9" x14ac:dyDescent="0.25">
      <c r="D55" s="191" t="s">
        <v>187</v>
      </c>
      <c r="E55" s="191"/>
      <c r="F55" s="191"/>
      <c r="G55" s="191"/>
    </row>
    <row r="58" spans="2:9" x14ac:dyDescent="0.25">
      <c r="B58" s="1" t="s">
        <v>138</v>
      </c>
      <c r="C58" s="12"/>
      <c r="D58" s="12"/>
      <c r="E58" s="12"/>
      <c r="F58" s="12"/>
      <c r="G58" s="12"/>
      <c r="H58" s="12"/>
    </row>
    <row r="59" spans="2:9" x14ac:dyDescent="0.25">
      <c r="B59" s="189" t="s">
        <v>194</v>
      </c>
      <c r="C59" s="189"/>
      <c r="D59" s="189"/>
      <c r="E59" s="189"/>
      <c r="F59" s="189"/>
      <c r="G59" s="189"/>
      <c r="H59" s="189"/>
      <c r="I59" s="189"/>
    </row>
    <row r="62" spans="2:9" x14ac:dyDescent="0.25">
      <c r="B62" s="192" t="s">
        <v>390</v>
      </c>
      <c r="C62" s="193"/>
      <c r="E62" s="194" t="s">
        <v>385</v>
      </c>
      <c r="F62" s="194"/>
      <c r="H62" s="192" t="s">
        <v>391</v>
      </c>
      <c r="I62" s="193"/>
    </row>
    <row r="63" spans="2:9" x14ac:dyDescent="0.25">
      <c r="B63" s="195" t="s">
        <v>59</v>
      </c>
      <c r="C63" s="195"/>
      <c r="E63" s="195" t="s">
        <v>355</v>
      </c>
      <c r="F63" s="195"/>
      <c r="H63" s="195" t="s">
        <v>195</v>
      </c>
      <c r="I63" s="195"/>
    </row>
    <row r="66" spans="2:9" x14ac:dyDescent="0.25">
      <c r="B66" s="186" t="s">
        <v>381</v>
      </c>
      <c r="C66" s="186"/>
      <c r="H66" s="187" t="s">
        <v>371</v>
      </c>
      <c r="I66" s="187"/>
    </row>
    <row r="67" spans="2:9" ht="15" customHeight="1" x14ac:dyDescent="0.25"/>
  </sheetData>
  <mergeCells count="24">
    <mergeCell ref="B14:D14"/>
    <mergeCell ref="B17:H17"/>
    <mergeCell ref="B2:C5"/>
    <mergeCell ref="D2:G5"/>
    <mergeCell ref="H2:I5"/>
    <mergeCell ref="B6:C6"/>
    <mergeCell ref="H6:I6"/>
    <mergeCell ref="B7:C7"/>
    <mergeCell ref="H7:I7"/>
    <mergeCell ref="B66:C66"/>
    <mergeCell ref="H66:I66"/>
    <mergeCell ref="D43:G54"/>
    <mergeCell ref="B59:I59"/>
    <mergeCell ref="D26:G26"/>
    <mergeCell ref="D27:G38"/>
    <mergeCell ref="D42:G42"/>
    <mergeCell ref="D39:G39"/>
    <mergeCell ref="D55:G55"/>
    <mergeCell ref="B62:C62"/>
    <mergeCell ref="E62:F62"/>
    <mergeCell ref="H62:I62"/>
    <mergeCell ref="B63:C63"/>
    <mergeCell ref="E63:F63"/>
    <mergeCell ref="H63:I63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64" r:id="rId4" name="Check Box 8">
              <controlPr defaultSize="0" autoFill="0" autoLine="0" autoPict="0">
                <anchor moveWithCells="1">
                  <from>
                    <xdr:col>5</xdr:col>
                    <xdr:colOff>784860</xdr:colOff>
                    <xdr:row>8</xdr:row>
                    <xdr:rowOff>45720</xdr:rowOff>
                  </from>
                  <to>
                    <xdr:col>5</xdr:col>
                    <xdr:colOff>975360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5" r:id="rId5" name="Check Box 9">
              <controlPr defaultSize="0" autoFill="0" autoLine="0" autoPict="0">
                <anchor moveWithCells="1">
                  <from>
                    <xdr:col>5</xdr:col>
                    <xdr:colOff>784860</xdr:colOff>
                    <xdr:row>10</xdr:row>
                    <xdr:rowOff>22860</xdr:rowOff>
                  </from>
                  <to>
                    <xdr:col>5</xdr:col>
                    <xdr:colOff>975360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6" r:id="rId6" name="Check Box 10">
              <controlPr defaultSize="0" autoFill="0" autoLine="0" autoPict="0">
                <anchor moveWithCells="1">
                  <from>
                    <xdr:col>5</xdr:col>
                    <xdr:colOff>784860</xdr:colOff>
                    <xdr:row>11</xdr:row>
                    <xdr:rowOff>30480</xdr:rowOff>
                  </from>
                  <to>
                    <xdr:col>5</xdr:col>
                    <xdr:colOff>975360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7" r:id="rId7" name="Check Box 11">
              <controlPr defaultSize="0" autoFill="0" autoLine="0" autoPict="0">
                <anchor moveWithCells="1">
                  <from>
                    <xdr:col>2</xdr:col>
                    <xdr:colOff>746760</xdr:colOff>
                    <xdr:row>8</xdr:row>
                    <xdr:rowOff>38100</xdr:rowOff>
                  </from>
                  <to>
                    <xdr:col>2</xdr:col>
                    <xdr:colOff>944880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8" r:id="rId8" name="Check Box 12">
              <controlPr defaultSize="0" autoFill="0" autoLine="0" autoPict="0">
                <anchor moveWithCells="1">
                  <from>
                    <xdr:col>2</xdr:col>
                    <xdr:colOff>746760</xdr:colOff>
                    <xdr:row>9</xdr:row>
                    <xdr:rowOff>167640</xdr:rowOff>
                  </from>
                  <to>
                    <xdr:col>2</xdr:col>
                    <xdr:colOff>944880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9" r:id="rId9" name="Check Box 13">
              <controlPr defaultSize="0" autoFill="0" autoLine="0" autoPict="0">
                <anchor moveWithCells="1">
                  <from>
                    <xdr:col>2</xdr:col>
                    <xdr:colOff>746760</xdr:colOff>
                    <xdr:row>10</xdr:row>
                    <xdr:rowOff>160020</xdr:rowOff>
                  </from>
                  <to>
                    <xdr:col>2</xdr:col>
                    <xdr:colOff>944880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70" r:id="rId10" name="Check Box 14">
              <controlPr defaultSize="0" autoFill="0" autoLine="0" autoPict="0">
                <anchor moveWithCells="1">
                  <from>
                    <xdr:col>2</xdr:col>
                    <xdr:colOff>746760</xdr:colOff>
                    <xdr:row>12</xdr:row>
                    <xdr:rowOff>0</xdr:rowOff>
                  </from>
                  <to>
                    <xdr:col>2</xdr:col>
                    <xdr:colOff>944880</xdr:colOff>
                    <xdr:row>13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56"/>
  <sheetViews>
    <sheetView tabSelected="1" view="pageBreakPreview" topLeftCell="A31" zoomScale="77" zoomScaleNormal="100" zoomScaleSheetLayoutView="77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35"/>
      <c r="C2" s="237" t="s">
        <v>189</v>
      </c>
      <c r="D2" s="206"/>
      <c r="E2" s="206"/>
      <c r="F2" s="206"/>
      <c r="G2" s="206"/>
      <c r="H2" s="206"/>
      <c r="I2" s="206"/>
      <c r="J2" s="206"/>
      <c r="K2" s="206"/>
      <c r="L2" s="206"/>
      <c r="M2" s="239" t="s">
        <v>190</v>
      </c>
      <c r="N2" s="240"/>
      <c r="O2" s="241"/>
    </row>
    <row r="3" spans="2:25" ht="27.75" customHeight="1" x14ac:dyDescent="0.25">
      <c r="B3" s="236"/>
      <c r="C3" s="238"/>
      <c r="D3" s="210"/>
      <c r="E3" s="210"/>
      <c r="F3" s="210"/>
      <c r="G3" s="210"/>
      <c r="H3" s="210"/>
      <c r="I3" s="210"/>
      <c r="J3" s="210"/>
      <c r="K3" s="210"/>
      <c r="L3" s="210"/>
      <c r="M3" s="242"/>
      <c r="N3" s="243"/>
      <c r="O3" s="244"/>
    </row>
    <row r="4" spans="2:25" x14ac:dyDescent="0.25">
      <c r="B4" s="66" t="s">
        <v>170</v>
      </c>
      <c r="C4" s="245" t="str">
        <f>DATOS!AE7</f>
        <v>1220200814</v>
      </c>
      <c r="D4" s="246"/>
      <c r="E4" s="246"/>
      <c r="F4" s="247"/>
      <c r="G4" s="247"/>
      <c r="H4" s="247"/>
      <c r="I4" s="247"/>
      <c r="J4" s="247"/>
      <c r="K4" s="247"/>
      <c r="L4" s="67" t="s">
        <v>60</v>
      </c>
      <c r="M4" s="68" t="str">
        <f>REFLEXION!H6</f>
        <v>16/2/2021</v>
      </c>
      <c r="N4" s="68"/>
      <c r="O4" s="69"/>
    </row>
    <row r="5" spans="2:25" x14ac:dyDescent="0.25">
      <c r="B5" s="14" t="s">
        <v>171</v>
      </c>
      <c r="C5" s="70" t="s">
        <v>166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16"/>
      <c r="R5" s="16"/>
      <c r="S5" s="73"/>
    </row>
    <row r="6" spans="2:25" x14ac:dyDescent="0.25">
      <c r="B6" s="74" t="s">
        <v>133</v>
      </c>
      <c r="C6" s="250" t="s">
        <v>172</v>
      </c>
      <c r="D6" s="250"/>
      <c r="E6" s="250"/>
      <c r="F6" s="250"/>
      <c r="G6" s="250"/>
      <c r="H6" s="250"/>
      <c r="I6" s="250"/>
      <c r="J6" s="250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51" t="s">
        <v>134</v>
      </c>
      <c r="C7" s="247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15"/>
      <c r="C12" s="15"/>
      <c r="D12" s="15"/>
      <c r="E12" s="248" t="s">
        <v>191</v>
      </c>
      <c r="F12" s="248"/>
      <c r="G12" s="248"/>
      <c r="H12" s="248"/>
      <c r="I12" s="248"/>
      <c r="J12" s="248"/>
      <c r="K12" s="248"/>
      <c r="L12" s="248"/>
      <c r="M12" s="15"/>
      <c r="N12" s="15"/>
      <c r="O12" s="15"/>
      <c r="R12" s="12"/>
      <c r="S12" s="15"/>
      <c r="T12" s="15"/>
      <c r="U12" s="15"/>
      <c r="V12" s="15"/>
      <c r="W12" s="15"/>
    </row>
    <row r="13" spans="2:25" ht="15" customHeight="1" x14ac:dyDescent="0.25">
      <c r="B13" s="1"/>
      <c r="C13" s="1"/>
      <c r="D13" s="1"/>
      <c r="E13" s="232"/>
      <c r="F13" s="232"/>
      <c r="G13" s="232"/>
      <c r="H13" s="232"/>
      <c r="I13" s="232"/>
      <c r="J13" s="232"/>
      <c r="K13" s="232"/>
      <c r="L13" s="232"/>
      <c r="M13" s="1"/>
      <c r="N13" s="1"/>
      <c r="O13" s="1"/>
    </row>
    <row r="14" spans="2:25" ht="15" customHeight="1" x14ac:dyDescent="0.25">
      <c r="B14" s="79"/>
      <c r="C14" s="79"/>
      <c r="D14" s="79"/>
      <c r="E14" s="232"/>
      <c r="F14" s="232"/>
      <c r="G14" s="232"/>
      <c r="H14" s="232"/>
      <c r="I14" s="232"/>
      <c r="J14" s="232"/>
      <c r="K14" s="232"/>
      <c r="L14" s="232"/>
      <c r="M14" s="79"/>
      <c r="N14" s="79"/>
      <c r="O14" s="79"/>
      <c r="S14" s="230"/>
      <c r="T14" s="230"/>
      <c r="U14" s="230"/>
      <c r="V14" s="230"/>
      <c r="W14" s="230"/>
      <c r="X14" s="230"/>
      <c r="Y14" s="230"/>
    </row>
    <row r="15" spans="2:25" ht="13.5" customHeight="1" x14ac:dyDescent="0.25">
      <c r="B15" s="79"/>
      <c r="C15" s="79"/>
      <c r="D15" s="79"/>
      <c r="E15" s="232"/>
      <c r="F15" s="232"/>
      <c r="G15" s="232"/>
      <c r="H15" s="232"/>
      <c r="I15" s="232"/>
      <c r="J15" s="232"/>
      <c r="K15" s="232"/>
      <c r="L15" s="232"/>
      <c r="M15" s="79"/>
      <c r="N15" s="79"/>
      <c r="O15" s="79"/>
      <c r="S15" s="231"/>
      <c r="T15" s="231"/>
      <c r="U15" s="231"/>
      <c r="V15" s="231"/>
      <c r="W15" s="231"/>
      <c r="X15" s="231"/>
      <c r="Y15" s="231"/>
    </row>
    <row r="16" spans="2:25" ht="13.5" customHeight="1" x14ac:dyDescent="0.25">
      <c r="B16" s="79"/>
      <c r="C16" s="79"/>
      <c r="D16" s="79"/>
      <c r="E16" s="232"/>
      <c r="F16" s="232"/>
      <c r="G16" s="232"/>
      <c r="H16" s="232"/>
      <c r="I16" s="232"/>
      <c r="J16" s="232"/>
      <c r="K16" s="232"/>
      <c r="L16" s="232"/>
      <c r="M16" s="79"/>
      <c r="N16" s="79"/>
      <c r="O16" s="79"/>
      <c r="S16" s="231"/>
      <c r="T16" s="231"/>
      <c r="U16" s="231"/>
      <c r="V16" s="231"/>
      <c r="W16" s="231"/>
      <c r="X16" s="231"/>
      <c r="Y16" s="231"/>
    </row>
    <row r="17" spans="2:25" ht="13.5" customHeight="1" x14ac:dyDescent="0.25">
      <c r="B17" s="79"/>
      <c r="C17" s="79"/>
      <c r="D17" s="79"/>
      <c r="E17" s="232"/>
      <c r="F17" s="232"/>
      <c r="G17" s="232"/>
      <c r="H17" s="232"/>
      <c r="I17" s="232"/>
      <c r="J17" s="232"/>
      <c r="K17" s="232"/>
      <c r="L17" s="232"/>
      <c r="M17" s="79"/>
      <c r="N17" s="79"/>
      <c r="O17" s="79"/>
      <c r="S17" s="231"/>
      <c r="T17" s="231"/>
      <c r="U17" s="231"/>
      <c r="V17" s="231"/>
      <c r="W17" s="231"/>
      <c r="X17" s="231"/>
      <c r="Y17" s="231"/>
    </row>
    <row r="18" spans="2:25" ht="13.5" customHeight="1" x14ac:dyDescent="0.25">
      <c r="B18" s="79"/>
      <c r="C18" s="79"/>
      <c r="D18" s="79"/>
      <c r="E18" s="232"/>
      <c r="F18" s="232"/>
      <c r="G18" s="232"/>
      <c r="H18" s="232"/>
      <c r="I18" s="232"/>
      <c r="J18" s="232"/>
      <c r="K18" s="232"/>
      <c r="L18" s="232"/>
      <c r="M18" s="79"/>
      <c r="N18" s="79"/>
      <c r="O18" s="79"/>
      <c r="S18" s="231"/>
      <c r="T18" s="231"/>
      <c r="U18" s="231"/>
      <c r="V18" s="231"/>
      <c r="W18" s="231"/>
      <c r="X18" s="231"/>
      <c r="Y18" s="231"/>
    </row>
    <row r="19" spans="2:25" ht="13.5" customHeight="1" x14ac:dyDescent="0.25">
      <c r="B19" s="79"/>
      <c r="C19" s="79"/>
      <c r="D19" s="79"/>
      <c r="E19" s="232"/>
      <c r="F19" s="232"/>
      <c r="G19" s="232"/>
      <c r="H19" s="232"/>
      <c r="I19" s="232"/>
      <c r="J19" s="232"/>
      <c r="K19" s="232"/>
      <c r="L19" s="232"/>
      <c r="M19" s="79"/>
      <c r="N19" s="79"/>
      <c r="O19" s="79"/>
      <c r="S19" s="231"/>
      <c r="T19" s="231"/>
      <c r="U19" s="231"/>
      <c r="V19" s="231"/>
      <c r="W19" s="231"/>
      <c r="X19" s="231"/>
      <c r="Y19" s="231"/>
    </row>
    <row r="20" spans="2:25" ht="13.5" customHeight="1" x14ac:dyDescent="0.25">
      <c r="B20" s="79"/>
      <c r="C20" s="79"/>
      <c r="D20" s="79"/>
      <c r="E20" s="232"/>
      <c r="F20" s="232"/>
      <c r="G20" s="232"/>
      <c r="H20" s="232"/>
      <c r="I20" s="232"/>
      <c r="J20" s="232"/>
      <c r="K20" s="232"/>
      <c r="L20" s="232"/>
      <c r="M20" s="79"/>
      <c r="N20" s="79"/>
      <c r="O20" s="79"/>
      <c r="S20" s="231"/>
      <c r="T20" s="231"/>
      <c r="U20" s="231"/>
      <c r="V20" s="231"/>
      <c r="W20" s="231"/>
      <c r="X20" s="231"/>
      <c r="Y20" s="231"/>
    </row>
    <row r="21" spans="2:25" ht="13.5" customHeight="1" x14ac:dyDescent="0.25">
      <c r="B21" s="79"/>
      <c r="C21" s="79"/>
      <c r="D21" s="79"/>
      <c r="E21" s="232"/>
      <c r="F21" s="232"/>
      <c r="G21" s="232"/>
      <c r="H21" s="232"/>
      <c r="I21" s="232"/>
      <c r="J21" s="232"/>
      <c r="K21" s="232"/>
      <c r="L21" s="232"/>
      <c r="M21" s="79"/>
      <c r="N21" s="79"/>
      <c r="O21" s="79"/>
      <c r="S21" s="231"/>
      <c r="T21" s="231"/>
      <c r="U21" s="231"/>
      <c r="V21" s="231"/>
      <c r="W21" s="231"/>
      <c r="X21" s="231"/>
      <c r="Y21" s="231"/>
    </row>
    <row r="22" spans="2:25" ht="13.5" customHeight="1" x14ac:dyDescent="0.25">
      <c r="B22" s="79"/>
      <c r="C22" s="79"/>
      <c r="D22" s="79"/>
      <c r="E22" s="232"/>
      <c r="F22" s="232"/>
      <c r="G22" s="232"/>
      <c r="H22" s="232"/>
      <c r="I22" s="232"/>
      <c r="J22" s="232"/>
      <c r="K22" s="232"/>
      <c r="L22" s="232"/>
      <c r="M22" s="79"/>
      <c r="N22" s="79"/>
      <c r="O22" s="79"/>
      <c r="S22" s="231"/>
      <c r="T22" s="231"/>
      <c r="U22" s="231"/>
      <c r="V22" s="231"/>
      <c r="W22" s="231"/>
      <c r="X22" s="231"/>
      <c r="Y22" s="231"/>
    </row>
    <row r="23" spans="2:25" ht="13.5" customHeight="1" x14ac:dyDescent="0.25">
      <c r="B23" s="79"/>
      <c r="C23" s="79"/>
      <c r="D23" s="79"/>
      <c r="E23" s="232"/>
      <c r="F23" s="232"/>
      <c r="G23" s="232"/>
      <c r="H23" s="232"/>
      <c r="I23" s="232"/>
      <c r="J23" s="232"/>
      <c r="K23" s="232"/>
      <c r="L23" s="232"/>
      <c r="M23" s="79"/>
      <c r="N23" s="79"/>
      <c r="O23" s="79"/>
      <c r="S23" s="231"/>
      <c r="T23" s="231"/>
      <c r="U23" s="231"/>
      <c r="V23" s="231"/>
      <c r="W23" s="231"/>
      <c r="X23" s="231"/>
      <c r="Y23" s="231"/>
    </row>
    <row r="24" spans="2:25" ht="13.5" customHeight="1" x14ac:dyDescent="0.25">
      <c r="B24" s="79"/>
      <c r="C24" s="79"/>
      <c r="D24" s="79"/>
      <c r="E24" s="232"/>
      <c r="F24" s="232"/>
      <c r="G24" s="232"/>
      <c r="H24" s="232"/>
      <c r="I24" s="232"/>
      <c r="J24" s="232"/>
      <c r="K24" s="232"/>
      <c r="L24" s="232"/>
      <c r="M24" s="79"/>
      <c r="N24" s="79"/>
      <c r="O24" s="79"/>
      <c r="S24" s="231"/>
      <c r="T24" s="231"/>
      <c r="U24" s="231"/>
      <c r="V24" s="231"/>
      <c r="W24" s="231"/>
      <c r="X24" s="231"/>
      <c r="Y24" s="231"/>
    </row>
    <row r="25" spans="2:25" ht="13.5" customHeight="1" x14ac:dyDescent="0.25">
      <c r="B25" s="79"/>
      <c r="C25" s="79"/>
      <c r="D25" s="79"/>
      <c r="E25" s="232"/>
      <c r="F25" s="232"/>
      <c r="G25" s="232"/>
      <c r="H25" s="232"/>
      <c r="I25" s="232"/>
      <c r="J25" s="232"/>
      <c r="K25" s="232"/>
      <c r="L25" s="232"/>
      <c r="M25" s="79"/>
      <c r="N25" s="79"/>
      <c r="O25" s="79"/>
      <c r="S25" s="231"/>
      <c r="T25" s="231"/>
      <c r="U25" s="231"/>
      <c r="V25" s="231"/>
      <c r="W25" s="231"/>
      <c r="X25" s="231"/>
      <c r="Y25" s="231"/>
    </row>
    <row r="26" spans="2:25" ht="13.5" customHeight="1" x14ac:dyDescent="0.25">
      <c r="B26" s="79"/>
      <c r="C26" s="79"/>
      <c r="D26" s="79"/>
      <c r="E26" s="232"/>
      <c r="F26" s="232"/>
      <c r="G26" s="232"/>
      <c r="H26" s="232"/>
      <c r="I26" s="232"/>
      <c r="J26" s="232"/>
      <c r="K26" s="232"/>
      <c r="L26" s="232"/>
      <c r="M26" s="79"/>
      <c r="N26" s="79"/>
      <c r="O26" s="79"/>
      <c r="S26" s="231"/>
      <c r="T26" s="231"/>
      <c r="U26" s="231"/>
      <c r="V26" s="231"/>
      <c r="W26" s="231"/>
      <c r="X26" s="231"/>
      <c r="Y26" s="231"/>
    </row>
    <row r="27" spans="2:25" ht="13.5" customHeight="1" x14ac:dyDescent="0.25">
      <c r="B27" s="79"/>
      <c r="C27" s="79"/>
      <c r="D27" s="79"/>
      <c r="E27" s="232"/>
      <c r="F27" s="232"/>
      <c r="G27" s="232"/>
      <c r="H27" s="232"/>
      <c r="I27" s="232"/>
      <c r="J27" s="232"/>
      <c r="K27" s="232"/>
      <c r="L27" s="232"/>
      <c r="M27" s="79"/>
      <c r="N27" s="79"/>
      <c r="O27" s="79"/>
      <c r="S27" s="231"/>
      <c r="T27" s="231"/>
      <c r="U27" s="231"/>
      <c r="V27" s="231"/>
      <c r="W27" s="231"/>
      <c r="X27" s="231"/>
      <c r="Y27" s="231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231"/>
      <c r="T28" s="231"/>
      <c r="U28" s="231"/>
      <c r="V28" s="231"/>
      <c r="W28" s="231"/>
      <c r="X28" s="231"/>
      <c r="Y28" s="231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231"/>
      <c r="T29" s="231"/>
      <c r="U29" s="231"/>
      <c r="V29" s="231"/>
      <c r="W29" s="231"/>
      <c r="X29" s="231"/>
      <c r="Y29" s="231"/>
    </row>
    <row r="30" spans="2:25" ht="15" customHeight="1" x14ac:dyDescent="0.25">
      <c r="B30" s="79"/>
      <c r="C30" s="79"/>
      <c r="D30" s="79"/>
      <c r="E30" s="248" t="s">
        <v>192</v>
      </c>
      <c r="F30" s="248"/>
      <c r="G30" s="248"/>
      <c r="H30" s="248"/>
      <c r="I30" s="248"/>
      <c r="J30" s="248"/>
      <c r="K30" s="248"/>
      <c r="L30" s="248"/>
      <c r="M30" s="79"/>
      <c r="N30" s="79"/>
      <c r="O30" s="79"/>
      <c r="S30" s="231"/>
      <c r="T30" s="231"/>
      <c r="U30" s="231"/>
      <c r="V30" s="231"/>
      <c r="W30" s="231"/>
      <c r="X30" s="231"/>
      <c r="Y30" s="231"/>
    </row>
    <row r="31" spans="2:25" ht="13.5" customHeight="1" x14ac:dyDescent="0.25">
      <c r="B31" s="79"/>
      <c r="C31" s="79"/>
      <c r="D31" s="79"/>
      <c r="E31" s="249"/>
      <c r="F31" s="249"/>
      <c r="G31" s="249"/>
      <c r="H31" s="249"/>
      <c r="I31" s="249"/>
      <c r="J31" s="249"/>
      <c r="K31" s="249"/>
      <c r="L31" s="249"/>
      <c r="M31" s="79"/>
      <c r="N31" s="79"/>
      <c r="O31" s="79"/>
      <c r="S31" s="231"/>
      <c r="T31" s="231"/>
      <c r="U31" s="231"/>
      <c r="V31" s="231"/>
      <c r="W31" s="231"/>
      <c r="X31" s="231"/>
      <c r="Y31" s="231"/>
    </row>
    <row r="32" spans="2:25" ht="13.5" customHeight="1" x14ac:dyDescent="0.25">
      <c r="B32" s="79"/>
      <c r="C32" s="79"/>
      <c r="D32" s="79"/>
      <c r="E32" s="249"/>
      <c r="F32" s="249"/>
      <c r="G32" s="249"/>
      <c r="H32" s="249"/>
      <c r="I32" s="249"/>
      <c r="J32" s="249"/>
      <c r="K32" s="249"/>
      <c r="L32" s="249"/>
      <c r="M32" s="79"/>
      <c r="N32" s="79"/>
      <c r="O32" s="79"/>
      <c r="S32" s="231"/>
      <c r="T32" s="231"/>
      <c r="U32" s="231"/>
      <c r="V32" s="231"/>
      <c r="W32" s="231"/>
      <c r="X32" s="231"/>
      <c r="Y32" s="231"/>
    </row>
    <row r="33" spans="2:33" ht="13.5" customHeight="1" x14ac:dyDescent="0.25">
      <c r="B33" s="79"/>
      <c r="C33" s="79"/>
      <c r="D33" s="79"/>
      <c r="E33" s="249"/>
      <c r="F33" s="249"/>
      <c r="G33" s="249"/>
      <c r="H33" s="249"/>
      <c r="I33" s="249"/>
      <c r="J33" s="249"/>
      <c r="K33" s="249"/>
      <c r="L33" s="249"/>
      <c r="M33" s="79"/>
      <c r="N33" s="79"/>
      <c r="O33" s="79"/>
      <c r="S33" s="231"/>
      <c r="T33" s="231"/>
      <c r="U33" s="231"/>
      <c r="V33" s="231"/>
      <c r="W33" s="231"/>
      <c r="X33" s="231"/>
      <c r="Y33" s="231"/>
    </row>
    <row r="34" spans="2:33" ht="13.5" customHeight="1" x14ac:dyDescent="0.25">
      <c r="B34" s="79"/>
      <c r="C34" s="79"/>
      <c r="D34" s="79"/>
      <c r="E34" s="249"/>
      <c r="F34" s="249"/>
      <c r="G34" s="249"/>
      <c r="H34" s="249"/>
      <c r="I34" s="249"/>
      <c r="J34" s="249"/>
      <c r="K34" s="249"/>
      <c r="L34" s="249"/>
      <c r="M34" s="79"/>
      <c r="N34" s="79"/>
      <c r="O34" s="79"/>
      <c r="S34" s="231"/>
      <c r="T34" s="231"/>
      <c r="U34" s="231"/>
      <c r="V34" s="231"/>
      <c r="W34" s="231"/>
      <c r="X34" s="231"/>
      <c r="Y34" s="231"/>
    </row>
    <row r="35" spans="2:33" ht="13.5" customHeight="1" x14ac:dyDescent="0.25">
      <c r="B35" s="79"/>
      <c r="C35" s="79"/>
      <c r="D35" s="79"/>
      <c r="E35" s="249"/>
      <c r="F35" s="249"/>
      <c r="G35" s="249"/>
      <c r="H35" s="249"/>
      <c r="I35" s="249"/>
      <c r="J35" s="249"/>
      <c r="K35" s="249"/>
      <c r="L35" s="249"/>
      <c r="M35" s="79"/>
      <c r="N35" s="79"/>
      <c r="O35" s="79"/>
      <c r="S35" s="231"/>
      <c r="T35" s="231"/>
      <c r="U35" s="231"/>
      <c r="V35" s="231"/>
      <c r="W35" s="231"/>
      <c r="X35" s="231"/>
      <c r="Y35" s="231"/>
    </row>
    <row r="36" spans="2:33" s="12" customFormat="1" ht="15" customHeight="1" x14ac:dyDescent="0.25">
      <c r="B36" s="79"/>
      <c r="C36" s="79"/>
      <c r="D36" s="79"/>
      <c r="E36" s="249"/>
      <c r="F36" s="249"/>
      <c r="G36" s="249"/>
      <c r="H36" s="249"/>
      <c r="I36" s="249"/>
      <c r="J36" s="249"/>
      <c r="K36" s="249"/>
      <c r="L36" s="249"/>
      <c r="M36" s="79"/>
      <c r="N36" s="79"/>
      <c r="O36" s="79"/>
      <c r="S36" s="231"/>
      <c r="T36" s="231"/>
      <c r="U36" s="231"/>
      <c r="V36" s="231"/>
      <c r="W36" s="231"/>
      <c r="X36" s="231"/>
      <c r="Y36" s="231"/>
    </row>
    <row r="37" spans="2:33" s="12" customFormat="1" ht="15" customHeight="1" x14ac:dyDescent="0.25">
      <c r="B37" s="79"/>
      <c r="C37" s="79"/>
      <c r="D37" s="79"/>
      <c r="E37" s="249"/>
      <c r="F37" s="249"/>
      <c r="G37" s="249"/>
      <c r="H37" s="249"/>
      <c r="I37" s="249"/>
      <c r="J37" s="249"/>
      <c r="K37" s="249"/>
      <c r="L37" s="249"/>
      <c r="M37" s="79"/>
      <c r="N37" s="79"/>
      <c r="O37" s="79"/>
      <c r="S37" s="231"/>
      <c r="T37" s="231"/>
      <c r="U37" s="231"/>
      <c r="V37" s="231"/>
      <c r="W37" s="231"/>
      <c r="X37" s="231"/>
      <c r="Y37" s="231"/>
    </row>
    <row r="38" spans="2:33" s="12" customFormat="1" ht="15" customHeight="1" x14ac:dyDescent="0.25">
      <c r="B38" s="79"/>
      <c r="C38" s="79"/>
      <c r="D38" s="79"/>
      <c r="E38" s="249"/>
      <c r="F38" s="249"/>
      <c r="G38" s="249"/>
      <c r="H38" s="249"/>
      <c r="I38" s="249"/>
      <c r="J38" s="249"/>
      <c r="K38" s="249"/>
      <c r="L38" s="249"/>
      <c r="M38" s="79"/>
      <c r="N38" s="79"/>
      <c r="O38" s="79"/>
      <c r="S38" s="231"/>
      <c r="T38" s="231"/>
      <c r="U38" s="231"/>
      <c r="V38" s="231"/>
      <c r="W38" s="231"/>
      <c r="X38" s="231"/>
      <c r="Y38" s="231"/>
    </row>
    <row r="39" spans="2:33" s="12" customFormat="1" ht="15" customHeight="1" x14ac:dyDescent="0.25">
      <c r="B39" s="79"/>
      <c r="C39" s="79"/>
      <c r="D39" s="79"/>
      <c r="E39" s="249"/>
      <c r="F39" s="249"/>
      <c r="G39" s="249"/>
      <c r="H39" s="249"/>
      <c r="I39" s="249"/>
      <c r="J39" s="249"/>
      <c r="K39" s="249"/>
      <c r="L39" s="249"/>
      <c r="M39" s="79"/>
      <c r="N39" s="79"/>
      <c r="O39" s="79"/>
      <c r="S39" s="231"/>
      <c r="T39" s="231"/>
      <c r="U39" s="231"/>
      <c r="V39" s="231"/>
      <c r="W39" s="231"/>
      <c r="X39" s="231"/>
      <c r="Y39" s="231"/>
    </row>
    <row r="40" spans="2:33" s="12" customFormat="1" ht="15" customHeight="1" x14ac:dyDescent="0.25">
      <c r="B40" s="79"/>
      <c r="C40" s="79"/>
      <c r="D40" s="79"/>
      <c r="E40" s="249"/>
      <c r="F40" s="249"/>
      <c r="G40" s="249"/>
      <c r="H40" s="249"/>
      <c r="I40" s="249"/>
      <c r="J40" s="249"/>
      <c r="K40" s="249"/>
      <c r="L40" s="249"/>
      <c r="M40" s="79"/>
      <c r="N40" s="79"/>
      <c r="O40" s="79"/>
      <c r="S40" s="231"/>
      <c r="T40" s="231"/>
      <c r="U40" s="231"/>
      <c r="V40" s="231"/>
      <c r="W40" s="231"/>
      <c r="X40" s="231"/>
      <c r="Y40" s="231"/>
    </row>
    <row r="41" spans="2:33" s="12" customFormat="1" ht="15" customHeight="1" x14ac:dyDescent="0.25">
      <c r="B41" s="79"/>
      <c r="C41" s="79"/>
      <c r="D41" s="79"/>
      <c r="E41" s="249"/>
      <c r="F41" s="249"/>
      <c r="G41" s="249"/>
      <c r="H41" s="249"/>
      <c r="I41" s="249"/>
      <c r="J41" s="249"/>
      <c r="K41" s="249"/>
      <c r="L41" s="249"/>
      <c r="M41" s="79"/>
      <c r="N41" s="79"/>
      <c r="O41" s="79"/>
      <c r="S41" s="231"/>
      <c r="T41" s="231"/>
      <c r="U41" s="231"/>
      <c r="V41" s="231"/>
      <c r="W41" s="231"/>
      <c r="X41" s="231"/>
      <c r="Y41" s="231"/>
    </row>
    <row r="42" spans="2:33" s="12" customFormat="1" ht="15" customHeight="1" x14ac:dyDescent="0.25">
      <c r="B42" s="79"/>
      <c r="C42" s="79"/>
      <c r="D42" s="79"/>
      <c r="E42" s="249"/>
      <c r="F42" s="249"/>
      <c r="G42" s="249"/>
      <c r="H42" s="249"/>
      <c r="I42" s="249"/>
      <c r="J42" s="249"/>
      <c r="K42" s="249"/>
      <c r="L42" s="249"/>
      <c r="M42" s="79"/>
      <c r="N42" s="79"/>
      <c r="O42" s="79"/>
      <c r="S42" s="231"/>
      <c r="T42" s="231"/>
      <c r="U42" s="231"/>
      <c r="V42" s="231"/>
      <c r="W42" s="231"/>
      <c r="X42" s="231"/>
      <c r="Y42" s="231"/>
    </row>
    <row r="43" spans="2:33" s="12" customFormat="1" ht="15" customHeight="1" x14ac:dyDescent="0.25">
      <c r="B43" s="79"/>
      <c r="C43" s="79"/>
      <c r="D43" s="79"/>
      <c r="E43" s="249"/>
      <c r="F43" s="249"/>
      <c r="G43" s="249"/>
      <c r="H43" s="249"/>
      <c r="I43" s="249"/>
      <c r="J43" s="249"/>
      <c r="K43" s="249"/>
      <c r="L43" s="249"/>
      <c r="M43" s="79"/>
      <c r="N43" s="79"/>
      <c r="O43" s="79"/>
      <c r="S43" s="231"/>
      <c r="T43" s="231"/>
      <c r="U43" s="231"/>
      <c r="V43" s="231"/>
      <c r="W43" s="231"/>
      <c r="X43" s="231"/>
      <c r="Y43" s="231"/>
    </row>
    <row r="44" spans="2:33" s="12" customFormat="1" ht="15" customHeight="1" x14ac:dyDescent="0.25">
      <c r="B44" s="79"/>
      <c r="C44" s="79"/>
      <c r="D44" s="79"/>
      <c r="E44" s="249"/>
      <c r="F44" s="249"/>
      <c r="G44" s="249"/>
      <c r="H44" s="249"/>
      <c r="I44" s="249"/>
      <c r="J44" s="249"/>
      <c r="K44" s="249"/>
      <c r="L44" s="249"/>
      <c r="M44" s="79"/>
      <c r="N44" s="79"/>
      <c r="O44" s="79"/>
      <c r="S44" s="231"/>
      <c r="T44" s="231"/>
      <c r="U44" s="231"/>
      <c r="V44" s="231"/>
      <c r="W44" s="231"/>
      <c r="X44" s="231"/>
      <c r="Y44" s="231"/>
    </row>
    <row r="45" spans="2:33" s="12" customFormat="1" ht="15" customHeight="1" x14ac:dyDescent="0.25">
      <c r="B45" s="79"/>
      <c r="C45" s="79"/>
      <c r="D45" s="79"/>
      <c r="E45" s="249"/>
      <c r="F45" s="249"/>
      <c r="G45" s="249"/>
      <c r="H45" s="249"/>
      <c r="I45" s="249"/>
      <c r="J45" s="249"/>
      <c r="K45" s="249"/>
      <c r="L45" s="249"/>
      <c r="M45" s="79"/>
      <c r="N45" s="79"/>
      <c r="O45" s="79"/>
      <c r="S45" s="231"/>
      <c r="T45" s="231"/>
      <c r="U45" s="231"/>
      <c r="V45" s="231"/>
      <c r="W45" s="231"/>
      <c r="X45" s="231"/>
      <c r="Y45" s="231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233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</row>
    <row r="48" spans="2:33" ht="15" customHeight="1" x14ac:dyDescent="0.25">
      <c r="B48" s="226" t="s">
        <v>390</v>
      </c>
      <c r="C48" s="226"/>
      <c r="D48" s="93"/>
      <c r="E48" s="93"/>
      <c r="F48" s="227" t="s">
        <v>385</v>
      </c>
      <c r="G48" s="227"/>
      <c r="H48" s="227"/>
      <c r="I48" s="227"/>
      <c r="J48" s="227"/>
      <c r="K48" s="227"/>
      <c r="L48" s="93"/>
      <c r="M48" s="226" t="s">
        <v>391</v>
      </c>
      <c r="N48" s="226"/>
      <c r="O48" s="226"/>
    </row>
    <row r="49" spans="2:42" ht="15" customHeight="1" x14ac:dyDescent="0.25">
      <c r="B49" s="225" t="s">
        <v>59</v>
      </c>
      <c r="C49" s="225"/>
      <c r="D49" s="93"/>
      <c r="E49" s="83"/>
      <c r="F49" s="225" t="s">
        <v>355</v>
      </c>
      <c r="G49" s="225"/>
      <c r="H49" s="225"/>
      <c r="I49" s="225"/>
      <c r="J49" s="225"/>
      <c r="K49" s="225"/>
      <c r="L49" s="83"/>
      <c r="M49" s="225" t="s">
        <v>126</v>
      </c>
      <c r="N49" s="225"/>
      <c r="O49" s="225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186" t="s">
        <v>381</v>
      </c>
      <c r="C52" s="186"/>
      <c r="D52" s="15"/>
      <c r="E52" s="15"/>
      <c r="F52" s="228"/>
      <c r="G52" s="228"/>
      <c r="H52" s="228"/>
      <c r="I52" s="228"/>
      <c r="J52" s="228"/>
      <c r="K52" s="229"/>
      <c r="L52" s="229"/>
      <c r="M52" s="15"/>
      <c r="N52" s="187" t="s">
        <v>372</v>
      </c>
      <c r="O52" s="187"/>
    </row>
    <row r="53" spans="2:42" ht="20.100000000000001" customHeight="1" x14ac:dyDescent="0.25"/>
    <row r="54" spans="2:42" x14ac:dyDescent="0.25"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P54" s="85"/>
    </row>
    <row r="55" spans="2:42" x14ac:dyDescent="0.25"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</row>
    <row r="56" spans="2:42" x14ac:dyDescent="0.25"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4"/>
      <c r="AE56" s="224"/>
      <c r="AF56" s="224"/>
    </row>
  </sheetData>
  <mergeCells count="33">
    <mergeCell ref="S14:Y14"/>
    <mergeCell ref="S15:Y45"/>
    <mergeCell ref="E13:L27"/>
    <mergeCell ref="V47:AG47"/>
    <mergeCell ref="B2:B3"/>
    <mergeCell ref="C2:L3"/>
    <mergeCell ref="M2:O3"/>
    <mergeCell ref="C4:E4"/>
    <mergeCell ref="F4:K4"/>
    <mergeCell ref="E30:L30"/>
    <mergeCell ref="E31:L45"/>
    <mergeCell ref="C6:J6"/>
    <mergeCell ref="B7:C7"/>
    <mergeCell ref="E12:L12"/>
    <mergeCell ref="B48:C48"/>
    <mergeCell ref="F48:K48"/>
    <mergeCell ref="M48:O48"/>
    <mergeCell ref="B49:C49"/>
    <mergeCell ref="F52:J52"/>
    <mergeCell ref="K52:L52"/>
    <mergeCell ref="N52:O52"/>
    <mergeCell ref="F49:K49"/>
    <mergeCell ref="M49:O49"/>
    <mergeCell ref="B52:C52"/>
    <mergeCell ref="AD56:AF56"/>
    <mergeCell ref="S54:T55"/>
    <mergeCell ref="U54:AF54"/>
    <mergeCell ref="S56:T56"/>
    <mergeCell ref="AD55:AF55"/>
    <mergeCell ref="Z55:AC55"/>
    <mergeCell ref="U56:Y56"/>
    <mergeCell ref="U55:Y55"/>
    <mergeCell ref="Z56:AC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121920</xdr:rowOff>
                  </from>
                  <to>
                    <xdr:col>1</xdr:col>
                    <xdr:colOff>784860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152400</xdr:rowOff>
                  </from>
                  <to>
                    <xdr:col>1</xdr:col>
                    <xdr:colOff>784860</xdr:colOff>
                    <xdr:row>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190500</xdr:rowOff>
                  </from>
                  <to>
                    <xdr:col>1</xdr:col>
                    <xdr:colOff>784860</xdr:colOff>
                    <xdr:row>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1</xdr:col>
                    <xdr:colOff>784860</xdr:colOff>
                    <xdr:row>0</xdr:row>
                    <xdr:rowOff>213360</xdr:rowOff>
                  </from>
                  <to>
                    <xdr:col>1</xdr:col>
                    <xdr:colOff>784860</xdr:colOff>
                    <xdr:row>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121920</xdr:rowOff>
                  </from>
                  <to>
                    <xdr:col>1</xdr:col>
                    <xdr:colOff>1013460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152400</xdr:rowOff>
                  </from>
                  <to>
                    <xdr:col>1</xdr:col>
                    <xdr:colOff>1013460</xdr:colOff>
                    <xdr:row>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</xdr:col>
                    <xdr:colOff>1013460</xdr:colOff>
                    <xdr:row>0</xdr:row>
                    <xdr:rowOff>160020</xdr:rowOff>
                  </from>
                  <to>
                    <xdr:col>1</xdr:col>
                    <xdr:colOff>1013460</xdr:colOff>
                    <xdr:row>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4" r:id="rId11" name="Check Box 42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403860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5" r:id="rId12" name="Check Box 43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403860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6" r:id="rId13" name="Check Box 44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7620</xdr:rowOff>
                  </from>
                  <to>
                    <xdr:col>3</xdr:col>
                    <xdr:colOff>403860</xdr:colOff>
                    <xdr:row>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7" r:id="rId14" name="Check Box 45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7620</xdr:rowOff>
                  </from>
                  <to>
                    <xdr:col>3</xdr:col>
                    <xdr:colOff>403860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8" r:id="rId15" name="Check Box 46">
              <controlPr defaultSize="0" autoFill="0" autoLine="0" autoPict="0">
                <anchor moveWithCells="1">
                  <from>
                    <xdr:col>11</xdr:col>
                    <xdr:colOff>640080</xdr:colOff>
                    <xdr:row>6</xdr:row>
                    <xdr:rowOff>7620</xdr:rowOff>
                  </from>
                  <to>
                    <xdr:col>11</xdr:col>
                    <xdr:colOff>830580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9" r:id="rId16" name="Check Box 47">
              <controlPr defaultSize="0" autoFill="0" autoLine="0" autoPict="0">
                <anchor moveWithCells="1">
                  <from>
                    <xdr:col>11</xdr:col>
                    <xdr:colOff>640080</xdr:colOff>
                    <xdr:row>7</xdr:row>
                    <xdr:rowOff>7620</xdr:rowOff>
                  </from>
                  <to>
                    <xdr:col>11</xdr:col>
                    <xdr:colOff>830580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60" r:id="rId17" name="Check Box 48">
              <controlPr defaultSize="0" autoFill="0" autoLine="0" autoPict="0">
                <anchor moveWithCells="1">
                  <from>
                    <xdr:col>11</xdr:col>
                    <xdr:colOff>640080</xdr:colOff>
                    <xdr:row>8</xdr:row>
                    <xdr:rowOff>7620</xdr:rowOff>
                  </from>
                  <to>
                    <xdr:col>11</xdr:col>
                    <xdr:colOff>830580</xdr:colOff>
                    <xdr:row>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56"/>
  <sheetViews>
    <sheetView view="pageBreakPreview" topLeftCell="A17" zoomScaleNormal="100" zoomScaleSheetLayoutView="100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35"/>
      <c r="C2" s="237" t="s">
        <v>280</v>
      </c>
      <c r="D2" s="206"/>
      <c r="E2" s="206"/>
      <c r="F2" s="206"/>
      <c r="G2" s="206"/>
      <c r="H2" s="206"/>
      <c r="I2" s="206"/>
      <c r="J2" s="206"/>
      <c r="K2" s="206"/>
      <c r="L2" s="206"/>
      <c r="M2" s="239" t="s">
        <v>190</v>
      </c>
      <c r="N2" s="240"/>
      <c r="O2" s="241"/>
    </row>
    <row r="3" spans="2:25" ht="27.75" customHeight="1" x14ac:dyDescent="0.25">
      <c r="B3" s="236"/>
      <c r="C3" s="238"/>
      <c r="D3" s="210"/>
      <c r="E3" s="210"/>
      <c r="F3" s="210"/>
      <c r="G3" s="210"/>
      <c r="H3" s="210"/>
      <c r="I3" s="210"/>
      <c r="J3" s="210"/>
      <c r="K3" s="210"/>
      <c r="L3" s="210"/>
      <c r="M3" s="242"/>
      <c r="N3" s="243"/>
      <c r="O3" s="244"/>
    </row>
    <row r="4" spans="2:25" x14ac:dyDescent="0.25">
      <c r="B4" s="66" t="s">
        <v>170</v>
      </c>
      <c r="C4" s="245" t="str">
        <f>ACCESORIOS!C4</f>
        <v>1220200814</v>
      </c>
      <c r="D4" s="246"/>
      <c r="E4" s="246"/>
      <c r="F4" s="247"/>
      <c r="G4" s="247"/>
      <c r="H4" s="247"/>
      <c r="I4" s="247"/>
      <c r="J4" s="247"/>
      <c r="K4" s="247"/>
      <c r="L4" s="67" t="s">
        <v>60</v>
      </c>
      <c r="M4" s="68" t="str">
        <f>REFLEXION!H6</f>
        <v>16/2/2021</v>
      </c>
      <c r="N4" s="68"/>
      <c r="O4" s="69"/>
    </row>
    <row r="5" spans="2:25" x14ac:dyDescent="0.25">
      <c r="B5" s="14" t="s">
        <v>171</v>
      </c>
      <c r="C5" s="70" t="s">
        <v>166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73"/>
      <c r="R5" s="73"/>
      <c r="S5" s="73"/>
    </row>
    <row r="6" spans="2:25" x14ac:dyDescent="0.25">
      <c r="B6" s="74" t="s">
        <v>133</v>
      </c>
      <c r="C6" s="250" t="s">
        <v>172</v>
      </c>
      <c r="D6" s="250"/>
      <c r="E6" s="250"/>
      <c r="F6" s="250"/>
      <c r="G6" s="250"/>
      <c r="H6" s="250"/>
      <c r="I6" s="250"/>
      <c r="J6" s="250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51" t="s">
        <v>134</v>
      </c>
      <c r="C7" s="247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15"/>
      <c r="C12" s="252" t="s">
        <v>210</v>
      </c>
      <c r="D12" s="253"/>
      <c r="E12" s="253"/>
      <c r="F12" s="253"/>
      <c r="G12" s="253"/>
      <c r="H12" s="253"/>
      <c r="I12" s="253"/>
      <c r="J12" s="253"/>
      <c r="K12" s="253"/>
      <c r="L12" s="253"/>
      <c r="M12" s="254"/>
      <c r="N12" s="15"/>
      <c r="O12" s="15"/>
      <c r="R12" s="12"/>
      <c r="S12" s="15"/>
      <c r="T12" s="15"/>
      <c r="U12" s="15"/>
      <c r="V12" s="15"/>
      <c r="W12" s="15"/>
    </row>
    <row r="13" spans="2:25" ht="15" customHeight="1" x14ac:dyDescent="0.25">
      <c r="B13" s="1"/>
      <c r="C13" s="255"/>
      <c r="D13" s="256"/>
      <c r="E13" s="256"/>
      <c r="F13" s="256"/>
      <c r="G13" s="256"/>
      <c r="H13" s="256"/>
      <c r="I13" s="256"/>
      <c r="J13" s="256"/>
      <c r="K13" s="256"/>
      <c r="L13" s="256"/>
      <c r="M13" s="257"/>
      <c r="N13" s="1"/>
      <c r="O13" s="1"/>
    </row>
    <row r="14" spans="2:25" ht="15" customHeight="1" x14ac:dyDescent="0.25">
      <c r="B14" s="79"/>
      <c r="C14" s="258"/>
      <c r="D14" s="195"/>
      <c r="E14" s="195"/>
      <c r="F14" s="195"/>
      <c r="G14" s="195"/>
      <c r="H14" s="195"/>
      <c r="I14" s="195"/>
      <c r="J14" s="195"/>
      <c r="K14" s="195"/>
      <c r="L14" s="195"/>
      <c r="M14" s="259"/>
      <c r="N14" s="79"/>
      <c r="O14" s="79"/>
      <c r="S14" s="91" t="s">
        <v>281</v>
      </c>
      <c r="T14" s="91"/>
      <c r="U14" s="91"/>
      <c r="V14" s="91"/>
      <c r="W14" s="91"/>
      <c r="X14" s="91"/>
      <c r="Y14" s="91"/>
    </row>
    <row r="15" spans="2:25" ht="13.5" customHeight="1" x14ac:dyDescent="0.25">
      <c r="B15" s="79"/>
      <c r="C15" s="258"/>
      <c r="D15" s="195"/>
      <c r="E15" s="195"/>
      <c r="F15" s="195"/>
      <c r="G15" s="195"/>
      <c r="H15" s="195"/>
      <c r="I15" s="195"/>
      <c r="J15" s="195"/>
      <c r="K15" s="195"/>
      <c r="L15" s="195"/>
      <c r="M15" s="259"/>
      <c r="N15" s="79"/>
      <c r="O15" s="79"/>
      <c r="S15" s="92"/>
      <c r="T15" s="92"/>
      <c r="U15" s="92"/>
      <c r="V15" s="92"/>
      <c r="W15" s="92"/>
      <c r="X15" s="92"/>
      <c r="Y15" s="92"/>
    </row>
    <row r="16" spans="2:25" ht="13.5" customHeight="1" x14ac:dyDescent="0.25">
      <c r="B16" s="79"/>
      <c r="C16" s="258"/>
      <c r="D16" s="195"/>
      <c r="E16" s="195"/>
      <c r="F16" s="195"/>
      <c r="G16" s="195"/>
      <c r="H16" s="195"/>
      <c r="I16" s="195"/>
      <c r="J16" s="195"/>
      <c r="K16" s="195"/>
      <c r="L16" s="195"/>
      <c r="M16" s="259"/>
      <c r="N16" s="79"/>
      <c r="O16" s="79"/>
      <c r="S16" s="92"/>
      <c r="T16" s="92"/>
      <c r="U16" s="92"/>
      <c r="V16" s="92"/>
      <c r="W16" s="92"/>
      <c r="X16" s="92"/>
      <c r="Y16" s="92"/>
    </row>
    <row r="17" spans="2:25" ht="13.5" customHeight="1" x14ac:dyDescent="0.25">
      <c r="B17" s="79"/>
      <c r="C17" s="258"/>
      <c r="D17" s="195"/>
      <c r="E17" s="195"/>
      <c r="F17" s="195"/>
      <c r="G17" s="195"/>
      <c r="H17" s="195"/>
      <c r="I17" s="195"/>
      <c r="J17" s="195"/>
      <c r="K17" s="195"/>
      <c r="L17" s="195"/>
      <c r="M17" s="259"/>
      <c r="N17" s="79"/>
      <c r="O17" s="79"/>
      <c r="S17" s="92"/>
      <c r="T17" s="92"/>
      <c r="U17" s="92"/>
      <c r="V17" s="92"/>
      <c r="W17" s="92"/>
      <c r="X17" s="92"/>
      <c r="Y17" s="92"/>
    </row>
    <row r="18" spans="2:25" ht="13.5" customHeight="1" x14ac:dyDescent="0.25">
      <c r="B18" s="79"/>
      <c r="C18" s="258"/>
      <c r="D18" s="195"/>
      <c r="E18" s="195"/>
      <c r="F18" s="195"/>
      <c r="G18" s="195"/>
      <c r="H18" s="195"/>
      <c r="I18" s="195"/>
      <c r="J18" s="195"/>
      <c r="K18" s="195"/>
      <c r="L18" s="195"/>
      <c r="M18" s="259"/>
      <c r="N18" s="79"/>
      <c r="O18" s="79"/>
      <c r="S18" s="92"/>
      <c r="T18" s="92"/>
      <c r="U18" s="92"/>
      <c r="V18" s="92"/>
      <c r="W18" s="92"/>
      <c r="X18" s="92"/>
      <c r="Y18" s="92"/>
    </row>
    <row r="19" spans="2:25" ht="13.5" customHeight="1" x14ac:dyDescent="0.25">
      <c r="B19" s="79"/>
      <c r="C19" s="258"/>
      <c r="D19" s="195"/>
      <c r="E19" s="195"/>
      <c r="F19" s="195"/>
      <c r="G19" s="195"/>
      <c r="H19" s="195"/>
      <c r="I19" s="195"/>
      <c r="J19" s="195"/>
      <c r="K19" s="195"/>
      <c r="L19" s="195"/>
      <c r="M19" s="259"/>
      <c r="N19" s="79"/>
      <c r="O19" s="79"/>
      <c r="S19" s="92"/>
      <c r="T19" s="92"/>
      <c r="U19" s="92"/>
      <c r="V19" s="92"/>
      <c r="W19" s="92"/>
      <c r="X19" s="92"/>
      <c r="Y19" s="92"/>
    </row>
    <row r="20" spans="2:25" ht="13.5" customHeight="1" x14ac:dyDescent="0.25">
      <c r="B20" s="79"/>
      <c r="C20" s="258"/>
      <c r="D20" s="195"/>
      <c r="E20" s="195"/>
      <c r="F20" s="195"/>
      <c r="G20" s="195"/>
      <c r="H20" s="195"/>
      <c r="I20" s="195"/>
      <c r="J20" s="195"/>
      <c r="K20" s="195"/>
      <c r="L20" s="195"/>
      <c r="M20" s="259"/>
      <c r="N20" s="79"/>
      <c r="O20" s="79"/>
      <c r="S20" s="92"/>
      <c r="T20" s="92"/>
      <c r="U20" s="92"/>
      <c r="V20" s="92"/>
      <c r="W20" s="92"/>
      <c r="X20" s="92"/>
      <c r="Y20" s="92"/>
    </row>
    <row r="21" spans="2:25" ht="13.5" customHeight="1" x14ac:dyDescent="0.25">
      <c r="B21" s="79"/>
      <c r="C21" s="258"/>
      <c r="D21" s="195"/>
      <c r="E21" s="195"/>
      <c r="F21" s="195"/>
      <c r="G21" s="195"/>
      <c r="H21" s="195"/>
      <c r="I21" s="195"/>
      <c r="J21" s="195"/>
      <c r="K21" s="195"/>
      <c r="L21" s="195"/>
      <c r="M21" s="259"/>
      <c r="N21" s="79"/>
      <c r="O21" s="79"/>
      <c r="S21" s="92"/>
      <c r="T21" s="92"/>
      <c r="U21" s="92"/>
      <c r="V21" s="92"/>
      <c r="W21" s="92"/>
      <c r="X21" s="92"/>
      <c r="Y21" s="92"/>
    </row>
    <row r="22" spans="2:25" ht="13.5" customHeight="1" x14ac:dyDescent="0.25">
      <c r="B22" s="79"/>
      <c r="C22" s="258"/>
      <c r="D22" s="195"/>
      <c r="E22" s="195"/>
      <c r="F22" s="195"/>
      <c r="G22" s="195"/>
      <c r="H22" s="195"/>
      <c r="I22" s="195"/>
      <c r="J22" s="195"/>
      <c r="K22" s="195"/>
      <c r="L22" s="195"/>
      <c r="M22" s="259"/>
      <c r="N22" s="79"/>
      <c r="O22" s="79"/>
      <c r="S22" s="92"/>
      <c r="T22" s="92"/>
      <c r="U22" s="92"/>
      <c r="V22" s="92"/>
      <c r="W22" s="92"/>
      <c r="X22" s="92"/>
      <c r="Y22" s="92"/>
    </row>
    <row r="23" spans="2:25" ht="13.5" customHeight="1" x14ac:dyDescent="0.25">
      <c r="B23" s="79"/>
      <c r="C23" s="258"/>
      <c r="D23" s="195"/>
      <c r="E23" s="195"/>
      <c r="F23" s="195"/>
      <c r="G23" s="195"/>
      <c r="H23" s="195"/>
      <c r="I23" s="195"/>
      <c r="J23" s="195"/>
      <c r="K23" s="195"/>
      <c r="L23" s="195"/>
      <c r="M23" s="259"/>
      <c r="N23" s="79"/>
      <c r="O23" s="79"/>
      <c r="S23" s="92"/>
      <c r="T23" s="92"/>
      <c r="U23" s="92"/>
      <c r="V23" s="92"/>
      <c r="W23" s="92"/>
      <c r="X23" s="92"/>
      <c r="Y23" s="92"/>
    </row>
    <row r="24" spans="2:25" ht="13.5" customHeight="1" x14ac:dyDescent="0.25">
      <c r="B24" s="79"/>
      <c r="C24" s="258"/>
      <c r="D24" s="195"/>
      <c r="E24" s="195"/>
      <c r="F24" s="195"/>
      <c r="G24" s="195"/>
      <c r="H24" s="195"/>
      <c r="I24" s="195"/>
      <c r="J24" s="195"/>
      <c r="K24" s="195"/>
      <c r="L24" s="195"/>
      <c r="M24" s="259"/>
      <c r="N24" s="79"/>
      <c r="O24" s="79"/>
      <c r="S24" s="92"/>
      <c r="T24" s="92"/>
      <c r="U24" s="92"/>
      <c r="V24" s="92"/>
      <c r="W24" s="92"/>
      <c r="X24" s="92"/>
      <c r="Y24" s="92"/>
    </row>
    <row r="25" spans="2:25" ht="13.5" customHeight="1" x14ac:dyDescent="0.25">
      <c r="B25" s="79"/>
      <c r="C25" s="258"/>
      <c r="D25" s="195"/>
      <c r="E25" s="195"/>
      <c r="F25" s="195"/>
      <c r="G25" s="195"/>
      <c r="H25" s="195"/>
      <c r="I25" s="195"/>
      <c r="J25" s="195"/>
      <c r="K25" s="195"/>
      <c r="L25" s="195"/>
      <c r="M25" s="259"/>
      <c r="N25" s="79"/>
      <c r="O25" s="79"/>
      <c r="S25" s="92"/>
      <c r="T25" s="92"/>
      <c r="U25" s="92"/>
      <c r="V25" s="92"/>
      <c r="W25" s="92"/>
      <c r="X25" s="92"/>
      <c r="Y25" s="92"/>
    </row>
    <row r="26" spans="2:25" ht="13.5" customHeight="1" x14ac:dyDescent="0.25">
      <c r="B26" s="79"/>
      <c r="C26" s="258"/>
      <c r="D26" s="195"/>
      <c r="E26" s="195"/>
      <c r="F26" s="195"/>
      <c r="G26" s="195"/>
      <c r="H26" s="195"/>
      <c r="I26" s="195"/>
      <c r="J26" s="195"/>
      <c r="K26" s="195"/>
      <c r="L26" s="195"/>
      <c r="M26" s="259"/>
      <c r="N26" s="79"/>
      <c r="O26" s="79"/>
      <c r="S26" s="92"/>
      <c r="T26" s="92"/>
      <c r="U26" s="92"/>
      <c r="V26" s="92"/>
      <c r="W26" s="92"/>
      <c r="X26" s="92"/>
      <c r="Y26" s="92"/>
    </row>
    <row r="27" spans="2:25" ht="13.5" customHeight="1" x14ac:dyDescent="0.25">
      <c r="B27" s="79"/>
      <c r="C27" s="260"/>
      <c r="D27" s="261"/>
      <c r="E27" s="261"/>
      <c r="F27" s="261"/>
      <c r="G27" s="261"/>
      <c r="H27" s="261"/>
      <c r="I27" s="261"/>
      <c r="J27" s="261"/>
      <c r="K27" s="261"/>
      <c r="L27" s="261"/>
      <c r="M27" s="262"/>
      <c r="N27" s="79"/>
      <c r="O27" s="79"/>
      <c r="S27" s="92"/>
      <c r="T27" s="92"/>
      <c r="U27" s="92"/>
      <c r="V27" s="92"/>
      <c r="W27" s="92"/>
      <c r="X27" s="92"/>
      <c r="Y27" s="92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92"/>
      <c r="T28" s="92"/>
      <c r="U28" s="92"/>
      <c r="V28" s="92"/>
      <c r="W28" s="92"/>
      <c r="X28" s="92"/>
      <c r="Y28" s="92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92"/>
      <c r="T29" s="92"/>
      <c r="U29" s="92"/>
      <c r="V29" s="92"/>
      <c r="W29" s="92"/>
      <c r="X29" s="92"/>
      <c r="Y29" s="92"/>
    </row>
    <row r="30" spans="2:25" ht="15" customHeight="1" x14ac:dyDescent="0.25">
      <c r="B30" s="79"/>
      <c r="C30" s="252" t="s">
        <v>209</v>
      </c>
      <c r="D30" s="253"/>
      <c r="E30" s="253"/>
      <c r="F30" s="253"/>
      <c r="G30" s="253"/>
      <c r="H30" s="253"/>
      <c r="I30" s="253"/>
      <c r="J30" s="253"/>
      <c r="K30" s="253"/>
      <c r="L30" s="253"/>
      <c r="M30" s="254"/>
      <c r="N30" s="79"/>
      <c r="O30" s="79"/>
      <c r="S30" s="92"/>
      <c r="T30" s="92"/>
      <c r="U30" s="92"/>
      <c r="V30" s="92"/>
      <c r="W30" s="92"/>
      <c r="X30" s="92"/>
      <c r="Y30" s="92"/>
    </row>
    <row r="31" spans="2:25" ht="13.5" customHeight="1" x14ac:dyDescent="0.25">
      <c r="B31" s="79"/>
      <c r="C31" s="263"/>
      <c r="D31" s="264"/>
      <c r="E31" s="264"/>
      <c r="F31" s="264"/>
      <c r="G31" s="264"/>
      <c r="H31" s="264"/>
      <c r="I31" s="264"/>
      <c r="J31" s="264"/>
      <c r="K31" s="264"/>
      <c r="L31" s="264"/>
      <c r="M31" s="265"/>
      <c r="N31" s="79"/>
      <c r="O31" s="79"/>
      <c r="S31" s="92"/>
      <c r="T31" s="92"/>
      <c r="U31" s="92"/>
      <c r="V31" s="92"/>
      <c r="W31" s="92"/>
      <c r="X31" s="92"/>
      <c r="Y31" s="92"/>
    </row>
    <row r="32" spans="2:25" ht="13.5" customHeight="1" x14ac:dyDescent="0.25">
      <c r="B32" s="7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5"/>
      <c r="N32" s="79"/>
      <c r="O32" s="79"/>
      <c r="S32" s="92"/>
      <c r="T32" s="92"/>
      <c r="U32" s="92"/>
      <c r="V32" s="92"/>
      <c r="W32" s="92"/>
      <c r="X32" s="92"/>
      <c r="Y32" s="92"/>
    </row>
    <row r="33" spans="2:33" ht="13.5" customHeight="1" x14ac:dyDescent="0.25">
      <c r="B33" s="79"/>
      <c r="C33" s="263"/>
      <c r="D33" s="264"/>
      <c r="E33" s="264"/>
      <c r="F33" s="264"/>
      <c r="G33" s="264"/>
      <c r="H33" s="264"/>
      <c r="I33" s="264"/>
      <c r="J33" s="264"/>
      <c r="K33" s="264"/>
      <c r="L33" s="264"/>
      <c r="M33" s="265"/>
      <c r="N33" s="79"/>
      <c r="O33" s="79"/>
      <c r="S33" s="92"/>
      <c r="T33" s="92"/>
      <c r="U33" s="92"/>
      <c r="V33" s="92"/>
      <c r="W33" s="92"/>
      <c r="X33" s="92"/>
      <c r="Y33" s="92"/>
    </row>
    <row r="34" spans="2:33" ht="13.5" customHeight="1" x14ac:dyDescent="0.25">
      <c r="B34" s="79"/>
      <c r="C34" s="263"/>
      <c r="D34" s="264"/>
      <c r="E34" s="264"/>
      <c r="F34" s="264"/>
      <c r="G34" s="264"/>
      <c r="H34" s="264"/>
      <c r="I34" s="264"/>
      <c r="J34" s="264"/>
      <c r="K34" s="264"/>
      <c r="L34" s="264"/>
      <c r="M34" s="265"/>
      <c r="N34" s="79"/>
      <c r="O34" s="79"/>
      <c r="S34" s="92"/>
      <c r="T34" s="92"/>
      <c r="U34" s="92"/>
      <c r="V34" s="92"/>
      <c r="W34" s="92"/>
      <c r="X34" s="92"/>
      <c r="Y34" s="92"/>
    </row>
    <row r="35" spans="2:33" ht="13.5" customHeight="1" x14ac:dyDescent="0.25">
      <c r="B35" s="79"/>
      <c r="C35" s="263"/>
      <c r="D35" s="264"/>
      <c r="E35" s="264"/>
      <c r="F35" s="264"/>
      <c r="G35" s="264"/>
      <c r="H35" s="264"/>
      <c r="I35" s="264"/>
      <c r="J35" s="264"/>
      <c r="K35" s="264"/>
      <c r="L35" s="264"/>
      <c r="M35" s="265"/>
      <c r="N35" s="79"/>
      <c r="O35" s="79"/>
      <c r="S35" s="92"/>
      <c r="T35" s="92"/>
      <c r="U35" s="92"/>
      <c r="V35" s="92"/>
      <c r="W35" s="92"/>
      <c r="X35" s="92"/>
      <c r="Y35" s="92"/>
    </row>
    <row r="36" spans="2:33" s="12" customFormat="1" ht="15" customHeight="1" x14ac:dyDescent="0.25">
      <c r="B36" s="79"/>
      <c r="C36" s="263"/>
      <c r="D36" s="264"/>
      <c r="E36" s="264"/>
      <c r="F36" s="264"/>
      <c r="G36" s="264"/>
      <c r="H36" s="264"/>
      <c r="I36" s="264"/>
      <c r="J36" s="264"/>
      <c r="K36" s="264"/>
      <c r="L36" s="264"/>
      <c r="M36" s="265"/>
      <c r="N36" s="79"/>
      <c r="O36" s="79"/>
      <c r="S36" s="92"/>
      <c r="T36" s="92"/>
      <c r="U36" s="92"/>
      <c r="V36" s="92"/>
      <c r="W36" s="92"/>
      <c r="X36" s="92"/>
      <c r="Y36" s="92"/>
    </row>
    <row r="37" spans="2:33" s="12" customFormat="1" ht="15" customHeight="1" x14ac:dyDescent="0.25">
      <c r="B37" s="79"/>
      <c r="C37" s="263"/>
      <c r="D37" s="264"/>
      <c r="E37" s="264"/>
      <c r="F37" s="264"/>
      <c r="G37" s="264"/>
      <c r="H37" s="264"/>
      <c r="I37" s="264"/>
      <c r="J37" s="264"/>
      <c r="K37" s="264"/>
      <c r="L37" s="264"/>
      <c r="M37" s="265"/>
      <c r="N37" s="79"/>
      <c r="O37" s="79"/>
      <c r="S37" s="92"/>
      <c r="T37" s="92"/>
      <c r="U37" s="92"/>
      <c r="V37" s="92"/>
      <c r="W37" s="92"/>
      <c r="X37" s="92"/>
      <c r="Y37" s="92"/>
    </row>
    <row r="38" spans="2:33" s="12" customFormat="1" ht="15" customHeight="1" x14ac:dyDescent="0.25">
      <c r="B38" s="79"/>
      <c r="C38" s="263"/>
      <c r="D38" s="264"/>
      <c r="E38" s="264"/>
      <c r="F38" s="264"/>
      <c r="G38" s="264"/>
      <c r="H38" s="264"/>
      <c r="I38" s="264"/>
      <c r="J38" s="264"/>
      <c r="K38" s="264"/>
      <c r="L38" s="264"/>
      <c r="M38" s="265"/>
      <c r="N38" s="79"/>
      <c r="O38" s="79"/>
      <c r="S38" s="92"/>
      <c r="T38" s="92"/>
      <c r="U38" s="92"/>
      <c r="V38" s="92"/>
      <c r="W38" s="92"/>
      <c r="X38" s="92"/>
      <c r="Y38" s="92"/>
    </row>
    <row r="39" spans="2:33" s="12" customFormat="1" ht="15" customHeight="1" x14ac:dyDescent="0.25">
      <c r="B39" s="79"/>
      <c r="C39" s="263"/>
      <c r="D39" s="264"/>
      <c r="E39" s="264"/>
      <c r="F39" s="264"/>
      <c r="G39" s="264"/>
      <c r="H39" s="264"/>
      <c r="I39" s="264"/>
      <c r="J39" s="264"/>
      <c r="K39" s="264"/>
      <c r="L39" s="264"/>
      <c r="M39" s="265"/>
      <c r="N39" s="79"/>
      <c r="O39" s="79"/>
      <c r="S39" s="92"/>
      <c r="T39" s="92"/>
      <c r="U39" s="92"/>
      <c r="V39" s="92"/>
      <c r="W39" s="92"/>
      <c r="X39" s="92"/>
      <c r="Y39" s="92"/>
    </row>
    <row r="40" spans="2:33" s="12" customFormat="1" ht="15" customHeight="1" x14ac:dyDescent="0.25">
      <c r="B40" s="7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5"/>
      <c r="N40" s="79"/>
      <c r="O40" s="79"/>
      <c r="S40" s="92"/>
      <c r="T40" s="92"/>
      <c r="U40" s="92"/>
      <c r="V40" s="92"/>
      <c r="W40" s="92"/>
      <c r="X40" s="92"/>
      <c r="Y40" s="92"/>
    </row>
    <row r="41" spans="2:33" s="12" customFormat="1" ht="15" customHeight="1" x14ac:dyDescent="0.25">
      <c r="B41" s="79"/>
      <c r="C41" s="263"/>
      <c r="D41" s="264"/>
      <c r="E41" s="264"/>
      <c r="F41" s="264"/>
      <c r="G41" s="264"/>
      <c r="H41" s="264"/>
      <c r="I41" s="264"/>
      <c r="J41" s="264"/>
      <c r="K41" s="264"/>
      <c r="L41" s="264"/>
      <c r="M41" s="265"/>
      <c r="N41" s="79"/>
      <c r="O41" s="79"/>
      <c r="S41" s="92"/>
      <c r="T41" s="92"/>
      <c r="U41" s="92"/>
      <c r="V41" s="92"/>
      <c r="W41" s="92"/>
      <c r="X41" s="92"/>
      <c r="Y41" s="92"/>
    </row>
    <row r="42" spans="2:33" s="12" customFormat="1" ht="15" customHeight="1" x14ac:dyDescent="0.25">
      <c r="B42" s="79"/>
      <c r="C42" s="263"/>
      <c r="D42" s="264"/>
      <c r="E42" s="264"/>
      <c r="F42" s="264"/>
      <c r="G42" s="264"/>
      <c r="H42" s="264"/>
      <c r="I42" s="264"/>
      <c r="J42" s="264"/>
      <c r="K42" s="264"/>
      <c r="L42" s="264"/>
      <c r="M42" s="265"/>
      <c r="N42" s="79"/>
      <c r="O42" s="79"/>
      <c r="S42" s="92"/>
      <c r="T42" s="92"/>
      <c r="U42" s="92"/>
      <c r="V42" s="92"/>
      <c r="W42" s="92"/>
      <c r="X42" s="92"/>
      <c r="Y42" s="92"/>
    </row>
    <row r="43" spans="2:33" s="12" customFormat="1" ht="15" customHeight="1" x14ac:dyDescent="0.25">
      <c r="B43" s="79"/>
      <c r="C43" s="263"/>
      <c r="D43" s="264"/>
      <c r="E43" s="264"/>
      <c r="F43" s="264"/>
      <c r="G43" s="264"/>
      <c r="H43" s="264"/>
      <c r="I43" s="264"/>
      <c r="J43" s="264"/>
      <c r="K43" s="264"/>
      <c r="L43" s="264"/>
      <c r="M43" s="265"/>
      <c r="N43" s="79"/>
      <c r="O43" s="79"/>
      <c r="S43" s="92"/>
      <c r="T43" s="92"/>
      <c r="U43" s="92"/>
      <c r="V43" s="92"/>
      <c r="W43" s="92"/>
      <c r="X43" s="92"/>
      <c r="Y43" s="92"/>
    </row>
    <row r="44" spans="2:33" s="12" customFormat="1" ht="15" customHeight="1" x14ac:dyDescent="0.25">
      <c r="B44" s="79"/>
      <c r="C44" s="263"/>
      <c r="D44" s="264"/>
      <c r="E44" s="264"/>
      <c r="F44" s="264"/>
      <c r="G44" s="264"/>
      <c r="H44" s="264"/>
      <c r="I44" s="264"/>
      <c r="J44" s="264"/>
      <c r="K44" s="264"/>
      <c r="L44" s="264"/>
      <c r="M44" s="265"/>
      <c r="N44" s="79"/>
      <c r="O44" s="79"/>
      <c r="S44" s="92"/>
      <c r="T44" s="92"/>
      <c r="U44" s="92"/>
      <c r="V44" s="92"/>
      <c r="W44" s="92"/>
      <c r="X44" s="92"/>
      <c r="Y44" s="92"/>
    </row>
    <row r="45" spans="2:33" s="12" customFormat="1" ht="15" customHeight="1" x14ac:dyDescent="0.25">
      <c r="B45" s="79"/>
      <c r="C45" s="266"/>
      <c r="D45" s="267"/>
      <c r="E45" s="267"/>
      <c r="F45" s="267"/>
      <c r="G45" s="267"/>
      <c r="H45" s="267"/>
      <c r="I45" s="267"/>
      <c r="J45" s="267"/>
      <c r="K45" s="267"/>
      <c r="L45" s="267"/>
      <c r="M45" s="268"/>
      <c r="N45" s="79"/>
      <c r="O45" s="79"/>
      <c r="S45" s="92"/>
      <c r="T45" s="92"/>
      <c r="U45" s="92"/>
      <c r="V45" s="92"/>
      <c r="W45" s="92"/>
      <c r="X45" s="92"/>
      <c r="Y45" s="92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64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</row>
    <row r="48" spans="2:33" ht="15" customHeight="1" x14ac:dyDescent="0.25">
      <c r="B48" s="226" t="s">
        <v>390</v>
      </c>
      <c r="C48" s="226"/>
      <c r="D48" s="93"/>
      <c r="E48" s="93"/>
      <c r="F48" s="227" t="s">
        <v>385</v>
      </c>
      <c r="G48" s="227"/>
      <c r="H48" s="227"/>
      <c r="I48" s="227"/>
      <c r="J48" s="227"/>
      <c r="K48" s="227"/>
      <c r="L48" s="93"/>
      <c r="M48" s="226" t="s">
        <v>391</v>
      </c>
      <c r="N48" s="226"/>
      <c r="O48" s="226"/>
    </row>
    <row r="49" spans="2:42" ht="15" customHeight="1" x14ac:dyDescent="0.25">
      <c r="B49" s="225" t="s">
        <v>59</v>
      </c>
      <c r="C49" s="225"/>
      <c r="D49" s="83"/>
      <c r="E49" s="83"/>
      <c r="F49" s="225" t="s">
        <v>355</v>
      </c>
      <c r="G49" s="225"/>
      <c r="H49" s="225"/>
      <c r="I49" s="225"/>
      <c r="J49" s="225"/>
      <c r="K49" s="225"/>
      <c r="L49" s="83"/>
      <c r="M49" s="225" t="s">
        <v>126</v>
      </c>
      <c r="N49" s="225"/>
      <c r="O49" s="225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186" t="s">
        <v>381</v>
      </c>
      <c r="C52" s="186"/>
      <c r="D52" s="15"/>
      <c r="E52" s="15"/>
      <c r="F52" s="228"/>
      <c r="G52" s="228"/>
      <c r="H52" s="228"/>
      <c r="I52" s="228"/>
      <c r="J52" s="228"/>
      <c r="K52" s="229"/>
      <c r="L52" s="229"/>
      <c r="M52" s="15"/>
      <c r="N52" s="187" t="s">
        <v>373</v>
      </c>
      <c r="O52" s="187"/>
    </row>
    <row r="53" spans="2:42" ht="20.100000000000001" customHeight="1" x14ac:dyDescent="0.25"/>
    <row r="54" spans="2:42" x14ac:dyDescent="0.25"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P54" s="85"/>
    </row>
    <row r="55" spans="2:42" x14ac:dyDescent="0.25"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 spans="2:42" x14ac:dyDescent="0.25"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93"/>
      <c r="AE56" s="93"/>
      <c r="AF56" s="93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44" r:id="rId4" name="Check Box 8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3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5" r:id="rId5" name="Check Box 9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6" r:id="rId6" name="Check Box 10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7" r:id="rId7" name="Check Box 11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8" r:id="rId8" name="Check Box 12">
              <controlPr defaultSize="0" autoFill="0" autoLine="0" autoPict="0">
                <anchor moveWithCells="1">
                  <from>
                    <xdr:col>11</xdr:col>
                    <xdr:colOff>236220</xdr:colOff>
                    <xdr:row>6</xdr:row>
                    <xdr:rowOff>7620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9" r:id="rId9" name="Check Box 13">
              <controlPr defaultSize="0" autoFill="0" autoLine="0" autoPict="0">
                <anchor moveWithCells="1">
                  <from>
                    <xdr:col>11</xdr:col>
                    <xdr:colOff>236220</xdr:colOff>
                    <xdr:row>7</xdr:row>
                    <xdr:rowOff>7620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50" r:id="rId10" name="Check Box 14">
              <controlPr defaultSize="0" autoFill="0" autoLine="0" autoPict="0">
                <anchor moveWithCells="1">
                  <from>
                    <xdr:col>11</xdr:col>
                    <xdr:colOff>236220</xdr:colOff>
                    <xdr:row>8</xdr:row>
                    <xdr:rowOff>7620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56"/>
  <sheetViews>
    <sheetView view="pageBreakPreview" topLeftCell="A28" zoomScaleNormal="100" zoomScaleSheetLayoutView="100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35"/>
      <c r="C2" s="237" t="s">
        <v>310</v>
      </c>
      <c r="D2" s="206"/>
      <c r="E2" s="206"/>
      <c r="F2" s="206"/>
      <c r="G2" s="206"/>
      <c r="H2" s="206"/>
      <c r="I2" s="206"/>
      <c r="J2" s="206"/>
      <c r="K2" s="206"/>
      <c r="L2" s="206"/>
      <c r="M2" s="239" t="s">
        <v>190</v>
      </c>
      <c r="N2" s="240"/>
      <c r="O2" s="241"/>
    </row>
    <row r="3" spans="2:25" ht="27.75" customHeight="1" x14ac:dyDescent="0.25">
      <c r="B3" s="236"/>
      <c r="C3" s="238"/>
      <c r="D3" s="210"/>
      <c r="E3" s="210"/>
      <c r="F3" s="210"/>
      <c r="G3" s="210"/>
      <c r="H3" s="210"/>
      <c r="I3" s="210"/>
      <c r="J3" s="210"/>
      <c r="K3" s="210"/>
      <c r="L3" s="210"/>
      <c r="M3" s="242"/>
      <c r="N3" s="243"/>
      <c r="O3" s="244"/>
    </row>
    <row r="4" spans="2:25" x14ac:dyDescent="0.25">
      <c r="B4" s="66" t="s">
        <v>170</v>
      </c>
      <c r="C4" s="245" t="str">
        <f>BN!C4</f>
        <v>1220200814</v>
      </c>
      <c r="D4" s="246"/>
      <c r="E4" s="246"/>
      <c r="F4" s="247"/>
      <c r="G4" s="247"/>
      <c r="H4" s="247"/>
      <c r="I4" s="247"/>
      <c r="J4" s="247"/>
      <c r="K4" s="247"/>
      <c r="L4" s="67" t="s">
        <v>60</v>
      </c>
      <c r="M4" s="68" t="str">
        <f>REFLEXION!H6</f>
        <v>16/2/2021</v>
      </c>
      <c r="N4" s="68"/>
      <c r="O4" s="69"/>
    </row>
    <row r="5" spans="2:25" x14ac:dyDescent="0.25">
      <c r="B5" s="14" t="s">
        <v>171</v>
      </c>
      <c r="C5" s="70" t="s">
        <v>166</v>
      </c>
      <c r="D5" s="15"/>
      <c r="E5" s="15"/>
      <c r="F5" s="71"/>
      <c r="G5" s="71"/>
      <c r="H5" s="71"/>
      <c r="I5" s="71"/>
      <c r="J5" s="71"/>
      <c r="K5" s="71"/>
      <c r="L5" s="71"/>
      <c r="M5" s="71"/>
      <c r="N5" s="71"/>
      <c r="O5" s="72"/>
      <c r="P5" s="16"/>
      <c r="Q5" s="73"/>
      <c r="R5" s="73"/>
      <c r="S5" s="73"/>
    </row>
    <row r="6" spans="2:25" x14ac:dyDescent="0.25">
      <c r="B6" s="74" t="s">
        <v>133</v>
      </c>
      <c r="C6" s="250" t="s">
        <v>172</v>
      </c>
      <c r="D6" s="250"/>
      <c r="E6" s="250"/>
      <c r="F6" s="250"/>
      <c r="G6" s="250"/>
      <c r="H6" s="250"/>
      <c r="I6" s="250"/>
      <c r="J6" s="250"/>
      <c r="K6" s="13"/>
      <c r="L6" s="75"/>
      <c r="M6" s="13"/>
      <c r="N6" s="13"/>
      <c r="O6" s="76"/>
      <c r="R6" s="12"/>
      <c r="S6" s="15"/>
      <c r="T6" s="15"/>
      <c r="U6" s="15"/>
      <c r="V6" s="15"/>
      <c r="W6" s="15"/>
    </row>
    <row r="7" spans="2:25" ht="15" customHeight="1" x14ac:dyDescent="0.25">
      <c r="B7" s="251" t="s">
        <v>134</v>
      </c>
      <c r="C7" s="247"/>
      <c r="D7" s="77"/>
      <c r="E7" s="17" t="s">
        <v>135</v>
      </c>
      <c r="F7" s="77"/>
      <c r="G7" s="77"/>
      <c r="H7" s="17"/>
      <c r="I7" s="17"/>
      <c r="J7" s="17"/>
      <c r="K7" s="17"/>
      <c r="L7" s="17"/>
      <c r="M7" s="17" t="s">
        <v>141</v>
      </c>
      <c r="N7" s="17"/>
      <c r="O7" s="18"/>
      <c r="R7" s="12"/>
      <c r="S7" s="15"/>
      <c r="T7" s="15"/>
      <c r="U7" s="15"/>
      <c r="V7" s="15"/>
      <c r="W7" s="15"/>
    </row>
    <row r="8" spans="2:25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/>
      <c r="M8" s="15" t="s">
        <v>142</v>
      </c>
      <c r="N8" s="15"/>
      <c r="O8" s="19"/>
      <c r="R8" s="12"/>
      <c r="S8" s="15"/>
      <c r="T8" s="15"/>
      <c r="U8" s="15"/>
      <c r="V8" s="15"/>
      <c r="W8" s="15"/>
    </row>
    <row r="9" spans="2:25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/>
      <c r="M9" s="15" t="s">
        <v>144</v>
      </c>
      <c r="N9" s="15"/>
      <c r="O9" s="19"/>
      <c r="R9" s="12"/>
      <c r="S9" s="15"/>
      <c r="T9" s="15"/>
      <c r="U9" s="15"/>
      <c r="V9" s="15"/>
      <c r="W9" s="15"/>
    </row>
    <row r="10" spans="2:25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0"/>
      <c r="N10" s="20"/>
      <c r="O10" s="21"/>
      <c r="R10" s="12"/>
      <c r="S10" s="15"/>
      <c r="T10" s="15"/>
      <c r="U10" s="15"/>
      <c r="V10" s="15"/>
      <c r="W10" s="15"/>
    </row>
    <row r="11" spans="2:25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5"/>
      <c r="T11" s="15"/>
      <c r="U11" s="15"/>
      <c r="V11" s="15"/>
      <c r="W11" s="15"/>
    </row>
    <row r="12" spans="2:25" ht="15" customHeight="1" x14ac:dyDescent="0.25">
      <c r="B12" s="248" t="s">
        <v>311</v>
      </c>
      <c r="C12" s="248"/>
      <c r="D12" s="248"/>
      <c r="E12" s="248"/>
      <c r="F12" s="248"/>
      <c r="G12" s="248"/>
      <c r="H12" s="79"/>
      <c r="I12" s="79"/>
      <c r="J12" s="79"/>
      <c r="K12" s="248" t="s">
        <v>312</v>
      </c>
      <c r="L12" s="248"/>
      <c r="M12" s="248"/>
      <c r="N12" s="248"/>
      <c r="O12" s="248"/>
      <c r="R12" s="12"/>
      <c r="S12" s="15"/>
      <c r="T12" s="15"/>
      <c r="U12" s="15"/>
      <c r="V12" s="15"/>
      <c r="W12" s="15"/>
    </row>
    <row r="13" spans="2:25" ht="15" customHeight="1" x14ac:dyDescent="0.25">
      <c r="B13" s="232"/>
      <c r="C13" s="232"/>
      <c r="D13" s="232"/>
      <c r="E13" s="232"/>
      <c r="F13" s="232"/>
      <c r="G13" s="232"/>
      <c r="H13" s="1"/>
      <c r="I13" s="1"/>
      <c r="J13" s="1"/>
      <c r="K13" s="232"/>
      <c r="L13" s="232"/>
      <c r="M13" s="232"/>
      <c r="N13" s="232"/>
      <c r="O13" s="232"/>
    </row>
    <row r="14" spans="2:25" ht="15" customHeight="1" x14ac:dyDescent="0.25">
      <c r="B14" s="232"/>
      <c r="C14" s="232"/>
      <c r="D14" s="232"/>
      <c r="E14" s="232"/>
      <c r="F14" s="232"/>
      <c r="G14" s="232"/>
      <c r="H14" s="1"/>
      <c r="I14" s="1"/>
      <c r="J14" s="1"/>
      <c r="K14" s="232"/>
      <c r="L14" s="232"/>
      <c r="M14" s="232"/>
      <c r="N14" s="232"/>
      <c r="O14" s="232"/>
      <c r="S14" s="91" t="s">
        <v>281</v>
      </c>
      <c r="T14" s="91"/>
      <c r="U14" s="91"/>
      <c r="V14" s="91"/>
      <c r="W14" s="91"/>
      <c r="X14" s="91"/>
      <c r="Y14" s="91"/>
    </row>
    <row r="15" spans="2:25" ht="13.5" customHeight="1" x14ac:dyDescent="0.25">
      <c r="B15" s="232"/>
      <c r="C15" s="232"/>
      <c r="D15" s="232"/>
      <c r="E15" s="232"/>
      <c r="F15" s="232"/>
      <c r="G15" s="232"/>
      <c r="H15" s="1"/>
      <c r="I15" s="1"/>
      <c r="J15" s="1"/>
      <c r="K15" s="232"/>
      <c r="L15" s="232"/>
      <c r="M15" s="232"/>
      <c r="N15" s="232"/>
      <c r="O15" s="232"/>
      <c r="S15" s="92"/>
      <c r="T15" s="92"/>
      <c r="U15" s="92"/>
      <c r="V15" s="92"/>
      <c r="W15" s="92"/>
      <c r="X15" s="92"/>
      <c r="Y15" s="92"/>
    </row>
    <row r="16" spans="2:25" ht="13.5" customHeight="1" x14ac:dyDescent="0.25">
      <c r="B16" s="232"/>
      <c r="C16" s="232"/>
      <c r="D16" s="232"/>
      <c r="E16" s="232"/>
      <c r="F16" s="232"/>
      <c r="G16" s="232"/>
      <c r="H16" s="1"/>
      <c r="I16" s="1"/>
      <c r="J16" s="1"/>
      <c r="K16" s="232"/>
      <c r="L16" s="232"/>
      <c r="M16" s="232"/>
      <c r="N16" s="232"/>
      <c r="O16" s="232"/>
      <c r="S16" s="92"/>
      <c r="T16" s="92"/>
      <c r="U16" s="92"/>
      <c r="V16" s="92"/>
      <c r="W16" s="92"/>
      <c r="X16" s="92"/>
      <c r="Y16" s="92"/>
    </row>
    <row r="17" spans="2:25" ht="13.5" customHeight="1" x14ac:dyDescent="0.25">
      <c r="B17" s="232"/>
      <c r="C17" s="232"/>
      <c r="D17" s="232"/>
      <c r="E17" s="232"/>
      <c r="F17" s="232"/>
      <c r="G17" s="232"/>
      <c r="H17" s="1"/>
      <c r="I17" s="1"/>
      <c r="J17" s="1"/>
      <c r="K17" s="232"/>
      <c r="L17" s="232"/>
      <c r="M17" s="232"/>
      <c r="N17" s="232"/>
      <c r="O17" s="232"/>
      <c r="S17" s="92"/>
      <c r="T17" s="92"/>
      <c r="U17" s="92"/>
      <c r="V17" s="92"/>
      <c r="W17" s="92"/>
      <c r="X17" s="92"/>
      <c r="Y17" s="92"/>
    </row>
    <row r="18" spans="2:25" ht="13.5" customHeight="1" x14ac:dyDescent="0.25">
      <c r="B18" s="232"/>
      <c r="C18" s="232"/>
      <c r="D18" s="232"/>
      <c r="E18" s="232"/>
      <c r="F18" s="232"/>
      <c r="G18" s="232"/>
      <c r="H18" s="1"/>
      <c r="I18" s="1"/>
      <c r="J18" s="1"/>
      <c r="K18" s="232"/>
      <c r="L18" s="232"/>
      <c r="M18" s="232"/>
      <c r="N18" s="232"/>
      <c r="O18" s="232"/>
      <c r="S18" s="92"/>
      <c r="T18" s="92"/>
      <c r="U18" s="92"/>
      <c r="V18" s="92"/>
      <c r="W18" s="92"/>
      <c r="X18" s="92"/>
      <c r="Y18" s="92"/>
    </row>
    <row r="19" spans="2:25" ht="13.5" customHeight="1" x14ac:dyDescent="0.25">
      <c r="B19" s="232"/>
      <c r="C19" s="232"/>
      <c r="D19" s="232"/>
      <c r="E19" s="232"/>
      <c r="F19" s="232"/>
      <c r="G19" s="232"/>
      <c r="H19" s="1"/>
      <c r="I19" s="1"/>
      <c r="J19" s="1"/>
      <c r="K19" s="232"/>
      <c r="L19" s="232"/>
      <c r="M19" s="232"/>
      <c r="N19" s="232"/>
      <c r="O19" s="232"/>
      <c r="S19" s="92"/>
      <c r="T19" s="92"/>
      <c r="U19" s="92"/>
      <c r="V19" s="92"/>
      <c r="W19" s="92"/>
      <c r="X19" s="92"/>
      <c r="Y19" s="92"/>
    </row>
    <row r="20" spans="2:25" ht="13.5" customHeight="1" x14ac:dyDescent="0.25">
      <c r="B20" s="232"/>
      <c r="C20" s="232"/>
      <c r="D20" s="232"/>
      <c r="E20" s="232"/>
      <c r="F20" s="232"/>
      <c r="G20" s="232"/>
      <c r="H20" s="1"/>
      <c r="I20" s="1"/>
      <c r="J20" s="1"/>
      <c r="K20" s="232"/>
      <c r="L20" s="232"/>
      <c r="M20" s="232"/>
      <c r="N20" s="232"/>
      <c r="O20" s="232"/>
      <c r="S20" s="92"/>
      <c r="T20" s="92"/>
      <c r="U20" s="92"/>
      <c r="V20" s="92"/>
      <c r="W20" s="92"/>
      <c r="X20" s="92"/>
      <c r="Y20" s="92"/>
    </row>
    <row r="21" spans="2:25" ht="13.5" customHeight="1" x14ac:dyDescent="0.25">
      <c r="B21" s="232"/>
      <c r="C21" s="232"/>
      <c r="D21" s="232"/>
      <c r="E21" s="232"/>
      <c r="F21" s="232"/>
      <c r="G21" s="232"/>
      <c r="H21" s="1"/>
      <c r="I21" s="1"/>
      <c r="J21" s="1"/>
      <c r="K21" s="232"/>
      <c r="L21" s="232"/>
      <c r="M21" s="232"/>
      <c r="N21" s="232"/>
      <c r="O21" s="232"/>
      <c r="S21" s="92"/>
      <c r="T21" s="92"/>
      <c r="U21" s="92"/>
      <c r="V21" s="92"/>
      <c r="W21" s="92"/>
      <c r="X21" s="92"/>
      <c r="Y21" s="92"/>
    </row>
    <row r="22" spans="2:25" ht="13.5" customHeight="1" x14ac:dyDescent="0.25">
      <c r="B22" s="232"/>
      <c r="C22" s="232"/>
      <c r="D22" s="232"/>
      <c r="E22" s="232"/>
      <c r="F22" s="232"/>
      <c r="G22" s="232"/>
      <c r="H22" s="1"/>
      <c r="I22" s="1"/>
      <c r="J22" s="1"/>
      <c r="K22" s="232"/>
      <c r="L22" s="232"/>
      <c r="M22" s="232"/>
      <c r="N22" s="232"/>
      <c r="O22" s="232"/>
      <c r="S22" s="92"/>
      <c r="T22" s="92"/>
      <c r="U22" s="92"/>
      <c r="V22" s="92"/>
      <c r="W22" s="92"/>
      <c r="X22" s="92"/>
      <c r="Y22" s="92"/>
    </row>
    <row r="23" spans="2:25" ht="13.5" customHeight="1" x14ac:dyDescent="0.25">
      <c r="B23" s="232"/>
      <c r="C23" s="232"/>
      <c r="D23" s="232"/>
      <c r="E23" s="232"/>
      <c r="F23" s="232"/>
      <c r="G23" s="232"/>
      <c r="H23" s="1"/>
      <c r="I23" s="1"/>
      <c r="J23" s="1"/>
      <c r="K23" s="232"/>
      <c r="L23" s="232"/>
      <c r="M23" s="232"/>
      <c r="N23" s="232"/>
      <c r="O23" s="232"/>
      <c r="S23" s="92"/>
      <c r="T23" s="92"/>
      <c r="U23" s="92"/>
      <c r="V23" s="92"/>
      <c r="W23" s="92"/>
      <c r="X23" s="92"/>
      <c r="Y23" s="92"/>
    </row>
    <row r="24" spans="2:25" ht="13.5" customHeight="1" x14ac:dyDescent="0.25">
      <c r="B24" s="232"/>
      <c r="C24" s="232"/>
      <c r="D24" s="232"/>
      <c r="E24" s="232"/>
      <c r="F24" s="232"/>
      <c r="G24" s="232"/>
      <c r="H24" s="1"/>
      <c r="I24" s="1"/>
      <c r="J24" s="1"/>
      <c r="K24" s="232"/>
      <c r="L24" s="232"/>
      <c r="M24" s="232"/>
      <c r="N24" s="232"/>
      <c r="O24" s="232"/>
      <c r="S24" s="92"/>
      <c r="T24" s="92"/>
      <c r="U24" s="92"/>
      <c r="V24" s="92"/>
      <c r="W24" s="92"/>
      <c r="X24" s="92"/>
      <c r="Y24" s="92"/>
    </row>
    <row r="25" spans="2:25" ht="13.5" customHeight="1" x14ac:dyDescent="0.25">
      <c r="B25" s="232"/>
      <c r="C25" s="232"/>
      <c r="D25" s="232"/>
      <c r="E25" s="232"/>
      <c r="F25" s="232"/>
      <c r="G25" s="232"/>
      <c r="H25" s="1"/>
      <c r="I25" s="1"/>
      <c r="J25" s="1"/>
      <c r="K25" s="232"/>
      <c r="L25" s="232"/>
      <c r="M25" s="232"/>
      <c r="N25" s="232"/>
      <c r="O25" s="232"/>
      <c r="S25" s="92"/>
      <c r="T25" s="92"/>
      <c r="U25" s="92"/>
      <c r="V25" s="92"/>
      <c r="W25" s="92"/>
      <c r="X25" s="92"/>
      <c r="Y25" s="92"/>
    </row>
    <row r="26" spans="2:25" ht="13.5" customHeight="1" x14ac:dyDescent="0.25">
      <c r="B26" s="232"/>
      <c r="C26" s="232"/>
      <c r="D26" s="232"/>
      <c r="E26" s="232"/>
      <c r="F26" s="232"/>
      <c r="G26" s="232"/>
      <c r="H26" s="1"/>
      <c r="I26" s="1"/>
      <c r="J26" s="1"/>
      <c r="K26" s="232"/>
      <c r="L26" s="232"/>
      <c r="M26" s="232"/>
      <c r="N26" s="232"/>
      <c r="O26" s="232"/>
      <c r="S26" s="92"/>
      <c r="T26" s="92"/>
      <c r="U26" s="92"/>
      <c r="V26" s="92"/>
      <c r="W26" s="92"/>
      <c r="X26" s="92"/>
      <c r="Y26" s="92"/>
    </row>
    <row r="27" spans="2:25" ht="13.5" customHeight="1" x14ac:dyDescent="0.25">
      <c r="B27" s="232"/>
      <c r="C27" s="232"/>
      <c r="D27" s="232"/>
      <c r="E27" s="232"/>
      <c r="F27" s="232"/>
      <c r="G27" s="232"/>
      <c r="H27" s="1"/>
      <c r="I27" s="1"/>
      <c r="J27" s="1"/>
      <c r="K27" s="232"/>
      <c r="L27" s="232"/>
      <c r="M27" s="232"/>
      <c r="N27" s="232"/>
      <c r="O27" s="232"/>
      <c r="S27" s="92"/>
      <c r="T27" s="92"/>
      <c r="U27" s="92"/>
      <c r="V27" s="92"/>
      <c r="W27" s="92"/>
      <c r="X27" s="92"/>
      <c r="Y27" s="92"/>
    </row>
    <row r="28" spans="2:25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S28" s="92"/>
      <c r="T28" s="92"/>
      <c r="U28" s="92"/>
      <c r="V28" s="92"/>
      <c r="W28" s="92"/>
      <c r="X28" s="92"/>
      <c r="Y28" s="92"/>
    </row>
    <row r="29" spans="2:25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S29" s="92"/>
      <c r="T29" s="92"/>
      <c r="U29" s="92"/>
      <c r="V29" s="92"/>
      <c r="W29" s="92"/>
      <c r="X29" s="92"/>
      <c r="Y29" s="92"/>
    </row>
    <row r="30" spans="2:25" ht="15" customHeight="1" x14ac:dyDescent="0.25">
      <c r="B30" s="248" t="s">
        <v>313</v>
      </c>
      <c r="C30" s="248"/>
      <c r="D30" s="248"/>
      <c r="E30" s="248"/>
      <c r="F30" s="248"/>
      <c r="G30" s="248"/>
      <c r="H30" s="79"/>
      <c r="I30" s="79"/>
      <c r="J30" s="79"/>
      <c r="K30" s="248" t="s">
        <v>314</v>
      </c>
      <c r="L30" s="248"/>
      <c r="M30" s="248"/>
      <c r="N30" s="248"/>
      <c r="O30" s="248"/>
      <c r="S30" s="92"/>
      <c r="T30" s="92"/>
      <c r="U30" s="92"/>
      <c r="V30" s="92"/>
      <c r="W30" s="92"/>
      <c r="X30" s="92"/>
      <c r="Y30" s="92"/>
    </row>
    <row r="31" spans="2:25" ht="13.5" customHeight="1" x14ac:dyDescent="0.25">
      <c r="B31" s="249"/>
      <c r="C31" s="249"/>
      <c r="D31" s="249"/>
      <c r="E31" s="249"/>
      <c r="F31" s="249"/>
      <c r="G31" s="249"/>
      <c r="H31" s="79"/>
      <c r="I31" s="79"/>
      <c r="J31" s="79"/>
      <c r="K31" s="249"/>
      <c r="L31" s="249"/>
      <c r="M31" s="249"/>
      <c r="N31" s="249"/>
      <c r="O31" s="249"/>
      <c r="S31" s="92"/>
      <c r="T31" s="92"/>
      <c r="U31" s="92"/>
      <c r="V31" s="92"/>
      <c r="W31" s="92"/>
      <c r="X31" s="92"/>
      <c r="Y31" s="92"/>
    </row>
    <row r="32" spans="2:25" ht="13.5" customHeight="1" x14ac:dyDescent="0.25">
      <c r="B32" s="249"/>
      <c r="C32" s="249"/>
      <c r="D32" s="249"/>
      <c r="E32" s="249"/>
      <c r="F32" s="249"/>
      <c r="G32" s="249"/>
      <c r="H32" s="79"/>
      <c r="I32" s="79"/>
      <c r="J32" s="79"/>
      <c r="K32" s="249"/>
      <c r="L32" s="249"/>
      <c r="M32" s="249"/>
      <c r="N32" s="249"/>
      <c r="O32" s="249"/>
      <c r="S32" s="92"/>
      <c r="T32" s="92"/>
      <c r="U32" s="92"/>
      <c r="V32" s="92"/>
      <c r="W32" s="92"/>
      <c r="X32" s="92"/>
      <c r="Y32" s="92"/>
    </row>
    <row r="33" spans="2:33" ht="13.5" customHeight="1" x14ac:dyDescent="0.25">
      <c r="B33" s="249"/>
      <c r="C33" s="249"/>
      <c r="D33" s="249"/>
      <c r="E33" s="249"/>
      <c r="F33" s="249"/>
      <c r="G33" s="249"/>
      <c r="H33" s="79"/>
      <c r="I33" s="79"/>
      <c r="J33" s="79"/>
      <c r="K33" s="249"/>
      <c r="L33" s="249"/>
      <c r="M33" s="249"/>
      <c r="N33" s="249"/>
      <c r="O33" s="249"/>
      <c r="S33" s="92"/>
      <c r="T33" s="92"/>
      <c r="U33" s="92"/>
      <c r="V33" s="92"/>
      <c r="W33" s="92"/>
      <c r="X33" s="92"/>
      <c r="Y33" s="92"/>
    </row>
    <row r="34" spans="2:33" ht="13.5" customHeight="1" x14ac:dyDescent="0.25">
      <c r="B34" s="249"/>
      <c r="C34" s="249"/>
      <c r="D34" s="249"/>
      <c r="E34" s="249"/>
      <c r="F34" s="249"/>
      <c r="G34" s="249"/>
      <c r="H34" s="79"/>
      <c r="I34" s="79"/>
      <c r="J34" s="79"/>
      <c r="K34" s="249"/>
      <c r="L34" s="249"/>
      <c r="M34" s="249"/>
      <c r="N34" s="249"/>
      <c r="O34" s="249"/>
      <c r="S34" s="92"/>
      <c r="T34" s="92"/>
      <c r="U34" s="92"/>
      <c r="V34" s="92"/>
      <c r="W34" s="92"/>
      <c r="X34" s="92"/>
      <c r="Y34" s="92"/>
    </row>
    <row r="35" spans="2:33" ht="13.5" customHeight="1" x14ac:dyDescent="0.25">
      <c r="B35" s="249"/>
      <c r="C35" s="249"/>
      <c r="D35" s="249"/>
      <c r="E35" s="249"/>
      <c r="F35" s="249"/>
      <c r="G35" s="249"/>
      <c r="H35" s="79"/>
      <c r="I35" s="79"/>
      <c r="J35" s="79"/>
      <c r="K35" s="249"/>
      <c r="L35" s="249"/>
      <c r="M35" s="249"/>
      <c r="N35" s="249"/>
      <c r="O35" s="249"/>
      <c r="S35" s="92"/>
      <c r="T35" s="92"/>
      <c r="U35" s="92"/>
      <c r="V35" s="92"/>
      <c r="W35" s="92"/>
      <c r="X35" s="92"/>
      <c r="Y35" s="92"/>
    </row>
    <row r="36" spans="2:33" s="12" customFormat="1" ht="15" customHeight="1" x14ac:dyDescent="0.25">
      <c r="B36" s="249"/>
      <c r="C36" s="249"/>
      <c r="D36" s="249"/>
      <c r="E36" s="249"/>
      <c r="F36" s="249"/>
      <c r="G36" s="249"/>
      <c r="H36" s="79"/>
      <c r="I36" s="79"/>
      <c r="J36" s="79"/>
      <c r="K36" s="249"/>
      <c r="L36" s="249"/>
      <c r="M36" s="249"/>
      <c r="N36" s="249"/>
      <c r="O36" s="249"/>
      <c r="S36" s="92"/>
      <c r="T36" s="92"/>
      <c r="U36" s="92"/>
      <c r="V36" s="92"/>
      <c r="W36" s="92"/>
      <c r="X36" s="92"/>
      <c r="Y36" s="92"/>
    </row>
    <row r="37" spans="2:33" s="12" customFormat="1" ht="15" customHeight="1" x14ac:dyDescent="0.25">
      <c r="B37" s="249"/>
      <c r="C37" s="249"/>
      <c r="D37" s="249"/>
      <c r="E37" s="249"/>
      <c r="F37" s="249"/>
      <c r="G37" s="249"/>
      <c r="H37" s="79"/>
      <c r="I37" s="79"/>
      <c r="J37" s="79"/>
      <c r="K37" s="249"/>
      <c r="L37" s="249"/>
      <c r="M37" s="249"/>
      <c r="N37" s="249"/>
      <c r="O37" s="249"/>
      <c r="S37" s="92"/>
      <c r="T37" s="92"/>
      <c r="U37" s="92"/>
      <c r="V37" s="92"/>
      <c r="W37" s="92"/>
      <c r="X37" s="92"/>
      <c r="Y37" s="92"/>
    </row>
    <row r="38" spans="2:33" s="12" customFormat="1" ht="15" customHeight="1" x14ac:dyDescent="0.25">
      <c r="B38" s="249"/>
      <c r="C38" s="249"/>
      <c r="D38" s="249"/>
      <c r="E38" s="249"/>
      <c r="F38" s="249"/>
      <c r="G38" s="249"/>
      <c r="H38" s="79"/>
      <c r="I38" s="79"/>
      <c r="J38" s="79"/>
      <c r="K38" s="249"/>
      <c r="L38" s="249"/>
      <c r="M38" s="249"/>
      <c r="N38" s="249"/>
      <c r="O38" s="249"/>
      <c r="S38" s="92"/>
      <c r="T38" s="92"/>
      <c r="U38" s="92"/>
      <c r="V38" s="92"/>
      <c r="W38" s="92"/>
      <c r="X38" s="92"/>
      <c r="Y38" s="92"/>
    </row>
    <row r="39" spans="2:33" s="12" customFormat="1" ht="15" customHeight="1" x14ac:dyDescent="0.25">
      <c r="B39" s="249"/>
      <c r="C39" s="249"/>
      <c r="D39" s="249"/>
      <c r="E39" s="249"/>
      <c r="F39" s="249"/>
      <c r="G39" s="249"/>
      <c r="H39" s="79"/>
      <c r="I39" s="79"/>
      <c r="J39" s="79"/>
      <c r="K39" s="249"/>
      <c r="L39" s="249"/>
      <c r="M39" s="249"/>
      <c r="N39" s="249"/>
      <c r="O39" s="249"/>
      <c r="S39" s="92"/>
      <c r="T39" s="92"/>
      <c r="U39" s="92"/>
      <c r="V39" s="92"/>
      <c r="W39" s="92"/>
      <c r="X39" s="92"/>
      <c r="Y39" s="92"/>
    </row>
    <row r="40" spans="2:33" s="12" customFormat="1" ht="15" customHeight="1" x14ac:dyDescent="0.25">
      <c r="B40" s="249"/>
      <c r="C40" s="249"/>
      <c r="D40" s="249"/>
      <c r="E40" s="249"/>
      <c r="F40" s="249"/>
      <c r="G40" s="249"/>
      <c r="H40" s="79"/>
      <c r="I40" s="79"/>
      <c r="J40" s="79"/>
      <c r="K40" s="249"/>
      <c r="L40" s="249"/>
      <c r="M40" s="249"/>
      <c r="N40" s="249"/>
      <c r="O40" s="249"/>
      <c r="S40" s="92"/>
      <c r="T40" s="92"/>
      <c r="U40" s="92"/>
      <c r="V40" s="92"/>
      <c r="W40" s="92"/>
      <c r="X40" s="92"/>
      <c r="Y40" s="92"/>
    </row>
    <row r="41" spans="2:33" s="12" customFormat="1" ht="15" customHeight="1" x14ac:dyDescent="0.25">
      <c r="B41" s="249"/>
      <c r="C41" s="249"/>
      <c r="D41" s="249"/>
      <c r="E41" s="249"/>
      <c r="F41" s="249"/>
      <c r="G41" s="249"/>
      <c r="H41" s="79"/>
      <c r="I41" s="79"/>
      <c r="J41" s="79"/>
      <c r="K41" s="249"/>
      <c r="L41" s="249"/>
      <c r="M41" s="249"/>
      <c r="N41" s="249"/>
      <c r="O41" s="249"/>
      <c r="S41" s="92"/>
      <c r="T41" s="92"/>
      <c r="U41" s="92"/>
      <c r="V41" s="92"/>
      <c r="W41" s="92"/>
      <c r="X41" s="92"/>
      <c r="Y41" s="92"/>
    </row>
    <row r="42" spans="2:33" s="12" customFormat="1" ht="15" customHeight="1" x14ac:dyDescent="0.25">
      <c r="B42" s="249"/>
      <c r="C42" s="249"/>
      <c r="D42" s="249"/>
      <c r="E42" s="249"/>
      <c r="F42" s="249"/>
      <c r="G42" s="249"/>
      <c r="H42" s="79"/>
      <c r="I42" s="79"/>
      <c r="J42" s="79"/>
      <c r="K42" s="249"/>
      <c r="L42" s="249"/>
      <c r="M42" s="249"/>
      <c r="N42" s="249"/>
      <c r="O42" s="249"/>
      <c r="S42" s="92"/>
      <c r="T42" s="92"/>
      <c r="U42" s="92"/>
      <c r="V42" s="92"/>
      <c r="W42" s="92"/>
      <c r="X42" s="92"/>
      <c r="Y42" s="92"/>
    </row>
    <row r="43" spans="2:33" s="12" customFormat="1" ht="15" customHeight="1" x14ac:dyDescent="0.25">
      <c r="B43" s="249"/>
      <c r="C43" s="249"/>
      <c r="D43" s="249"/>
      <c r="E43" s="249"/>
      <c r="F43" s="249"/>
      <c r="G43" s="249"/>
      <c r="H43" s="79"/>
      <c r="I43" s="79"/>
      <c r="J43" s="79"/>
      <c r="K43" s="249"/>
      <c r="L43" s="249"/>
      <c r="M43" s="249"/>
      <c r="N43" s="249"/>
      <c r="O43" s="249"/>
      <c r="S43" s="92"/>
      <c r="T43" s="92"/>
      <c r="U43" s="92"/>
      <c r="V43" s="92"/>
      <c r="W43" s="92"/>
      <c r="X43" s="92"/>
      <c r="Y43" s="92"/>
    </row>
    <row r="44" spans="2:33" s="12" customFormat="1" ht="15" customHeight="1" x14ac:dyDescent="0.25">
      <c r="B44" s="249"/>
      <c r="C44" s="249"/>
      <c r="D44" s="249"/>
      <c r="E44" s="249"/>
      <c r="F44" s="249"/>
      <c r="G44" s="249"/>
      <c r="H44" s="79"/>
      <c r="I44" s="79"/>
      <c r="J44" s="79"/>
      <c r="K44" s="249"/>
      <c r="L44" s="249"/>
      <c r="M44" s="249"/>
      <c r="N44" s="249"/>
      <c r="O44" s="249"/>
      <c r="S44" s="92"/>
      <c r="T44" s="92"/>
      <c r="U44" s="92"/>
      <c r="V44" s="92"/>
      <c r="W44" s="92"/>
      <c r="X44" s="92"/>
      <c r="Y44" s="92"/>
    </row>
    <row r="45" spans="2:33" s="12" customFormat="1" ht="15" customHeight="1" x14ac:dyDescent="0.25">
      <c r="B45" s="249"/>
      <c r="C45" s="249"/>
      <c r="D45" s="249"/>
      <c r="E45" s="249"/>
      <c r="F45" s="249"/>
      <c r="G45" s="249"/>
      <c r="H45" s="79"/>
      <c r="I45" s="79"/>
      <c r="J45" s="79"/>
      <c r="K45" s="249"/>
      <c r="L45" s="249"/>
      <c r="M45" s="249"/>
      <c r="N45" s="249"/>
      <c r="O45" s="249"/>
      <c r="S45" s="92"/>
      <c r="T45" s="92"/>
      <c r="U45" s="92"/>
      <c r="V45" s="92"/>
      <c r="W45" s="92"/>
      <c r="X45" s="92"/>
      <c r="Y45" s="92"/>
    </row>
    <row r="46" spans="2:33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2"/>
      <c r="K46" s="83"/>
      <c r="L46" s="83"/>
      <c r="M46" s="83"/>
      <c r="N46" s="83"/>
      <c r="O46" s="83"/>
    </row>
    <row r="47" spans="2:33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V47" s="64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</row>
    <row r="48" spans="2:33" ht="15" customHeight="1" x14ac:dyDescent="0.25">
      <c r="B48" s="226" t="s">
        <v>390</v>
      </c>
      <c r="C48" s="226"/>
      <c r="D48" s="93"/>
      <c r="E48" s="93"/>
      <c r="F48" s="227" t="s">
        <v>385</v>
      </c>
      <c r="G48" s="227"/>
      <c r="H48" s="227"/>
      <c r="I48" s="227"/>
      <c r="J48" s="227"/>
      <c r="K48" s="227"/>
      <c r="L48" s="93"/>
      <c r="M48" s="226" t="s">
        <v>391</v>
      </c>
      <c r="N48" s="226"/>
      <c r="O48" s="226"/>
    </row>
    <row r="49" spans="2:42" ht="15" customHeight="1" x14ac:dyDescent="0.25">
      <c r="B49" s="225" t="s">
        <v>59</v>
      </c>
      <c r="C49" s="225"/>
      <c r="D49" s="83"/>
      <c r="E49" s="83"/>
      <c r="F49" s="225" t="s">
        <v>355</v>
      </c>
      <c r="G49" s="225"/>
      <c r="H49" s="225"/>
      <c r="I49" s="225"/>
      <c r="J49" s="225"/>
      <c r="K49" s="225"/>
      <c r="L49" s="83"/>
      <c r="M49" s="225" t="s">
        <v>126</v>
      </c>
      <c r="N49" s="225"/>
      <c r="O49" s="225"/>
    </row>
    <row r="50" spans="2:42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4"/>
      <c r="M50" s="82"/>
      <c r="N50" s="82"/>
      <c r="O50" s="82"/>
    </row>
    <row r="51" spans="2:42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42" ht="15.75" customHeight="1" x14ac:dyDescent="0.25">
      <c r="B52" s="186" t="s">
        <v>381</v>
      </c>
      <c r="C52" s="186"/>
      <c r="D52" s="15"/>
      <c r="E52" s="15"/>
      <c r="F52" s="228"/>
      <c r="G52" s="228"/>
      <c r="H52" s="228"/>
      <c r="I52" s="228"/>
      <c r="J52" s="228"/>
      <c r="K52" s="229"/>
      <c r="L52" s="229"/>
      <c r="M52" s="15"/>
      <c r="N52" s="187" t="s">
        <v>374</v>
      </c>
      <c r="O52" s="187"/>
    </row>
    <row r="53" spans="2:42" ht="20.100000000000001" customHeight="1" x14ac:dyDescent="0.25"/>
    <row r="54" spans="2:42" x14ac:dyDescent="0.25"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P54" s="85"/>
    </row>
    <row r="55" spans="2:42" x14ac:dyDescent="0.25"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 spans="2:42" x14ac:dyDescent="0.25"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93"/>
      <c r="AE56" s="93"/>
      <c r="AF56" s="93"/>
    </row>
  </sheetData>
  <mergeCells count="25"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M49:O49"/>
    <mergeCell ref="B31:G45"/>
    <mergeCell ref="K30:O30"/>
    <mergeCell ref="K31:O45"/>
    <mergeCell ref="B7:C7"/>
    <mergeCell ref="B2:B3"/>
    <mergeCell ref="C2:L3"/>
    <mergeCell ref="M2:O3"/>
    <mergeCell ref="C4:E4"/>
    <mergeCell ref="F4:K4"/>
    <mergeCell ref="C6:J6"/>
    <mergeCell ref="B12:G12"/>
    <mergeCell ref="B13:G27"/>
    <mergeCell ref="K12:O12"/>
    <mergeCell ref="K13:O27"/>
    <mergeCell ref="B30:G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1185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6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7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8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9" r:id="rId8" name="Check Box 5">
              <controlPr defaultSize="0" autoFill="0" autoLine="0" autoPict="0">
                <anchor moveWithCells="1">
                  <from>
                    <xdr:col>11</xdr:col>
                    <xdr:colOff>236220</xdr:colOff>
                    <xdr:row>6</xdr:row>
                    <xdr:rowOff>7620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0" r:id="rId9" name="Check Box 6">
              <controlPr defaultSize="0" autoFill="0" autoLine="0" autoPict="0">
                <anchor moveWithCells="1">
                  <from>
                    <xdr:col>11</xdr:col>
                    <xdr:colOff>236220</xdr:colOff>
                    <xdr:row>7</xdr:row>
                    <xdr:rowOff>7620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1" r:id="rId10" name="Check Box 7">
              <controlPr defaultSize="0" autoFill="0" autoLine="0" autoPict="0">
                <anchor moveWithCells="1">
                  <from>
                    <xdr:col>11</xdr:col>
                    <xdr:colOff>236220</xdr:colOff>
                    <xdr:row>8</xdr:row>
                    <xdr:rowOff>7620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N56"/>
  <sheetViews>
    <sheetView view="pageBreakPreview" topLeftCell="A31" zoomScaleNormal="100" zoomScaleSheetLayoutView="100" workbookViewId="0">
      <selection activeCell="L50" sqref="L50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0.109375" customWidth="1"/>
    <col min="13" max="13" width="18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35"/>
      <c r="C2" s="237" t="s">
        <v>361</v>
      </c>
      <c r="D2" s="206"/>
      <c r="E2" s="206"/>
      <c r="F2" s="206"/>
      <c r="G2" s="206"/>
      <c r="H2" s="206"/>
      <c r="I2" s="206"/>
      <c r="J2" s="206"/>
      <c r="K2" s="206"/>
      <c r="L2" s="239" t="s">
        <v>190</v>
      </c>
      <c r="M2" s="241" t="s">
        <v>190</v>
      </c>
    </row>
    <row r="3" spans="2:23" ht="27.75" customHeight="1" x14ac:dyDescent="0.25">
      <c r="B3" s="236"/>
      <c r="C3" s="238"/>
      <c r="D3" s="210"/>
      <c r="E3" s="210"/>
      <c r="F3" s="210"/>
      <c r="G3" s="210"/>
      <c r="H3" s="210"/>
      <c r="I3" s="210"/>
      <c r="J3" s="210"/>
      <c r="K3" s="210"/>
      <c r="L3" s="242"/>
      <c r="M3" s="244"/>
    </row>
    <row r="4" spans="2:23" x14ac:dyDescent="0.25">
      <c r="B4" s="66" t="s">
        <v>170</v>
      </c>
      <c r="C4" s="245" t="str">
        <f>SERIGRAFIA!C4</f>
        <v>1220200814</v>
      </c>
      <c r="D4" s="246"/>
      <c r="E4" s="246"/>
      <c r="F4" s="247"/>
      <c r="G4" s="247"/>
      <c r="H4" s="247"/>
      <c r="I4" s="247"/>
      <c r="J4" s="247"/>
      <c r="K4" s="67"/>
      <c r="L4" s="68" t="s">
        <v>60</v>
      </c>
      <c r="M4" s="69" t="str">
        <f>REFLEXION!H6</f>
        <v>16/2/2021</v>
      </c>
    </row>
    <row r="5" spans="2:23" x14ac:dyDescent="0.25">
      <c r="B5" s="14" t="s">
        <v>171</v>
      </c>
      <c r="C5" s="70" t="s">
        <v>166</v>
      </c>
      <c r="D5" s="15"/>
      <c r="E5" s="15"/>
      <c r="F5" s="71"/>
      <c r="G5" s="71"/>
      <c r="H5" s="71"/>
      <c r="I5" s="71"/>
      <c r="J5" s="71"/>
      <c r="K5" s="71"/>
      <c r="L5" s="71"/>
      <c r="M5" s="72"/>
      <c r="N5" s="16"/>
      <c r="O5" s="73"/>
      <c r="P5" s="73"/>
      <c r="Q5" s="73"/>
    </row>
    <row r="6" spans="2:23" x14ac:dyDescent="0.25">
      <c r="B6" s="74" t="s">
        <v>133</v>
      </c>
      <c r="C6" s="250" t="s">
        <v>172</v>
      </c>
      <c r="D6" s="250"/>
      <c r="E6" s="250"/>
      <c r="F6" s="250"/>
      <c r="G6" s="250"/>
      <c r="H6" s="250"/>
      <c r="I6" s="250"/>
      <c r="J6" s="13"/>
      <c r="K6" s="75"/>
      <c r="L6" s="13"/>
      <c r="M6" s="105"/>
      <c r="P6" s="12"/>
      <c r="Q6" s="15"/>
      <c r="R6" s="15"/>
      <c r="S6" s="15"/>
      <c r="T6" s="15"/>
      <c r="U6" s="15"/>
    </row>
    <row r="7" spans="2:23" ht="15" customHeight="1" x14ac:dyDescent="0.25">
      <c r="B7" s="251" t="s">
        <v>134</v>
      </c>
      <c r="C7" s="247"/>
      <c r="D7" s="77"/>
      <c r="E7" s="17" t="s">
        <v>135</v>
      </c>
      <c r="F7" s="77"/>
      <c r="G7" s="77"/>
      <c r="H7" s="17"/>
      <c r="I7" s="17"/>
      <c r="J7" s="17"/>
      <c r="K7" s="17"/>
      <c r="L7" s="18" t="s">
        <v>141</v>
      </c>
      <c r="M7" s="18"/>
      <c r="P7" s="12"/>
      <c r="Q7" s="15"/>
      <c r="R7" s="15"/>
      <c r="S7" s="15"/>
      <c r="T7" s="15"/>
      <c r="U7" s="15"/>
    </row>
    <row r="8" spans="2:23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 t="s">
        <v>142</v>
      </c>
      <c r="M8" s="19"/>
      <c r="P8" s="12"/>
      <c r="Q8" s="15"/>
      <c r="R8" s="15"/>
      <c r="S8" s="15"/>
      <c r="T8" s="15"/>
      <c r="U8" s="15"/>
    </row>
    <row r="9" spans="2:23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 t="s">
        <v>144</v>
      </c>
      <c r="M9" s="19"/>
      <c r="P9" s="12"/>
      <c r="Q9" s="15"/>
      <c r="R9" s="15"/>
      <c r="S9" s="15"/>
      <c r="T9" s="15"/>
      <c r="U9" s="15"/>
    </row>
    <row r="10" spans="2:23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1"/>
      <c r="P10" s="12"/>
      <c r="Q10" s="15"/>
      <c r="R10" s="15"/>
      <c r="S10" s="15"/>
      <c r="T10" s="15"/>
      <c r="U10" s="15"/>
    </row>
    <row r="11" spans="2:23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P11" s="12"/>
      <c r="Q11" s="15"/>
      <c r="R11" s="15"/>
      <c r="S11" s="15"/>
      <c r="T11" s="15"/>
      <c r="U11" s="15"/>
    </row>
    <row r="12" spans="2:23" ht="15" customHeight="1" x14ac:dyDescent="0.25">
      <c r="B12" s="15"/>
      <c r="C12" s="252" t="s">
        <v>359</v>
      </c>
      <c r="D12" s="253"/>
      <c r="E12" s="253"/>
      <c r="F12" s="253"/>
      <c r="G12" s="253"/>
      <c r="H12" s="253"/>
      <c r="I12" s="253"/>
      <c r="J12" s="253"/>
      <c r="K12" s="253"/>
      <c r="L12" s="254"/>
      <c r="M12" s="15"/>
      <c r="P12" s="12"/>
      <c r="Q12" s="15"/>
      <c r="R12" s="15"/>
      <c r="S12" s="15"/>
      <c r="T12" s="15"/>
      <c r="U12" s="15"/>
    </row>
    <row r="13" spans="2:23" ht="15" customHeight="1" x14ac:dyDescent="0.25">
      <c r="B13" s="1"/>
      <c r="C13" s="270"/>
      <c r="D13" s="271"/>
      <c r="E13" s="271"/>
      <c r="F13" s="271"/>
      <c r="G13" s="271"/>
      <c r="H13" s="271"/>
      <c r="I13" s="271"/>
      <c r="J13" s="271"/>
      <c r="K13" s="271"/>
      <c r="L13" s="272"/>
      <c r="M13" s="1"/>
    </row>
    <row r="14" spans="2:23" ht="15" customHeight="1" x14ac:dyDescent="0.25">
      <c r="B14" s="79"/>
      <c r="C14" s="273"/>
      <c r="D14" s="274"/>
      <c r="E14" s="274"/>
      <c r="F14" s="274"/>
      <c r="G14" s="274"/>
      <c r="H14" s="274"/>
      <c r="I14" s="274"/>
      <c r="J14" s="274"/>
      <c r="K14" s="274"/>
      <c r="L14" s="275"/>
      <c r="M14" s="79"/>
      <c r="Q14" s="91" t="s">
        <v>281</v>
      </c>
      <c r="R14" s="91"/>
      <c r="S14" s="91"/>
      <c r="T14" s="91"/>
      <c r="U14" s="91"/>
      <c r="V14" s="91"/>
      <c r="W14" s="91"/>
    </row>
    <row r="15" spans="2:23" ht="13.5" customHeight="1" x14ac:dyDescent="0.25">
      <c r="B15" s="79"/>
      <c r="C15" s="273"/>
      <c r="D15" s="274"/>
      <c r="E15" s="274"/>
      <c r="F15" s="274"/>
      <c r="G15" s="274"/>
      <c r="H15" s="274"/>
      <c r="I15" s="274"/>
      <c r="J15" s="274"/>
      <c r="K15" s="274"/>
      <c r="L15" s="275"/>
      <c r="M15" s="79"/>
      <c r="Q15" s="92"/>
      <c r="R15" s="92"/>
      <c r="S15" s="92"/>
      <c r="T15" s="92"/>
      <c r="U15" s="92"/>
      <c r="V15" s="92"/>
      <c r="W15" s="92"/>
    </row>
    <row r="16" spans="2:23" ht="13.5" customHeight="1" x14ac:dyDescent="0.25">
      <c r="B16" s="79"/>
      <c r="C16" s="273"/>
      <c r="D16" s="274"/>
      <c r="E16" s="274"/>
      <c r="F16" s="274"/>
      <c r="G16" s="274"/>
      <c r="H16" s="274"/>
      <c r="I16" s="274"/>
      <c r="J16" s="274"/>
      <c r="K16" s="274"/>
      <c r="L16" s="275"/>
      <c r="M16" s="79"/>
      <c r="Q16" s="92"/>
      <c r="R16" s="92"/>
      <c r="S16" s="92"/>
      <c r="T16" s="92"/>
      <c r="U16" s="92"/>
      <c r="V16" s="92"/>
      <c r="W16" s="92"/>
    </row>
    <row r="17" spans="2:23" ht="13.5" customHeight="1" x14ac:dyDescent="0.25">
      <c r="B17" s="79"/>
      <c r="C17" s="273"/>
      <c r="D17" s="274"/>
      <c r="E17" s="274"/>
      <c r="F17" s="274"/>
      <c r="G17" s="274"/>
      <c r="H17" s="274"/>
      <c r="I17" s="274"/>
      <c r="J17" s="274"/>
      <c r="K17" s="274"/>
      <c r="L17" s="275"/>
      <c r="M17" s="79"/>
      <c r="Q17" s="92"/>
      <c r="R17" s="92"/>
      <c r="S17" s="92"/>
      <c r="T17" s="92"/>
      <c r="U17" s="92"/>
      <c r="V17" s="92"/>
      <c r="W17" s="92"/>
    </row>
    <row r="18" spans="2:23" ht="13.5" customHeight="1" x14ac:dyDescent="0.25">
      <c r="B18" s="79"/>
      <c r="C18" s="273"/>
      <c r="D18" s="274"/>
      <c r="E18" s="274"/>
      <c r="F18" s="274"/>
      <c r="G18" s="274"/>
      <c r="H18" s="274"/>
      <c r="I18" s="274"/>
      <c r="J18" s="274"/>
      <c r="K18" s="274"/>
      <c r="L18" s="275"/>
      <c r="M18" s="79"/>
      <c r="Q18" s="92"/>
      <c r="R18" s="92"/>
      <c r="S18" s="92"/>
      <c r="T18" s="92"/>
      <c r="U18" s="92"/>
      <c r="V18" s="92"/>
      <c r="W18" s="92"/>
    </row>
    <row r="19" spans="2:23" ht="13.5" customHeight="1" x14ac:dyDescent="0.25">
      <c r="B19" s="79"/>
      <c r="C19" s="273"/>
      <c r="D19" s="274"/>
      <c r="E19" s="274"/>
      <c r="F19" s="274"/>
      <c r="G19" s="274"/>
      <c r="H19" s="274"/>
      <c r="I19" s="274"/>
      <c r="J19" s="274"/>
      <c r="K19" s="274"/>
      <c r="L19" s="275"/>
      <c r="M19" s="79"/>
      <c r="Q19" s="92"/>
      <c r="R19" s="92"/>
      <c r="S19" s="92"/>
      <c r="T19" s="92"/>
      <c r="U19" s="92"/>
      <c r="V19" s="92"/>
      <c r="W19" s="92"/>
    </row>
    <row r="20" spans="2:23" ht="13.5" customHeight="1" x14ac:dyDescent="0.25">
      <c r="B20" s="79"/>
      <c r="C20" s="273"/>
      <c r="D20" s="274"/>
      <c r="E20" s="274"/>
      <c r="F20" s="274"/>
      <c r="G20" s="274"/>
      <c r="H20" s="274"/>
      <c r="I20" s="274"/>
      <c r="J20" s="274"/>
      <c r="K20" s="274"/>
      <c r="L20" s="275"/>
      <c r="M20" s="79"/>
      <c r="Q20" s="92"/>
      <c r="R20" s="92"/>
      <c r="S20" s="92"/>
      <c r="T20" s="92"/>
      <c r="U20" s="92"/>
      <c r="V20" s="92"/>
      <c r="W20" s="92"/>
    </row>
    <row r="21" spans="2:23" ht="13.5" customHeight="1" x14ac:dyDescent="0.25">
      <c r="B21" s="79"/>
      <c r="C21" s="273"/>
      <c r="D21" s="274"/>
      <c r="E21" s="274"/>
      <c r="F21" s="274"/>
      <c r="G21" s="274"/>
      <c r="H21" s="274"/>
      <c r="I21" s="274"/>
      <c r="J21" s="274"/>
      <c r="K21" s="274"/>
      <c r="L21" s="275"/>
      <c r="M21" s="79"/>
      <c r="Q21" s="92"/>
      <c r="R21" s="92"/>
      <c r="S21" s="92"/>
      <c r="T21" s="92"/>
      <c r="U21" s="92"/>
      <c r="V21" s="92"/>
      <c r="W21" s="92"/>
    </row>
    <row r="22" spans="2:23" ht="13.5" customHeight="1" x14ac:dyDescent="0.25">
      <c r="B22" s="79"/>
      <c r="C22" s="273"/>
      <c r="D22" s="274"/>
      <c r="E22" s="274"/>
      <c r="F22" s="274"/>
      <c r="G22" s="274"/>
      <c r="H22" s="274"/>
      <c r="I22" s="274"/>
      <c r="J22" s="274"/>
      <c r="K22" s="274"/>
      <c r="L22" s="275"/>
      <c r="M22" s="79"/>
      <c r="Q22" s="92"/>
      <c r="R22" s="92"/>
      <c r="S22" s="92"/>
      <c r="T22" s="92"/>
      <c r="U22" s="92"/>
      <c r="V22" s="92"/>
      <c r="W22" s="92"/>
    </row>
    <row r="23" spans="2:23" ht="13.5" customHeight="1" x14ac:dyDescent="0.25">
      <c r="B23" s="79"/>
      <c r="C23" s="273"/>
      <c r="D23" s="274"/>
      <c r="E23" s="274"/>
      <c r="F23" s="274"/>
      <c r="G23" s="274"/>
      <c r="H23" s="274"/>
      <c r="I23" s="274"/>
      <c r="J23" s="274"/>
      <c r="K23" s="274"/>
      <c r="L23" s="275"/>
      <c r="M23" s="79"/>
      <c r="Q23" s="92"/>
      <c r="R23" s="92"/>
      <c r="S23" s="92"/>
      <c r="T23" s="92"/>
      <c r="U23" s="92"/>
      <c r="V23" s="92"/>
      <c r="W23" s="92"/>
    </row>
    <row r="24" spans="2:23" ht="13.5" customHeight="1" x14ac:dyDescent="0.25">
      <c r="B24" s="79"/>
      <c r="C24" s="273"/>
      <c r="D24" s="274"/>
      <c r="E24" s="274"/>
      <c r="F24" s="274"/>
      <c r="G24" s="274"/>
      <c r="H24" s="274"/>
      <c r="I24" s="274"/>
      <c r="J24" s="274"/>
      <c r="K24" s="274"/>
      <c r="L24" s="275"/>
      <c r="M24" s="79"/>
      <c r="Q24" s="92"/>
      <c r="R24" s="92"/>
      <c r="S24" s="92"/>
      <c r="T24" s="92"/>
      <c r="U24" s="92"/>
      <c r="V24" s="92"/>
      <c r="W24" s="92"/>
    </row>
    <row r="25" spans="2:23" ht="13.5" customHeight="1" x14ac:dyDescent="0.25">
      <c r="B25" s="79"/>
      <c r="C25" s="273"/>
      <c r="D25" s="274"/>
      <c r="E25" s="274"/>
      <c r="F25" s="274"/>
      <c r="G25" s="274"/>
      <c r="H25" s="274"/>
      <c r="I25" s="274"/>
      <c r="J25" s="274"/>
      <c r="K25" s="274"/>
      <c r="L25" s="275"/>
      <c r="M25" s="79"/>
      <c r="Q25" s="92"/>
      <c r="R25" s="92"/>
      <c r="S25" s="92"/>
      <c r="T25" s="92"/>
      <c r="U25" s="92"/>
      <c r="V25" s="92"/>
      <c r="W25" s="92"/>
    </row>
    <row r="26" spans="2:23" ht="13.5" customHeight="1" x14ac:dyDescent="0.25">
      <c r="B26" s="79"/>
      <c r="C26" s="273"/>
      <c r="D26" s="274"/>
      <c r="E26" s="274"/>
      <c r="F26" s="274"/>
      <c r="G26" s="274"/>
      <c r="H26" s="274"/>
      <c r="I26" s="274"/>
      <c r="J26" s="274"/>
      <c r="K26" s="274"/>
      <c r="L26" s="275"/>
      <c r="M26" s="79"/>
      <c r="Q26" s="92"/>
      <c r="R26" s="92"/>
      <c r="S26" s="92"/>
      <c r="T26" s="92"/>
      <c r="U26" s="92"/>
      <c r="V26" s="92"/>
      <c r="W26" s="92"/>
    </row>
    <row r="27" spans="2:23" ht="13.5" customHeight="1" x14ac:dyDescent="0.25">
      <c r="B27" s="79"/>
      <c r="C27" s="276"/>
      <c r="D27" s="277"/>
      <c r="E27" s="277"/>
      <c r="F27" s="277"/>
      <c r="G27" s="277"/>
      <c r="H27" s="277"/>
      <c r="I27" s="277"/>
      <c r="J27" s="277"/>
      <c r="K27" s="277"/>
      <c r="L27" s="278"/>
      <c r="M27" s="79"/>
      <c r="Q27" s="92"/>
      <c r="R27" s="92"/>
      <c r="S27" s="92"/>
      <c r="T27" s="92"/>
      <c r="U27" s="92"/>
      <c r="V27" s="92"/>
      <c r="W27" s="92"/>
    </row>
    <row r="28" spans="2:23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Q28" s="92"/>
      <c r="R28" s="92"/>
      <c r="S28" s="92"/>
      <c r="T28" s="92"/>
      <c r="U28" s="92"/>
      <c r="V28" s="92"/>
      <c r="W28" s="92"/>
    </row>
    <row r="29" spans="2:23" ht="13.5" customHeight="1" x14ac:dyDescent="0.2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Q29" s="92"/>
      <c r="R29" s="92"/>
      <c r="S29" s="92"/>
      <c r="T29" s="92"/>
      <c r="U29" s="92"/>
      <c r="V29" s="92"/>
      <c r="W29" s="92"/>
    </row>
    <row r="30" spans="2:23" ht="15" customHeight="1" x14ac:dyDescent="0.25">
      <c r="B30" s="79"/>
      <c r="C30" s="252" t="s">
        <v>360</v>
      </c>
      <c r="D30" s="253"/>
      <c r="E30" s="253"/>
      <c r="F30" s="253"/>
      <c r="G30" s="253"/>
      <c r="H30" s="253"/>
      <c r="I30" s="253"/>
      <c r="J30" s="253"/>
      <c r="K30" s="253"/>
      <c r="L30" s="254"/>
      <c r="M30" s="79"/>
      <c r="Q30" s="92"/>
      <c r="R30" s="92"/>
      <c r="S30" s="92"/>
      <c r="T30" s="92"/>
      <c r="U30" s="92"/>
      <c r="V30" s="92"/>
      <c r="W30" s="92"/>
    </row>
    <row r="31" spans="2:23" ht="13.5" customHeight="1" x14ac:dyDescent="0.25">
      <c r="B31" s="79"/>
      <c r="C31" s="279"/>
      <c r="D31" s="280"/>
      <c r="E31" s="280"/>
      <c r="F31" s="280"/>
      <c r="G31" s="280"/>
      <c r="H31" s="280"/>
      <c r="I31" s="280"/>
      <c r="J31" s="280"/>
      <c r="K31" s="280"/>
      <c r="L31" s="281"/>
      <c r="M31" s="79"/>
      <c r="Q31" s="92"/>
      <c r="R31" s="92"/>
      <c r="S31" s="92"/>
      <c r="T31" s="92"/>
      <c r="U31" s="92"/>
      <c r="V31" s="92"/>
      <c r="W31" s="92"/>
    </row>
    <row r="32" spans="2:23" ht="13.5" customHeight="1" x14ac:dyDescent="0.25">
      <c r="B32" s="79"/>
      <c r="C32" s="282"/>
      <c r="D32" s="283"/>
      <c r="E32" s="283"/>
      <c r="F32" s="283"/>
      <c r="G32" s="283"/>
      <c r="H32" s="283"/>
      <c r="I32" s="283"/>
      <c r="J32" s="283"/>
      <c r="K32" s="283"/>
      <c r="L32" s="284"/>
      <c r="M32" s="79"/>
      <c r="Q32" s="92"/>
      <c r="R32" s="92"/>
      <c r="S32" s="92"/>
      <c r="T32" s="92"/>
      <c r="U32" s="92"/>
      <c r="V32" s="92"/>
      <c r="W32" s="92"/>
    </row>
    <row r="33" spans="2:31" ht="13.5" customHeight="1" x14ac:dyDescent="0.25">
      <c r="B33" s="79"/>
      <c r="C33" s="282"/>
      <c r="D33" s="283"/>
      <c r="E33" s="283"/>
      <c r="F33" s="283"/>
      <c r="G33" s="283"/>
      <c r="H33" s="283"/>
      <c r="I33" s="283"/>
      <c r="J33" s="283"/>
      <c r="K33" s="283"/>
      <c r="L33" s="284"/>
      <c r="M33" s="79"/>
      <c r="Q33" s="92"/>
      <c r="R33" s="92"/>
      <c r="S33" s="92"/>
      <c r="T33" s="92"/>
      <c r="U33" s="92"/>
      <c r="V33" s="92"/>
      <c r="W33" s="92"/>
    </row>
    <row r="34" spans="2:31" ht="13.5" customHeight="1" x14ac:dyDescent="0.25">
      <c r="B34" s="79"/>
      <c r="C34" s="282"/>
      <c r="D34" s="283"/>
      <c r="E34" s="283"/>
      <c r="F34" s="283"/>
      <c r="G34" s="283"/>
      <c r="H34" s="283"/>
      <c r="I34" s="283"/>
      <c r="J34" s="283"/>
      <c r="K34" s="283"/>
      <c r="L34" s="284"/>
      <c r="M34" s="79"/>
      <c r="Q34" s="92"/>
      <c r="R34" s="92"/>
      <c r="S34" s="92"/>
      <c r="T34" s="92"/>
      <c r="U34" s="92"/>
      <c r="V34" s="92"/>
      <c r="W34" s="92"/>
    </row>
    <row r="35" spans="2:31" ht="13.5" customHeight="1" x14ac:dyDescent="0.25">
      <c r="B35" s="79"/>
      <c r="C35" s="282"/>
      <c r="D35" s="283"/>
      <c r="E35" s="283"/>
      <c r="F35" s="283"/>
      <c r="G35" s="283"/>
      <c r="H35" s="283"/>
      <c r="I35" s="283"/>
      <c r="J35" s="283"/>
      <c r="K35" s="283"/>
      <c r="L35" s="284"/>
      <c r="M35" s="79"/>
      <c r="Q35" s="92"/>
      <c r="R35" s="92"/>
      <c r="S35" s="92"/>
      <c r="T35" s="92"/>
      <c r="U35" s="92"/>
      <c r="V35" s="92"/>
      <c r="W35" s="92"/>
    </row>
    <row r="36" spans="2:31" s="12" customFormat="1" ht="15" customHeight="1" x14ac:dyDescent="0.25">
      <c r="B36" s="79"/>
      <c r="C36" s="282"/>
      <c r="D36" s="283"/>
      <c r="E36" s="283"/>
      <c r="F36" s="283"/>
      <c r="G36" s="283"/>
      <c r="H36" s="283"/>
      <c r="I36" s="283"/>
      <c r="J36" s="283"/>
      <c r="K36" s="283"/>
      <c r="L36" s="284"/>
      <c r="M36" s="79"/>
      <c r="Q36" s="92"/>
      <c r="R36" s="92"/>
      <c r="S36" s="92"/>
      <c r="T36" s="92"/>
      <c r="U36" s="92"/>
      <c r="V36" s="92"/>
      <c r="W36" s="92"/>
    </row>
    <row r="37" spans="2:31" s="12" customFormat="1" ht="15" customHeight="1" x14ac:dyDescent="0.25">
      <c r="B37" s="79"/>
      <c r="C37" s="282"/>
      <c r="D37" s="283"/>
      <c r="E37" s="283"/>
      <c r="F37" s="283"/>
      <c r="G37" s="283"/>
      <c r="H37" s="283"/>
      <c r="I37" s="283"/>
      <c r="J37" s="283"/>
      <c r="K37" s="283"/>
      <c r="L37" s="284"/>
      <c r="M37" s="79"/>
      <c r="Q37" s="92"/>
      <c r="R37" s="92"/>
      <c r="S37" s="92"/>
      <c r="T37" s="92"/>
      <c r="U37" s="92"/>
      <c r="V37" s="92"/>
      <c r="W37" s="92"/>
    </row>
    <row r="38" spans="2:31" s="12" customFormat="1" ht="15" customHeight="1" x14ac:dyDescent="0.25">
      <c r="B38" s="79"/>
      <c r="C38" s="282"/>
      <c r="D38" s="283"/>
      <c r="E38" s="283"/>
      <c r="F38" s="283"/>
      <c r="G38" s="283"/>
      <c r="H38" s="283"/>
      <c r="I38" s="283"/>
      <c r="J38" s="283"/>
      <c r="K38" s="283"/>
      <c r="L38" s="284"/>
      <c r="M38" s="79"/>
      <c r="Q38" s="92"/>
      <c r="R38" s="92"/>
      <c r="S38" s="92"/>
      <c r="T38" s="92"/>
      <c r="U38" s="92"/>
      <c r="V38" s="92"/>
      <c r="W38" s="92"/>
    </row>
    <row r="39" spans="2:31" s="12" customFormat="1" ht="15" customHeight="1" x14ac:dyDescent="0.25">
      <c r="B39" s="79"/>
      <c r="C39" s="282"/>
      <c r="D39" s="283"/>
      <c r="E39" s="283"/>
      <c r="F39" s="283"/>
      <c r="G39" s="283"/>
      <c r="H39" s="283"/>
      <c r="I39" s="283"/>
      <c r="J39" s="283"/>
      <c r="K39" s="283"/>
      <c r="L39" s="284"/>
      <c r="M39" s="79"/>
      <c r="Q39" s="92"/>
      <c r="R39" s="92"/>
      <c r="S39" s="92"/>
      <c r="T39" s="92"/>
      <c r="U39" s="92"/>
      <c r="V39" s="92"/>
      <c r="W39" s="92"/>
    </row>
    <row r="40" spans="2:31" s="12" customFormat="1" ht="15" customHeight="1" x14ac:dyDescent="0.25">
      <c r="B40" s="79"/>
      <c r="C40" s="282"/>
      <c r="D40" s="283"/>
      <c r="E40" s="283"/>
      <c r="F40" s="283"/>
      <c r="G40" s="283"/>
      <c r="H40" s="283"/>
      <c r="I40" s="283"/>
      <c r="J40" s="283"/>
      <c r="K40" s="283"/>
      <c r="L40" s="284"/>
      <c r="M40" s="79"/>
      <c r="Q40" s="92"/>
      <c r="R40" s="92"/>
      <c r="S40" s="92"/>
      <c r="T40" s="92"/>
      <c r="U40" s="92"/>
      <c r="V40" s="92"/>
      <c r="W40" s="92"/>
    </row>
    <row r="41" spans="2:31" s="12" customFormat="1" ht="15" customHeight="1" x14ac:dyDescent="0.25">
      <c r="B41" s="79"/>
      <c r="C41" s="282"/>
      <c r="D41" s="283"/>
      <c r="E41" s="283"/>
      <c r="F41" s="283"/>
      <c r="G41" s="283"/>
      <c r="H41" s="283"/>
      <c r="I41" s="283"/>
      <c r="J41" s="283"/>
      <c r="K41" s="283"/>
      <c r="L41" s="284"/>
      <c r="M41" s="79"/>
      <c r="Q41" s="92"/>
      <c r="R41" s="92"/>
      <c r="S41" s="92"/>
      <c r="T41" s="92"/>
      <c r="U41" s="92"/>
      <c r="V41" s="92"/>
      <c r="W41" s="92"/>
    </row>
    <row r="42" spans="2:31" s="12" customFormat="1" ht="15" customHeight="1" x14ac:dyDescent="0.25">
      <c r="B42" s="79"/>
      <c r="C42" s="282"/>
      <c r="D42" s="283"/>
      <c r="E42" s="283"/>
      <c r="F42" s="283"/>
      <c r="G42" s="283"/>
      <c r="H42" s="283"/>
      <c r="I42" s="283"/>
      <c r="J42" s="283"/>
      <c r="K42" s="283"/>
      <c r="L42" s="284"/>
      <c r="M42" s="79"/>
      <c r="Q42" s="92"/>
      <c r="R42" s="92"/>
      <c r="S42" s="92"/>
      <c r="T42" s="92"/>
      <c r="U42" s="92"/>
      <c r="V42" s="92"/>
      <c r="W42" s="92"/>
    </row>
    <row r="43" spans="2:31" s="12" customFormat="1" ht="15" customHeight="1" x14ac:dyDescent="0.25">
      <c r="B43" s="79"/>
      <c r="C43" s="282"/>
      <c r="D43" s="283"/>
      <c r="E43" s="283"/>
      <c r="F43" s="283"/>
      <c r="G43" s="283"/>
      <c r="H43" s="283"/>
      <c r="I43" s="283"/>
      <c r="J43" s="283"/>
      <c r="K43" s="283"/>
      <c r="L43" s="284"/>
      <c r="M43" s="79"/>
      <c r="Q43" s="92"/>
      <c r="R43" s="92"/>
      <c r="S43" s="92"/>
      <c r="T43" s="92"/>
      <c r="U43" s="92"/>
      <c r="V43" s="92"/>
      <c r="W43" s="92"/>
    </row>
    <row r="44" spans="2:31" s="12" customFormat="1" ht="15" customHeight="1" x14ac:dyDescent="0.25">
      <c r="B44" s="79"/>
      <c r="C44" s="282"/>
      <c r="D44" s="283"/>
      <c r="E44" s="283"/>
      <c r="F44" s="283"/>
      <c r="G44" s="283"/>
      <c r="H44" s="283"/>
      <c r="I44" s="283"/>
      <c r="J44" s="283"/>
      <c r="K44" s="283"/>
      <c r="L44" s="284"/>
      <c r="M44" s="79"/>
      <c r="Q44" s="92"/>
      <c r="R44" s="92"/>
      <c r="S44" s="92"/>
      <c r="T44" s="92"/>
      <c r="U44" s="92"/>
      <c r="V44" s="92"/>
      <c r="W44" s="92"/>
    </row>
    <row r="45" spans="2:31" s="12" customFormat="1" ht="15" customHeight="1" x14ac:dyDescent="0.25">
      <c r="B45" s="79"/>
      <c r="C45" s="285"/>
      <c r="D45" s="286"/>
      <c r="E45" s="286"/>
      <c r="F45" s="286"/>
      <c r="G45" s="286"/>
      <c r="H45" s="286"/>
      <c r="I45" s="286"/>
      <c r="J45" s="286"/>
      <c r="K45" s="286"/>
      <c r="L45" s="287"/>
      <c r="M45" s="79"/>
      <c r="Q45" s="92"/>
      <c r="R45" s="92"/>
      <c r="S45" s="92"/>
      <c r="T45" s="92"/>
      <c r="U45" s="92"/>
      <c r="V45" s="92"/>
      <c r="W45" s="92"/>
    </row>
    <row r="46" spans="2:31" ht="15" customHeight="1" x14ac:dyDescent="0.25">
      <c r="B46" s="83"/>
      <c r="C46" s="83"/>
      <c r="D46" s="83"/>
      <c r="E46" s="83"/>
      <c r="F46" s="83"/>
      <c r="G46" s="83"/>
      <c r="H46" s="82"/>
      <c r="I46" s="82"/>
      <c r="J46" s="83"/>
      <c r="K46" s="83"/>
      <c r="L46" s="83"/>
      <c r="M46" s="83"/>
    </row>
    <row r="47" spans="2:31" ht="15" customHeight="1" x14ac:dyDescent="0.25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T47" s="64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</row>
    <row r="48" spans="2:31" ht="15" customHeight="1" x14ac:dyDescent="0.25">
      <c r="B48" s="226" t="s">
        <v>390</v>
      </c>
      <c r="C48" s="226"/>
      <c r="D48" s="93"/>
      <c r="E48" s="93"/>
      <c r="F48" s="227" t="s">
        <v>385</v>
      </c>
      <c r="G48" s="227"/>
      <c r="H48" s="227"/>
      <c r="I48" s="227"/>
      <c r="J48" s="227"/>
      <c r="K48" s="93"/>
      <c r="L48" s="226" t="s">
        <v>392</v>
      </c>
      <c r="M48" s="226"/>
    </row>
    <row r="49" spans="2:40" ht="15" customHeight="1" x14ac:dyDescent="0.25">
      <c r="B49" s="269" t="s">
        <v>59</v>
      </c>
      <c r="C49" s="269"/>
      <c r="D49" s="83"/>
      <c r="E49" s="83"/>
      <c r="F49" s="269" t="s">
        <v>355</v>
      </c>
      <c r="G49" s="269"/>
      <c r="H49" s="269"/>
      <c r="I49" s="269"/>
      <c r="J49" s="269"/>
      <c r="K49" s="83"/>
      <c r="L49" s="269" t="s">
        <v>126</v>
      </c>
      <c r="M49" s="269"/>
    </row>
    <row r="50" spans="2:40" ht="15" customHeight="1" x14ac:dyDescent="0.25">
      <c r="B50" s="82"/>
      <c r="C50" s="84"/>
      <c r="D50" s="84"/>
      <c r="E50" s="84"/>
      <c r="F50" s="84"/>
      <c r="G50" s="82"/>
      <c r="H50" s="82"/>
      <c r="I50" s="84"/>
      <c r="J50" s="84"/>
      <c r="K50" s="84"/>
      <c r="L50" s="82"/>
      <c r="M50" s="82"/>
    </row>
    <row r="51" spans="2:40" x14ac:dyDescent="0.25">
      <c r="B51" s="83"/>
      <c r="C51" s="79"/>
      <c r="D51" s="79"/>
      <c r="E51" s="79"/>
      <c r="F51" s="15"/>
      <c r="G51" s="15"/>
      <c r="H51" s="15"/>
      <c r="I51" s="15"/>
      <c r="J51" s="15"/>
      <c r="K51" s="15"/>
      <c r="L51" s="15"/>
      <c r="M51" s="15"/>
    </row>
    <row r="52" spans="2:40" ht="15.75" customHeight="1" x14ac:dyDescent="0.25">
      <c r="B52" s="186" t="s">
        <v>381</v>
      </c>
      <c r="C52" s="186"/>
      <c r="D52" s="15"/>
      <c r="E52" s="15"/>
      <c r="F52" s="228"/>
      <c r="G52" s="228"/>
      <c r="H52" s="228"/>
      <c r="I52" s="228"/>
      <c r="J52" s="229"/>
      <c r="K52" s="229"/>
      <c r="L52" s="15"/>
      <c r="M52" s="94" t="s">
        <v>375</v>
      </c>
    </row>
    <row r="53" spans="2:40" ht="20.100000000000001" customHeight="1" x14ac:dyDescent="0.25"/>
    <row r="54" spans="2:40" x14ac:dyDescent="0.25"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N54" s="85"/>
    </row>
    <row r="55" spans="2:40" x14ac:dyDescent="0.25"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</row>
    <row r="56" spans="2:40" x14ac:dyDescent="0.25"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3"/>
      <c r="AC56" s="93"/>
      <c r="AD56" s="93"/>
    </row>
  </sheetData>
  <mergeCells count="20">
    <mergeCell ref="B7:C7"/>
    <mergeCell ref="B48:C48"/>
    <mergeCell ref="F48:J48"/>
    <mergeCell ref="L48:M48"/>
    <mergeCell ref="B52:C52"/>
    <mergeCell ref="B49:C49"/>
    <mergeCell ref="F49:J49"/>
    <mergeCell ref="L49:M49"/>
    <mergeCell ref="C12:L12"/>
    <mergeCell ref="C13:L27"/>
    <mergeCell ref="C30:L30"/>
    <mergeCell ref="C31:L45"/>
    <mergeCell ref="F52:I52"/>
    <mergeCell ref="J52:K52"/>
    <mergeCell ref="C6:I6"/>
    <mergeCell ref="B2:B3"/>
    <mergeCell ref="C4:E4"/>
    <mergeCell ref="C2:K3"/>
    <mergeCell ref="L2:M3"/>
    <mergeCell ref="F4:J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2209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0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1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2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3" r:id="rId8" name="Check Box 5">
              <controlPr defaultSize="0" autoFill="0" autoLine="0" autoPict="0">
                <anchor moveWithCells="1">
                  <from>
                    <xdr:col>10</xdr:col>
                    <xdr:colOff>632460</xdr:colOff>
                    <xdr:row>6</xdr:row>
                    <xdr:rowOff>7620</xdr:rowOff>
                  </from>
                  <to>
                    <xdr:col>10</xdr:col>
                    <xdr:colOff>822960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4" r:id="rId9" name="Check Box 6">
              <controlPr defaultSize="0" autoFill="0" autoLine="0" autoPict="0">
                <anchor moveWithCells="1">
                  <from>
                    <xdr:col>10</xdr:col>
                    <xdr:colOff>632460</xdr:colOff>
                    <xdr:row>7</xdr:row>
                    <xdr:rowOff>7620</xdr:rowOff>
                  </from>
                  <to>
                    <xdr:col>10</xdr:col>
                    <xdr:colOff>822960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5" r:id="rId10" name="Check Box 7">
              <controlPr defaultSize="0" autoFill="0" autoLine="0" autoPict="0">
                <anchor moveWithCells="1">
                  <from>
                    <xdr:col>10</xdr:col>
                    <xdr:colOff>632460</xdr:colOff>
                    <xdr:row>8</xdr:row>
                    <xdr:rowOff>7620</xdr:rowOff>
                  </from>
                  <to>
                    <xdr:col>10</xdr:col>
                    <xdr:colOff>822960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39"/>
  <sheetViews>
    <sheetView view="pageBreakPreview" zoomScale="60" zoomScaleNormal="100" workbookViewId="0">
      <selection activeCell="L32" sqref="L32:M32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0.109375" customWidth="1"/>
    <col min="13" max="13" width="18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35"/>
      <c r="C2" s="237" t="s">
        <v>377</v>
      </c>
      <c r="D2" s="206"/>
      <c r="E2" s="206"/>
      <c r="F2" s="206"/>
      <c r="G2" s="206"/>
      <c r="H2" s="206"/>
      <c r="I2" s="206"/>
      <c r="J2" s="206"/>
      <c r="K2" s="206"/>
      <c r="L2" s="239" t="s">
        <v>190</v>
      </c>
      <c r="M2" s="241" t="s">
        <v>190</v>
      </c>
    </row>
    <row r="3" spans="2:23" ht="27.75" customHeight="1" x14ac:dyDescent="0.25">
      <c r="B3" s="236"/>
      <c r="C3" s="238"/>
      <c r="D3" s="210"/>
      <c r="E3" s="210"/>
      <c r="F3" s="210"/>
      <c r="G3" s="210"/>
      <c r="H3" s="210"/>
      <c r="I3" s="210"/>
      <c r="J3" s="210"/>
      <c r="K3" s="210"/>
      <c r="L3" s="242"/>
      <c r="M3" s="244"/>
    </row>
    <row r="4" spans="2:23" x14ac:dyDescent="0.25">
      <c r="B4" s="66" t="s">
        <v>170</v>
      </c>
      <c r="C4" s="245" t="str">
        <f>PC!C4</f>
        <v>1220200814</v>
      </c>
      <c r="D4" s="246"/>
      <c r="E4" s="246"/>
      <c r="F4" s="247"/>
      <c r="G4" s="247"/>
      <c r="H4" s="247"/>
      <c r="I4" s="247"/>
      <c r="J4" s="247"/>
      <c r="K4" s="67"/>
      <c r="L4" s="68" t="s">
        <v>60</v>
      </c>
      <c r="M4" s="69" t="str">
        <f>REFLEXION!H6</f>
        <v>16/2/2021</v>
      </c>
    </row>
    <row r="5" spans="2:23" x14ac:dyDescent="0.25">
      <c r="B5" s="14" t="s">
        <v>171</v>
      </c>
      <c r="C5" s="70" t="s">
        <v>166</v>
      </c>
      <c r="D5" s="15"/>
      <c r="E5" s="15"/>
      <c r="F5" s="71"/>
      <c r="G5" s="71"/>
      <c r="H5" s="71"/>
      <c r="I5" s="71"/>
      <c r="J5" s="71"/>
      <c r="K5" s="71"/>
      <c r="L5" s="71"/>
      <c r="M5" s="72"/>
      <c r="N5" s="16"/>
      <c r="O5" s="73"/>
      <c r="P5" s="73"/>
      <c r="Q5" s="73"/>
    </row>
    <row r="6" spans="2:23" x14ac:dyDescent="0.25">
      <c r="B6" s="74" t="s">
        <v>133</v>
      </c>
      <c r="C6" s="250" t="s">
        <v>172</v>
      </c>
      <c r="D6" s="250"/>
      <c r="E6" s="250"/>
      <c r="F6" s="250"/>
      <c r="G6" s="250"/>
      <c r="H6" s="250"/>
      <c r="I6" s="250"/>
      <c r="J6" s="13"/>
      <c r="K6" s="75"/>
      <c r="L6" s="13"/>
      <c r="M6" s="105"/>
      <c r="P6" s="12"/>
      <c r="Q6" s="15"/>
      <c r="R6" s="15"/>
      <c r="S6" s="15"/>
      <c r="T6" s="15"/>
      <c r="U6" s="15"/>
    </row>
    <row r="7" spans="2:23" ht="15" customHeight="1" x14ac:dyDescent="0.25">
      <c r="B7" s="251" t="s">
        <v>134</v>
      </c>
      <c r="C7" s="247"/>
      <c r="D7" s="77"/>
      <c r="E7" s="17" t="s">
        <v>135</v>
      </c>
      <c r="F7" s="77"/>
      <c r="G7" s="77"/>
      <c r="H7" s="17"/>
      <c r="I7" s="17"/>
      <c r="J7" s="17"/>
      <c r="K7" s="17"/>
      <c r="L7" s="18" t="s">
        <v>141</v>
      </c>
      <c r="M7" s="18"/>
      <c r="P7" s="12"/>
      <c r="Q7" s="15"/>
      <c r="R7" s="15"/>
      <c r="S7" s="15"/>
      <c r="T7" s="15"/>
      <c r="U7" s="15"/>
    </row>
    <row r="8" spans="2:23" ht="15" customHeight="1" x14ac:dyDescent="0.25">
      <c r="B8" s="78"/>
      <c r="C8" s="79"/>
      <c r="D8" s="79"/>
      <c r="E8" s="15" t="s">
        <v>136</v>
      </c>
      <c r="F8" s="79"/>
      <c r="G8" s="79"/>
      <c r="H8" s="15"/>
      <c r="I8" s="15"/>
      <c r="J8" s="15"/>
      <c r="K8" s="15"/>
      <c r="L8" s="15" t="s">
        <v>142</v>
      </c>
      <c r="M8" s="19"/>
      <c r="P8" s="12"/>
      <c r="Q8" s="15"/>
      <c r="R8" s="15"/>
      <c r="S8" s="15"/>
      <c r="T8" s="15"/>
      <c r="U8" s="15"/>
    </row>
    <row r="9" spans="2:23" ht="15" customHeight="1" x14ac:dyDescent="0.25">
      <c r="B9" s="80"/>
      <c r="C9" s="15"/>
      <c r="D9" s="15"/>
      <c r="E9" s="15" t="s">
        <v>143</v>
      </c>
      <c r="F9" s="15"/>
      <c r="G9" s="15"/>
      <c r="H9" s="15"/>
      <c r="I9" s="15"/>
      <c r="J9" s="15"/>
      <c r="K9" s="15"/>
      <c r="L9" s="15" t="s">
        <v>144</v>
      </c>
      <c r="M9" s="19"/>
      <c r="P9" s="12"/>
      <c r="Q9" s="15"/>
      <c r="R9" s="15"/>
      <c r="S9" s="15"/>
      <c r="T9" s="15"/>
      <c r="U9" s="15"/>
    </row>
    <row r="10" spans="2:23" ht="15" customHeight="1" x14ac:dyDescent="0.25">
      <c r="B10" s="81"/>
      <c r="C10" s="20"/>
      <c r="D10" s="20"/>
      <c r="E10" s="20" t="s">
        <v>145</v>
      </c>
      <c r="F10" s="20"/>
      <c r="G10" s="20"/>
      <c r="H10" s="20"/>
      <c r="I10" s="20"/>
      <c r="J10" s="20"/>
      <c r="K10" s="20"/>
      <c r="L10" s="20"/>
      <c r="M10" s="21"/>
      <c r="P10" s="12"/>
      <c r="Q10" s="15"/>
      <c r="R10" s="15"/>
      <c r="S10" s="15"/>
      <c r="T10" s="15"/>
      <c r="U10" s="15"/>
    </row>
    <row r="11" spans="2:23" ht="1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P11" s="12"/>
      <c r="Q11" s="15"/>
      <c r="R11" s="15"/>
      <c r="S11" s="15"/>
      <c r="T11" s="15"/>
      <c r="U11" s="15"/>
    </row>
    <row r="12" spans="2:23" ht="15" customHeight="1" x14ac:dyDescent="0.25">
      <c r="B12" s="15"/>
      <c r="C12" s="252" t="s">
        <v>359</v>
      </c>
      <c r="D12" s="253"/>
      <c r="E12" s="253"/>
      <c r="F12" s="253"/>
      <c r="G12" s="253"/>
      <c r="H12" s="253"/>
      <c r="I12" s="253"/>
      <c r="J12" s="253"/>
      <c r="K12" s="253"/>
      <c r="L12" s="254"/>
      <c r="M12" s="15"/>
      <c r="P12" s="12"/>
      <c r="Q12" s="15"/>
      <c r="R12" s="15"/>
      <c r="S12" s="15"/>
      <c r="T12" s="15"/>
      <c r="U12" s="15"/>
    </row>
    <row r="13" spans="2:23" ht="15" customHeight="1" x14ac:dyDescent="0.25">
      <c r="B13" s="1"/>
      <c r="C13" s="270"/>
      <c r="D13" s="271"/>
      <c r="E13" s="271"/>
      <c r="F13" s="271"/>
      <c r="G13" s="271"/>
      <c r="H13" s="271"/>
      <c r="I13" s="271"/>
      <c r="J13" s="271"/>
      <c r="K13" s="271"/>
      <c r="L13" s="272"/>
      <c r="M13" s="1"/>
    </row>
    <row r="14" spans="2:23" ht="15" customHeight="1" x14ac:dyDescent="0.25">
      <c r="B14" s="79"/>
      <c r="C14" s="273"/>
      <c r="D14" s="274"/>
      <c r="E14" s="274"/>
      <c r="F14" s="274"/>
      <c r="G14" s="274"/>
      <c r="H14" s="274"/>
      <c r="I14" s="274"/>
      <c r="J14" s="274"/>
      <c r="K14" s="274"/>
      <c r="L14" s="275"/>
      <c r="M14" s="79"/>
      <c r="Q14" s="91" t="s">
        <v>281</v>
      </c>
      <c r="R14" s="91"/>
      <c r="S14" s="91"/>
      <c r="T14" s="91"/>
      <c r="U14" s="91"/>
      <c r="V14" s="91"/>
      <c r="W14" s="91"/>
    </row>
    <row r="15" spans="2:23" ht="13.5" customHeight="1" x14ac:dyDescent="0.25">
      <c r="B15" s="79"/>
      <c r="C15" s="273"/>
      <c r="D15" s="274"/>
      <c r="E15" s="274"/>
      <c r="F15" s="274"/>
      <c r="G15" s="274"/>
      <c r="H15" s="274"/>
      <c r="I15" s="274"/>
      <c r="J15" s="274"/>
      <c r="K15" s="274"/>
      <c r="L15" s="275"/>
      <c r="M15" s="79"/>
      <c r="Q15" s="92"/>
      <c r="R15" s="92"/>
      <c r="S15" s="92"/>
      <c r="T15" s="92"/>
      <c r="U15" s="92"/>
      <c r="V15" s="92"/>
      <c r="W15" s="92"/>
    </row>
    <row r="16" spans="2:23" ht="13.5" customHeight="1" x14ac:dyDescent="0.25">
      <c r="B16" s="79"/>
      <c r="C16" s="273"/>
      <c r="D16" s="274"/>
      <c r="E16" s="274"/>
      <c r="F16" s="274"/>
      <c r="G16" s="274"/>
      <c r="H16" s="274"/>
      <c r="I16" s="274"/>
      <c r="J16" s="274"/>
      <c r="K16" s="274"/>
      <c r="L16" s="275"/>
      <c r="M16" s="79"/>
      <c r="Q16" s="92"/>
      <c r="R16" s="92"/>
      <c r="S16" s="92"/>
      <c r="T16" s="92"/>
      <c r="U16" s="92"/>
      <c r="V16" s="92"/>
      <c r="W16" s="92"/>
    </row>
    <row r="17" spans="2:31" ht="13.5" customHeight="1" x14ac:dyDescent="0.25">
      <c r="B17" s="79"/>
      <c r="C17" s="273"/>
      <c r="D17" s="274"/>
      <c r="E17" s="274"/>
      <c r="F17" s="274"/>
      <c r="G17" s="274"/>
      <c r="H17" s="274"/>
      <c r="I17" s="274"/>
      <c r="J17" s="274"/>
      <c r="K17" s="274"/>
      <c r="L17" s="275"/>
      <c r="M17" s="79"/>
      <c r="Q17" s="92"/>
      <c r="R17" s="92"/>
      <c r="S17" s="92"/>
      <c r="T17" s="92"/>
      <c r="U17" s="92"/>
      <c r="V17" s="92"/>
      <c r="W17" s="92"/>
    </row>
    <row r="18" spans="2:31" ht="13.5" customHeight="1" x14ac:dyDescent="0.25">
      <c r="B18" s="79"/>
      <c r="C18" s="273"/>
      <c r="D18" s="274"/>
      <c r="E18" s="274"/>
      <c r="F18" s="274"/>
      <c r="G18" s="274"/>
      <c r="H18" s="274"/>
      <c r="I18" s="274"/>
      <c r="J18" s="274"/>
      <c r="K18" s="274"/>
      <c r="L18" s="275"/>
      <c r="M18" s="79"/>
      <c r="Q18" s="92"/>
      <c r="R18" s="92"/>
      <c r="S18" s="92"/>
      <c r="T18" s="92"/>
      <c r="U18" s="92"/>
      <c r="V18" s="92"/>
      <c r="W18" s="92"/>
    </row>
    <row r="19" spans="2:31" ht="13.5" customHeight="1" x14ac:dyDescent="0.25">
      <c r="B19" s="79"/>
      <c r="C19" s="273"/>
      <c r="D19" s="274"/>
      <c r="E19" s="274"/>
      <c r="F19" s="274"/>
      <c r="G19" s="274"/>
      <c r="H19" s="274"/>
      <c r="I19" s="274"/>
      <c r="J19" s="274"/>
      <c r="K19" s="274"/>
      <c r="L19" s="275"/>
      <c r="M19" s="79"/>
      <c r="Q19" s="92"/>
      <c r="R19" s="92"/>
      <c r="S19" s="92"/>
      <c r="T19" s="92"/>
      <c r="U19" s="92"/>
      <c r="V19" s="92"/>
      <c r="W19" s="92"/>
    </row>
    <row r="20" spans="2:31" ht="13.5" customHeight="1" x14ac:dyDescent="0.25">
      <c r="B20" s="79"/>
      <c r="C20" s="273"/>
      <c r="D20" s="274"/>
      <c r="E20" s="274"/>
      <c r="F20" s="274"/>
      <c r="G20" s="274"/>
      <c r="H20" s="274"/>
      <c r="I20" s="274"/>
      <c r="J20" s="274"/>
      <c r="K20" s="274"/>
      <c r="L20" s="275"/>
      <c r="M20" s="79"/>
      <c r="Q20" s="92"/>
      <c r="R20" s="92"/>
      <c r="S20" s="92"/>
      <c r="T20" s="92"/>
      <c r="U20" s="92"/>
      <c r="V20" s="92"/>
      <c r="W20" s="92"/>
    </row>
    <row r="21" spans="2:31" ht="13.5" customHeight="1" x14ac:dyDescent="0.25">
      <c r="B21" s="79"/>
      <c r="C21" s="273"/>
      <c r="D21" s="274"/>
      <c r="E21" s="274"/>
      <c r="F21" s="274"/>
      <c r="G21" s="274"/>
      <c r="H21" s="274"/>
      <c r="I21" s="274"/>
      <c r="J21" s="274"/>
      <c r="K21" s="274"/>
      <c r="L21" s="275"/>
      <c r="M21" s="79"/>
      <c r="Q21" s="92"/>
      <c r="R21" s="92"/>
      <c r="S21" s="92"/>
      <c r="T21" s="92"/>
      <c r="U21" s="92"/>
      <c r="V21" s="92"/>
      <c r="W21" s="92"/>
    </row>
    <row r="22" spans="2:31" ht="13.5" customHeight="1" x14ac:dyDescent="0.25">
      <c r="B22" s="79"/>
      <c r="C22" s="273"/>
      <c r="D22" s="274"/>
      <c r="E22" s="274"/>
      <c r="F22" s="274"/>
      <c r="G22" s="274"/>
      <c r="H22" s="274"/>
      <c r="I22" s="274"/>
      <c r="J22" s="274"/>
      <c r="K22" s="274"/>
      <c r="L22" s="275"/>
      <c r="M22" s="79"/>
      <c r="Q22" s="92"/>
      <c r="R22" s="92"/>
      <c r="S22" s="92"/>
      <c r="T22" s="92"/>
      <c r="U22" s="92"/>
      <c r="V22" s="92"/>
      <c r="W22" s="92"/>
    </row>
    <row r="23" spans="2:31" ht="13.5" customHeight="1" x14ac:dyDescent="0.25">
      <c r="B23" s="79"/>
      <c r="C23" s="273"/>
      <c r="D23" s="274"/>
      <c r="E23" s="274"/>
      <c r="F23" s="274"/>
      <c r="G23" s="274"/>
      <c r="H23" s="274"/>
      <c r="I23" s="274"/>
      <c r="J23" s="274"/>
      <c r="K23" s="274"/>
      <c r="L23" s="275"/>
      <c r="M23" s="79"/>
      <c r="Q23" s="92"/>
      <c r="R23" s="92"/>
      <c r="S23" s="92"/>
      <c r="T23" s="92"/>
      <c r="U23" s="92"/>
      <c r="V23" s="92"/>
      <c r="W23" s="92"/>
    </row>
    <row r="24" spans="2:31" ht="13.5" customHeight="1" x14ac:dyDescent="0.25">
      <c r="B24" s="79"/>
      <c r="C24" s="273"/>
      <c r="D24" s="274"/>
      <c r="E24" s="274"/>
      <c r="F24" s="274"/>
      <c r="G24" s="274"/>
      <c r="H24" s="274"/>
      <c r="I24" s="274"/>
      <c r="J24" s="274"/>
      <c r="K24" s="274"/>
      <c r="L24" s="275"/>
      <c r="M24" s="79"/>
      <c r="Q24" s="92"/>
      <c r="R24" s="92"/>
      <c r="S24" s="92"/>
      <c r="T24" s="92"/>
      <c r="U24" s="92"/>
      <c r="V24" s="92"/>
      <c r="W24" s="92"/>
    </row>
    <row r="25" spans="2:31" ht="13.5" customHeight="1" x14ac:dyDescent="0.25">
      <c r="B25" s="79"/>
      <c r="C25" s="273"/>
      <c r="D25" s="274"/>
      <c r="E25" s="274"/>
      <c r="F25" s="274"/>
      <c r="G25" s="274"/>
      <c r="H25" s="274"/>
      <c r="I25" s="274"/>
      <c r="J25" s="274"/>
      <c r="K25" s="274"/>
      <c r="L25" s="275"/>
      <c r="M25" s="79"/>
      <c r="Q25" s="92"/>
      <c r="R25" s="92"/>
      <c r="S25" s="92"/>
      <c r="T25" s="92"/>
      <c r="U25" s="92"/>
      <c r="V25" s="92"/>
      <c r="W25" s="92"/>
    </row>
    <row r="26" spans="2:31" ht="13.5" customHeight="1" x14ac:dyDescent="0.25">
      <c r="B26" s="79"/>
      <c r="C26" s="273"/>
      <c r="D26" s="274"/>
      <c r="E26" s="274"/>
      <c r="F26" s="274"/>
      <c r="G26" s="274"/>
      <c r="H26" s="274"/>
      <c r="I26" s="274"/>
      <c r="J26" s="274"/>
      <c r="K26" s="274"/>
      <c r="L26" s="275"/>
      <c r="M26" s="79"/>
      <c r="Q26" s="92"/>
      <c r="R26" s="92"/>
      <c r="S26" s="92"/>
      <c r="T26" s="92"/>
      <c r="U26" s="92"/>
      <c r="V26" s="92"/>
      <c r="W26" s="92"/>
    </row>
    <row r="27" spans="2:31" ht="13.5" customHeight="1" x14ac:dyDescent="0.25">
      <c r="B27" s="79"/>
      <c r="C27" s="276"/>
      <c r="D27" s="277"/>
      <c r="E27" s="277"/>
      <c r="F27" s="277"/>
      <c r="G27" s="277"/>
      <c r="H27" s="277"/>
      <c r="I27" s="277"/>
      <c r="J27" s="277"/>
      <c r="K27" s="277"/>
      <c r="L27" s="278"/>
      <c r="M27" s="79"/>
      <c r="Q27" s="92"/>
      <c r="R27" s="92"/>
      <c r="S27" s="92"/>
      <c r="T27" s="92"/>
      <c r="U27" s="92"/>
      <c r="V27" s="92"/>
      <c r="W27" s="92"/>
    </row>
    <row r="28" spans="2:31" ht="13.5" customHeight="1" x14ac:dyDescent="0.25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Q28" s="92"/>
      <c r="R28" s="92"/>
      <c r="S28" s="92"/>
      <c r="T28" s="92"/>
      <c r="U28" s="92"/>
      <c r="V28" s="92"/>
      <c r="W28" s="92"/>
    </row>
    <row r="29" spans="2:31" ht="15" customHeight="1" x14ac:dyDescent="0.25">
      <c r="B29" s="83"/>
      <c r="C29" s="83"/>
      <c r="D29" s="83"/>
      <c r="E29" s="83"/>
      <c r="F29" s="83"/>
      <c r="G29" s="83"/>
      <c r="H29" s="82"/>
      <c r="I29" s="82"/>
      <c r="J29" s="83"/>
      <c r="K29" s="83"/>
      <c r="L29" s="83"/>
      <c r="M29" s="83"/>
    </row>
    <row r="30" spans="2:31" ht="15" customHeight="1" x14ac:dyDescent="0.25"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T30" s="64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</row>
    <row r="31" spans="2:31" ht="15" customHeight="1" x14ac:dyDescent="0.25">
      <c r="B31" s="226" t="s">
        <v>390</v>
      </c>
      <c r="C31" s="226"/>
      <c r="D31" s="93"/>
      <c r="E31" s="93"/>
      <c r="F31" s="227" t="s">
        <v>385</v>
      </c>
      <c r="G31" s="227"/>
      <c r="H31" s="227"/>
      <c r="I31" s="227"/>
      <c r="J31" s="227"/>
      <c r="K31" s="93"/>
      <c r="L31" s="226" t="s">
        <v>391</v>
      </c>
      <c r="M31" s="226"/>
    </row>
    <row r="32" spans="2:31" ht="15" customHeight="1" x14ac:dyDescent="0.25">
      <c r="B32" s="269" t="s">
        <v>59</v>
      </c>
      <c r="C32" s="269"/>
      <c r="D32" s="83"/>
      <c r="E32" s="83"/>
      <c r="F32" s="269" t="s">
        <v>355</v>
      </c>
      <c r="G32" s="269"/>
      <c r="H32" s="269"/>
      <c r="I32" s="269"/>
      <c r="J32" s="269"/>
      <c r="K32" s="83"/>
      <c r="L32" s="269" t="s">
        <v>126</v>
      </c>
      <c r="M32" s="269"/>
    </row>
    <row r="33" spans="2:40" ht="15" customHeight="1" x14ac:dyDescent="0.25">
      <c r="B33" s="82"/>
      <c r="C33" s="84"/>
      <c r="D33" s="84"/>
      <c r="E33" s="84"/>
      <c r="F33" s="84"/>
      <c r="G33" s="82"/>
      <c r="H33" s="82"/>
      <c r="I33" s="84"/>
      <c r="J33" s="84"/>
      <c r="K33" s="84"/>
      <c r="L33" s="82"/>
      <c r="M33" s="82"/>
    </row>
    <row r="34" spans="2:40" x14ac:dyDescent="0.25">
      <c r="B34" s="83"/>
      <c r="C34" s="79"/>
      <c r="D34" s="79"/>
      <c r="E34" s="79"/>
      <c r="F34" s="15"/>
      <c r="G34" s="15"/>
      <c r="H34" s="15"/>
      <c r="I34" s="15"/>
      <c r="J34" s="15"/>
      <c r="K34" s="15"/>
      <c r="L34" s="15"/>
      <c r="M34" s="15"/>
    </row>
    <row r="35" spans="2:40" ht="15.75" customHeight="1" x14ac:dyDescent="0.25">
      <c r="B35" s="186" t="s">
        <v>381</v>
      </c>
      <c r="C35" s="186"/>
      <c r="D35" s="15"/>
      <c r="E35" s="15"/>
      <c r="F35" s="228"/>
      <c r="G35" s="228"/>
      <c r="H35" s="228"/>
      <c r="I35" s="228"/>
      <c r="J35" s="229"/>
      <c r="K35" s="229"/>
      <c r="L35" s="15"/>
      <c r="M35" s="94" t="s">
        <v>376</v>
      </c>
    </row>
    <row r="36" spans="2:40" ht="20.100000000000001" customHeight="1" x14ac:dyDescent="0.25"/>
    <row r="37" spans="2:40" x14ac:dyDescent="0.25"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N37" s="85"/>
    </row>
    <row r="38" spans="2:40" x14ac:dyDescent="0.25"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</row>
    <row r="39" spans="2:40" x14ac:dyDescent="0.25"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3"/>
      <c r="AC39" s="93"/>
      <c r="AD39" s="93"/>
    </row>
  </sheetData>
  <mergeCells count="18">
    <mergeCell ref="B32:C32"/>
    <mergeCell ref="F32:J32"/>
    <mergeCell ref="L32:M32"/>
    <mergeCell ref="B35:C35"/>
    <mergeCell ref="F35:I35"/>
    <mergeCell ref="J35:K35"/>
    <mergeCell ref="B7:C7"/>
    <mergeCell ref="C12:L12"/>
    <mergeCell ref="C13:L27"/>
    <mergeCell ref="B31:C31"/>
    <mergeCell ref="F31:J31"/>
    <mergeCell ref="L31:M31"/>
    <mergeCell ref="C6:I6"/>
    <mergeCell ref="B2:B3"/>
    <mergeCell ref="C2:K3"/>
    <mergeCell ref="L2:M3"/>
    <mergeCell ref="C4:E4"/>
    <mergeCell ref="F4:J4"/>
  </mergeCells>
  <pageMargins left="0.7" right="0.7" top="0.75" bottom="0.75" header="0.3" footer="0.3"/>
  <pageSetup paperSize="9" scale="78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10</xdr:col>
                    <xdr:colOff>632460</xdr:colOff>
                    <xdr:row>6</xdr:row>
                    <xdr:rowOff>7620</xdr:rowOff>
                  </from>
                  <to>
                    <xdr:col>10</xdr:col>
                    <xdr:colOff>822960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10</xdr:col>
                    <xdr:colOff>632460</xdr:colOff>
                    <xdr:row>7</xdr:row>
                    <xdr:rowOff>7620</xdr:rowOff>
                  </from>
                  <to>
                    <xdr:col>10</xdr:col>
                    <xdr:colOff>822960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10</xdr:col>
                    <xdr:colOff>632460</xdr:colOff>
                    <xdr:row>8</xdr:row>
                    <xdr:rowOff>7620</xdr:rowOff>
                  </from>
                  <to>
                    <xdr:col>10</xdr:col>
                    <xdr:colOff>822960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2"/>
  <dimension ref="A1:AB121"/>
  <sheetViews>
    <sheetView zoomScaleNormal="100" workbookViewId="0">
      <selection activeCell="B3" sqref="B3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86" t="s">
        <v>61</v>
      </c>
      <c r="B1" s="86"/>
      <c r="C1" s="86"/>
    </row>
    <row r="2" spans="1:3" x14ac:dyDescent="0.25">
      <c r="A2" s="5" t="s">
        <v>62</v>
      </c>
      <c r="B2" s="6" t="s">
        <v>63</v>
      </c>
      <c r="C2" s="6" t="s">
        <v>64</v>
      </c>
    </row>
    <row r="3" spans="1:3" x14ac:dyDescent="0.25">
      <c r="A3" s="7">
        <v>0</v>
      </c>
      <c r="B3" s="9" t="s">
        <v>65</v>
      </c>
      <c r="C3" s="9" t="s">
        <v>65</v>
      </c>
    </row>
    <row r="4" spans="1:3" x14ac:dyDescent="0.25">
      <c r="A4" s="7">
        <v>1</v>
      </c>
      <c r="B4" s="8" t="s">
        <v>211</v>
      </c>
      <c r="C4" s="8" t="s">
        <v>66</v>
      </c>
    </row>
    <row r="5" spans="1:3" x14ac:dyDescent="0.25">
      <c r="A5" s="7">
        <v>2</v>
      </c>
      <c r="B5" s="9" t="s">
        <v>212</v>
      </c>
      <c r="C5" s="8" t="s">
        <v>67</v>
      </c>
    </row>
    <row r="6" spans="1:3" x14ac:dyDescent="0.25">
      <c r="A6" s="7">
        <v>3</v>
      </c>
      <c r="B6" s="9" t="s">
        <v>213</v>
      </c>
      <c r="C6" s="8" t="s">
        <v>68</v>
      </c>
    </row>
    <row r="7" spans="1:3" x14ac:dyDescent="0.25">
      <c r="A7" s="7">
        <v>4</v>
      </c>
      <c r="B7" s="9" t="s">
        <v>214</v>
      </c>
      <c r="C7" s="8" t="s">
        <v>69</v>
      </c>
    </row>
    <row r="8" spans="1:3" x14ac:dyDescent="0.25">
      <c r="A8" s="7">
        <v>5</v>
      </c>
      <c r="B8" s="9" t="s">
        <v>215</v>
      </c>
      <c r="C8" s="8" t="s">
        <v>70</v>
      </c>
    </row>
    <row r="9" spans="1:3" x14ac:dyDescent="0.25">
      <c r="A9" s="7">
        <v>6</v>
      </c>
      <c r="B9" s="9" t="s">
        <v>216</v>
      </c>
      <c r="C9" s="8" t="s">
        <v>71</v>
      </c>
    </row>
    <row r="10" spans="1:3" x14ac:dyDescent="0.25">
      <c r="A10" s="7">
        <v>7</v>
      </c>
      <c r="B10" s="9" t="s">
        <v>217</v>
      </c>
      <c r="C10" s="8" t="s">
        <v>72</v>
      </c>
    </row>
    <row r="11" spans="1:3" x14ac:dyDescent="0.25">
      <c r="A11" s="7">
        <v>8</v>
      </c>
      <c r="B11" s="9" t="s">
        <v>218</v>
      </c>
      <c r="C11" s="8" t="s">
        <v>73</v>
      </c>
    </row>
    <row r="12" spans="1:3" x14ac:dyDescent="0.25">
      <c r="A12" s="7">
        <v>9</v>
      </c>
      <c r="B12" s="8" t="s">
        <v>219</v>
      </c>
      <c r="C12" s="8" t="s">
        <v>74</v>
      </c>
    </row>
    <row r="13" spans="1:3" x14ac:dyDescent="0.25">
      <c r="A13" s="7">
        <v>10</v>
      </c>
      <c r="B13" s="9" t="s">
        <v>220</v>
      </c>
      <c r="C13" s="8" t="s">
        <v>75</v>
      </c>
    </row>
    <row r="14" spans="1:3" x14ac:dyDescent="0.25">
      <c r="A14" s="7">
        <v>11</v>
      </c>
      <c r="B14" s="9" t="s">
        <v>221</v>
      </c>
      <c r="C14" s="8" t="s">
        <v>76</v>
      </c>
    </row>
    <row r="15" spans="1:3" x14ac:dyDescent="0.25">
      <c r="A15" s="7">
        <v>12</v>
      </c>
      <c r="B15" s="9" t="s">
        <v>222</v>
      </c>
      <c r="C15" s="8" t="s">
        <v>77</v>
      </c>
    </row>
    <row r="16" spans="1:3" x14ac:dyDescent="0.25">
      <c r="A16" s="7">
        <v>13</v>
      </c>
      <c r="B16" s="9" t="s">
        <v>223</v>
      </c>
      <c r="C16" s="8" t="s">
        <v>78</v>
      </c>
    </row>
    <row r="17" spans="1:3" x14ac:dyDescent="0.25">
      <c r="A17" s="7">
        <v>14</v>
      </c>
      <c r="B17" s="9" t="s">
        <v>224</v>
      </c>
      <c r="C17" s="8" t="s">
        <v>79</v>
      </c>
    </row>
    <row r="18" spans="1:3" x14ac:dyDescent="0.25">
      <c r="A18" s="7">
        <v>15</v>
      </c>
      <c r="B18" s="9" t="s">
        <v>225</v>
      </c>
      <c r="C18" s="8" t="s">
        <v>80</v>
      </c>
    </row>
    <row r="19" spans="1:3" x14ac:dyDescent="0.25">
      <c r="A19" s="7">
        <v>16</v>
      </c>
      <c r="B19" s="8" t="s">
        <v>226</v>
      </c>
      <c r="C19" s="8" t="s">
        <v>81</v>
      </c>
    </row>
    <row r="20" spans="1:3" x14ac:dyDescent="0.25">
      <c r="A20" s="7">
        <v>17</v>
      </c>
      <c r="B20" s="8" t="s">
        <v>227</v>
      </c>
      <c r="C20" s="8" t="s">
        <v>82</v>
      </c>
    </row>
    <row r="21" spans="1:3" x14ac:dyDescent="0.25">
      <c r="A21" s="7">
        <v>18</v>
      </c>
      <c r="B21" s="8" t="s">
        <v>228</v>
      </c>
      <c r="C21" s="8" t="s">
        <v>83</v>
      </c>
    </row>
    <row r="22" spans="1:3" x14ac:dyDescent="0.25">
      <c r="A22" s="7">
        <v>19</v>
      </c>
      <c r="B22" s="8" t="s">
        <v>229</v>
      </c>
      <c r="C22" s="8" t="s">
        <v>84</v>
      </c>
    </row>
    <row r="23" spans="1:3" x14ac:dyDescent="0.25">
      <c r="A23" s="7">
        <v>20</v>
      </c>
      <c r="B23" s="8" t="s">
        <v>230</v>
      </c>
      <c r="C23" s="8" t="s">
        <v>85</v>
      </c>
    </row>
    <row r="24" spans="1:3" x14ac:dyDescent="0.25">
      <c r="A24" s="7">
        <v>21</v>
      </c>
      <c r="B24" s="8" t="s">
        <v>231</v>
      </c>
      <c r="C24" s="8" t="s">
        <v>86</v>
      </c>
    </row>
    <row r="25" spans="1:3" x14ac:dyDescent="0.25">
      <c r="A25" s="7">
        <v>22</v>
      </c>
      <c r="B25" s="8" t="s">
        <v>232</v>
      </c>
      <c r="C25" s="8" t="s">
        <v>87</v>
      </c>
    </row>
    <row r="26" spans="1:3" x14ac:dyDescent="0.25">
      <c r="A26" s="7">
        <v>23</v>
      </c>
      <c r="B26" s="8" t="s">
        <v>233</v>
      </c>
      <c r="C26" s="8" t="s">
        <v>88</v>
      </c>
    </row>
    <row r="27" spans="1:3" x14ac:dyDescent="0.25">
      <c r="A27" s="7">
        <v>24</v>
      </c>
      <c r="B27" s="8" t="s">
        <v>234</v>
      </c>
      <c r="C27" s="8" t="s">
        <v>89</v>
      </c>
    </row>
    <row r="28" spans="1:3" x14ac:dyDescent="0.25">
      <c r="A28" s="7">
        <v>25</v>
      </c>
      <c r="B28" s="8" t="s">
        <v>235</v>
      </c>
      <c r="C28" s="8" t="s">
        <v>90</v>
      </c>
    </row>
    <row r="29" spans="1:3" x14ac:dyDescent="0.25">
      <c r="A29" s="7">
        <v>26</v>
      </c>
      <c r="B29" s="8" t="s">
        <v>236</v>
      </c>
      <c r="C29" s="8" t="s">
        <v>91</v>
      </c>
    </row>
    <row r="30" spans="1:3" x14ac:dyDescent="0.25">
      <c r="A30" s="7">
        <v>27</v>
      </c>
      <c r="B30" s="8" t="s">
        <v>237</v>
      </c>
      <c r="C30" s="8" t="s">
        <v>92</v>
      </c>
    </row>
    <row r="31" spans="1:3" x14ac:dyDescent="0.25">
      <c r="A31" s="7">
        <v>28</v>
      </c>
      <c r="B31" s="8" t="s">
        <v>238</v>
      </c>
      <c r="C31" s="8" t="s">
        <v>93</v>
      </c>
    </row>
    <row r="32" spans="1:3" x14ac:dyDescent="0.25">
      <c r="A32" s="7">
        <v>29</v>
      </c>
      <c r="B32" s="8" t="s">
        <v>239</v>
      </c>
      <c r="C32" s="8" t="s">
        <v>94</v>
      </c>
    </row>
    <row r="33" spans="1:3" x14ac:dyDescent="0.25">
      <c r="A33" s="7">
        <v>30</v>
      </c>
      <c r="B33" s="8" t="s">
        <v>240</v>
      </c>
      <c r="C33" s="8" t="s">
        <v>95</v>
      </c>
    </row>
    <row r="34" spans="1:3" x14ac:dyDescent="0.25">
      <c r="A34" s="7">
        <v>31</v>
      </c>
      <c r="B34" s="8" t="s">
        <v>241</v>
      </c>
      <c r="C34" s="8" t="s">
        <v>112</v>
      </c>
    </row>
    <row r="35" spans="1:3" x14ac:dyDescent="0.25">
      <c r="A35" s="7">
        <v>32</v>
      </c>
      <c r="B35" s="8" t="s">
        <v>242</v>
      </c>
      <c r="C35" s="8" t="s">
        <v>96</v>
      </c>
    </row>
    <row r="36" spans="1:3" x14ac:dyDescent="0.25">
      <c r="A36" s="7">
        <v>33</v>
      </c>
      <c r="B36" s="8" t="s">
        <v>243</v>
      </c>
      <c r="C36" s="8" t="s">
        <v>97</v>
      </c>
    </row>
    <row r="37" spans="1:3" x14ac:dyDescent="0.25">
      <c r="A37" s="7">
        <v>34</v>
      </c>
      <c r="B37" s="8" t="s">
        <v>244</v>
      </c>
      <c r="C37" s="8" t="s">
        <v>98</v>
      </c>
    </row>
    <row r="38" spans="1:3" x14ac:dyDescent="0.25">
      <c r="A38" s="7">
        <v>35</v>
      </c>
      <c r="B38" s="8" t="s">
        <v>245</v>
      </c>
      <c r="C38" s="8" t="s">
        <v>99</v>
      </c>
    </row>
    <row r="39" spans="1:3" x14ac:dyDescent="0.25">
      <c r="A39" s="7">
        <v>36</v>
      </c>
      <c r="B39" s="8" t="s">
        <v>246</v>
      </c>
      <c r="C39" s="8" t="s">
        <v>100</v>
      </c>
    </row>
    <row r="40" spans="1:3" x14ac:dyDescent="0.25">
      <c r="A40" s="7">
        <v>37</v>
      </c>
      <c r="B40" s="8" t="s">
        <v>247</v>
      </c>
      <c r="C40" s="8" t="s">
        <v>101</v>
      </c>
    </row>
    <row r="41" spans="1:3" x14ac:dyDescent="0.25">
      <c r="A41" s="7">
        <v>38</v>
      </c>
      <c r="B41" s="8" t="s">
        <v>248</v>
      </c>
      <c r="C41" s="8" t="s">
        <v>102</v>
      </c>
    </row>
    <row r="42" spans="1:3" x14ac:dyDescent="0.25">
      <c r="A42" s="7">
        <v>39</v>
      </c>
      <c r="B42" s="8" t="s">
        <v>249</v>
      </c>
      <c r="C42" s="8" t="s">
        <v>103</v>
      </c>
    </row>
    <row r="43" spans="1:3" x14ac:dyDescent="0.25">
      <c r="A43" s="7">
        <v>40</v>
      </c>
      <c r="B43" s="8" t="s">
        <v>250</v>
      </c>
      <c r="C43" s="8" t="s">
        <v>104</v>
      </c>
    </row>
    <row r="44" spans="1:3" x14ac:dyDescent="0.25">
      <c r="A44" s="7">
        <v>41</v>
      </c>
      <c r="B44" s="8" t="s">
        <v>251</v>
      </c>
      <c r="C44" s="8" t="s">
        <v>105</v>
      </c>
    </row>
    <row r="45" spans="1:3" x14ac:dyDescent="0.25">
      <c r="A45" s="7">
        <v>42</v>
      </c>
      <c r="B45" s="8" t="s">
        <v>252</v>
      </c>
      <c r="C45" s="8" t="s">
        <v>106</v>
      </c>
    </row>
    <row r="46" spans="1:3" x14ac:dyDescent="0.25">
      <c r="A46" s="7">
        <v>43</v>
      </c>
      <c r="B46" s="8" t="s">
        <v>253</v>
      </c>
      <c r="C46" s="8" t="s">
        <v>107</v>
      </c>
    </row>
    <row r="47" spans="1:3" x14ac:dyDescent="0.25">
      <c r="A47" s="7">
        <v>44</v>
      </c>
      <c r="B47" s="8" t="s">
        <v>254</v>
      </c>
      <c r="C47" s="8" t="s">
        <v>108</v>
      </c>
    </row>
    <row r="48" spans="1:3" x14ac:dyDescent="0.25">
      <c r="A48" s="7">
        <v>45</v>
      </c>
      <c r="B48" s="8" t="s">
        <v>255</v>
      </c>
      <c r="C48" s="8" t="s">
        <v>109</v>
      </c>
    </row>
    <row r="49" spans="1:28" x14ac:dyDescent="0.25">
      <c r="A49" s="7">
        <v>46</v>
      </c>
      <c r="B49" s="8" t="s">
        <v>256</v>
      </c>
      <c r="C49" s="8" t="s">
        <v>110</v>
      </c>
    </row>
    <row r="50" spans="1:28" x14ac:dyDescent="0.25">
      <c r="A50" s="7">
        <v>47</v>
      </c>
      <c r="B50" s="8" t="s">
        <v>257</v>
      </c>
      <c r="C50" s="8" t="s">
        <v>111</v>
      </c>
    </row>
    <row r="51" spans="1:28" x14ac:dyDescent="0.25">
      <c r="A51" s="7">
        <v>48</v>
      </c>
      <c r="B51" s="8" t="s">
        <v>241</v>
      </c>
      <c r="C51" s="8" t="s">
        <v>112</v>
      </c>
    </row>
    <row r="52" spans="1:28" x14ac:dyDescent="0.25">
      <c r="A52" s="7">
        <v>49</v>
      </c>
      <c r="B52" s="8" t="s">
        <v>258</v>
      </c>
      <c r="C52" s="8" t="s">
        <v>113</v>
      </c>
    </row>
    <row r="53" spans="1:28" x14ac:dyDescent="0.25">
      <c r="A53" s="7">
        <v>50</v>
      </c>
      <c r="B53" s="8" t="s">
        <v>114</v>
      </c>
      <c r="C53" s="8" t="s">
        <v>115</v>
      </c>
    </row>
    <row r="54" spans="1:28" x14ac:dyDescent="0.25">
      <c r="A54" s="7">
        <v>51</v>
      </c>
      <c r="B54" s="8" t="s">
        <v>116</v>
      </c>
      <c r="C54" s="8" t="s">
        <v>117</v>
      </c>
    </row>
    <row r="55" spans="1:28" x14ac:dyDescent="0.25">
      <c r="A55" s="7">
        <v>52</v>
      </c>
      <c r="B55" s="8" t="s">
        <v>118</v>
      </c>
      <c r="C55" s="8" t="s">
        <v>119</v>
      </c>
    </row>
    <row r="56" spans="1:28" x14ac:dyDescent="0.25">
      <c r="A56" s="7">
        <v>53</v>
      </c>
      <c r="B56" s="87" t="s">
        <v>259</v>
      </c>
      <c r="C56" s="8" t="s">
        <v>120</v>
      </c>
    </row>
    <row r="57" spans="1:28" x14ac:dyDescent="0.25">
      <c r="A57" s="7">
        <v>54</v>
      </c>
      <c r="B57" s="8" t="s">
        <v>260</v>
      </c>
      <c r="C57" s="8"/>
    </row>
    <row r="58" spans="1:28" x14ac:dyDescent="0.25">
      <c r="A58" s="7">
        <v>55</v>
      </c>
      <c r="B58" s="8" t="s">
        <v>121</v>
      </c>
      <c r="C58" s="8" t="s">
        <v>46</v>
      </c>
    </row>
    <row r="59" spans="1:28" x14ac:dyDescent="0.25">
      <c r="A59" s="7">
        <v>56</v>
      </c>
      <c r="B59" s="8" t="s">
        <v>122</v>
      </c>
      <c r="C59" s="8" t="s">
        <v>123</v>
      </c>
    </row>
    <row r="60" spans="1:28" x14ac:dyDescent="0.25">
      <c r="A60" s="7">
        <v>57</v>
      </c>
      <c r="B60" s="8" t="s">
        <v>261</v>
      </c>
      <c r="C60" s="8" t="s">
        <v>129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x14ac:dyDescent="0.25">
      <c r="A61" s="7">
        <v>58</v>
      </c>
      <c r="B61" s="8" t="s">
        <v>262</v>
      </c>
      <c r="C61" s="8" t="s">
        <v>130</v>
      </c>
    </row>
    <row r="62" spans="1:28" x14ac:dyDescent="0.25">
      <c r="A62" s="7">
        <v>59</v>
      </c>
      <c r="B62" s="8" t="s">
        <v>263</v>
      </c>
      <c r="C62" s="8" t="s">
        <v>131</v>
      </c>
    </row>
    <row r="63" spans="1:28" x14ac:dyDescent="0.25">
      <c r="A63" s="7">
        <v>60</v>
      </c>
      <c r="B63" s="8" t="s">
        <v>264</v>
      </c>
      <c r="C63" s="8" t="s">
        <v>132</v>
      </c>
    </row>
    <row r="64" spans="1:28" x14ac:dyDescent="0.25">
      <c r="A64" s="7">
        <v>61</v>
      </c>
      <c r="B64" s="8" t="s">
        <v>265</v>
      </c>
      <c r="C64" s="9" t="s">
        <v>151</v>
      </c>
    </row>
    <row r="65" spans="1:3" x14ac:dyDescent="0.25">
      <c r="A65" s="7">
        <v>62</v>
      </c>
      <c r="B65" s="87" t="s">
        <v>153</v>
      </c>
      <c r="C65" s="87" t="s">
        <v>152</v>
      </c>
    </row>
    <row r="66" spans="1:3" x14ac:dyDescent="0.25">
      <c r="A66" s="7">
        <v>63</v>
      </c>
      <c r="B66" s="87" t="s">
        <v>266</v>
      </c>
      <c r="C66" s="88" t="s">
        <v>154</v>
      </c>
    </row>
    <row r="67" spans="1:3" x14ac:dyDescent="0.25">
      <c r="A67" s="7">
        <v>64</v>
      </c>
      <c r="B67" s="8" t="s">
        <v>267</v>
      </c>
      <c r="C67" s="8" t="s">
        <v>155</v>
      </c>
    </row>
    <row r="68" spans="1:3" x14ac:dyDescent="0.25">
      <c r="A68" s="7">
        <v>65</v>
      </c>
      <c r="B68" s="8" t="s">
        <v>158</v>
      </c>
      <c r="C68" s="9" t="s">
        <v>156</v>
      </c>
    </row>
    <row r="69" spans="1:3" x14ac:dyDescent="0.25">
      <c r="A69" s="10">
        <v>66</v>
      </c>
      <c r="B69" s="87" t="s">
        <v>157</v>
      </c>
      <c r="C69" s="8" t="s">
        <v>162</v>
      </c>
    </row>
    <row r="70" spans="1:3" x14ac:dyDescent="0.25">
      <c r="A70" s="7">
        <v>67</v>
      </c>
      <c r="B70" s="8" t="s">
        <v>159</v>
      </c>
      <c r="C70" s="8" t="s">
        <v>161</v>
      </c>
    </row>
    <row r="71" spans="1:3" x14ac:dyDescent="0.25">
      <c r="A71" s="7">
        <v>68</v>
      </c>
      <c r="B71" s="8" t="s">
        <v>268</v>
      </c>
      <c r="C71" s="8" t="s">
        <v>160</v>
      </c>
    </row>
    <row r="72" spans="1:3" x14ac:dyDescent="0.25">
      <c r="A72" s="7">
        <v>69</v>
      </c>
      <c r="B72" s="8" t="s">
        <v>196</v>
      </c>
      <c r="C72" s="8" t="s">
        <v>197</v>
      </c>
    </row>
    <row r="73" spans="1:3" x14ac:dyDescent="0.25">
      <c r="A73" s="7">
        <v>70</v>
      </c>
      <c r="B73" s="9" t="s">
        <v>269</v>
      </c>
      <c r="C73" s="9" t="s">
        <v>198</v>
      </c>
    </row>
    <row r="74" spans="1:3" x14ac:dyDescent="0.25">
      <c r="A74" s="7">
        <v>71</v>
      </c>
      <c r="B74" s="9" t="s">
        <v>199</v>
      </c>
      <c r="C74" s="9" t="s">
        <v>200</v>
      </c>
    </row>
    <row r="75" spans="1:3" x14ac:dyDescent="0.25">
      <c r="A75" s="10">
        <v>72</v>
      </c>
      <c r="B75" s="8" t="s">
        <v>201</v>
      </c>
      <c r="C75" s="9" t="s">
        <v>202</v>
      </c>
    </row>
    <row r="76" spans="1:3" x14ac:dyDescent="0.25">
      <c r="A76" s="10">
        <v>73</v>
      </c>
      <c r="B76" s="8" t="s">
        <v>203</v>
      </c>
      <c r="C76" s="9" t="s">
        <v>204</v>
      </c>
    </row>
    <row r="77" spans="1:3" x14ac:dyDescent="0.25">
      <c r="A77" s="7">
        <v>74</v>
      </c>
      <c r="B77" s="8" t="s">
        <v>205</v>
      </c>
      <c r="C77" s="9" t="s">
        <v>206</v>
      </c>
    </row>
    <row r="78" spans="1:3" x14ac:dyDescent="0.25">
      <c r="A78" s="10">
        <v>75</v>
      </c>
      <c r="B78" s="87" t="s">
        <v>207</v>
      </c>
      <c r="C78" s="88" t="s">
        <v>208</v>
      </c>
    </row>
    <row r="79" spans="1:3" x14ac:dyDescent="0.25">
      <c r="A79" s="10">
        <v>76</v>
      </c>
      <c r="B79" t="s">
        <v>270</v>
      </c>
      <c r="C79" t="s">
        <v>271</v>
      </c>
    </row>
    <row r="80" spans="1:3" x14ac:dyDescent="0.25">
      <c r="A80" s="10">
        <v>77</v>
      </c>
      <c r="B80" t="s">
        <v>272</v>
      </c>
      <c r="C80" t="s">
        <v>273</v>
      </c>
    </row>
    <row r="81" spans="1:3" x14ac:dyDescent="0.25">
      <c r="A81" s="10">
        <v>78</v>
      </c>
      <c r="B81" t="s">
        <v>274</v>
      </c>
      <c r="C81" t="s">
        <v>275</v>
      </c>
    </row>
    <row r="82" spans="1:3" x14ac:dyDescent="0.25">
      <c r="A82" s="10">
        <v>79</v>
      </c>
      <c r="B82" t="s">
        <v>276</v>
      </c>
      <c r="C82" t="s">
        <v>277</v>
      </c>
    </row>
    <row r="83" spans="1:3" x14ac:dyDescent="0.25">
      <c r="A83" s="10">
        <v>80</v>
      </c>
      <c r="B83" t="s">
        <v>278</v>
      </c>
      <c r="C83" t="s">
        <v>279</v>
      </c>
    </row>
    <row r="84" spans="1:3" x14ac:dyDescent="0.25">
      <c r="A84" s="10">
        <v>81</v>
      </c>
      <c r="B84" t="s">
        <v>283</v>
      </c>
      <c r="C84" t="s">
        <v>284</v>
      </c>
    </row>
    <row r="85" spans="1:3" x14ac:dyDescent="0.25">
      <c r="A85" s="10">
        <v>82</v>
      </c>
      <c r="B85" s="8" t="s">
        <v>285</v>
      </c>
      <c r="C85" s="8" t="s">
        <v>286</v>
      </c>
    </row>
    <row r="86" spans="1:3" x14ac:dyDescent="0.25">
      <c r="A86" s="10">
        <v>83</v>
      </c>
      <c r="B86" t="s">
        <v>287</v>
      </c>
      <c r="C86" t="s">
        <v>288</v>
      </c>
    </row>
    <row r="87" spans="1:3" x14ac:dyDescent="0.25">
      <c r="A87" s="10">
        <v>84</v>
      </c>
      <c r="B87" t="s">
        <v>289</v>
      </c>
      <c r="C87" s="12" t="s">
        <v>290</v>
      </c>
    </row>
    <row r="88" spans="1:3" x14ac:dyDescent="0.25">
      <c r="A88" s="10">
        <v>85</v>
      </c>
      <c r="B88" t="s">
        <v>291</v>
      </c>
      <c r="C88" s="12" t="s">
        <v>292</v>
      </c>
    </row>
    <row r="89" spans="1:3" x14ac:dyDescent="0.25">
      <c r="A89" s="10">
        <v>86</v>
      </c>
      <c r="B89" t="s">
        <v>293</v>
      </c>
      <c r="C89" s="12" t="s">
        <v>294</v>
      </c>
    </row>
    <row r="90" spans="1:3" x14ac:dyDescent="0.25">
      <c r="A90" s="10">
        <v>87</v>
      </c>
      <c r="B90" t="s">
        <v>295</v>
      </c>
      <c r="C90" s="12" t="s">
        <v>131</v>
      </c>
    </row>
    <row r="91" spans="1:3" x14ac:dyDescent="0.25">
      <c r="A91" s="10">
        <v>88</v>
      </c>
      <c r="B91" t="s">
        <v>296</v>
      </c>
      <c r="C91" s="12" t="s">
        <v>297</v>
      </c>
    </row>
    <row r="92" spans="1:3" x14ac:dyDescent="0.25">
      <c r="A92" s="10">
        <v>89</v>
      </c>
      <c r="B92" t="s">
        <v>298</v>
      </c>
      <c r="C92" s="12" t="s">
        <v>299</v>
      </c>
    </row>
    <row r="93" spans="1:3" x14ac:dyDescent="0.25">
      <c r="A93" s="10">
        <v>90</v>
      </c>
      <c r="B93" t="s">
        <v>300</v>
      </c>
      <c r="C93" t="s">
        <v>301</v>
      </c>
    </row>
    <row r="94" spans="1:3" x14ac:dyDescent="0.25">
      <c r="A94" s="10">
        <v>91</v>
      </c>
      <c r="B94" s="12" t="s">
        <v>302</v>
      </c>
      <c r="C94" s="12" t="s">
        <v>303</v>
      </c>
    </row>
    <row r="95" spans="1:3" x14ac:dyDescent="0.25">
      <c r="A95" s="10">
        <v>92</v>
      </c>
      <c r="B95" s="12" t="s">
        <v>304</v>
      </c>
      <c r="C95" s="12" t="s">
        <v>305</v>
      </c>
    </row>
    <row r="96" spans="1:3" x14ac:dyDescent="0.25">
      <c r="A96" s="10">
        <v>93</v>
      </c>
      <c r="B96" t="s">
        <v>306</v>
      </c>
      <c r="C96" t="s">
        <v>307</v>
      </c>
    </row>
    <row r="97" spans="1:3" x14ac:dyDescent="0.25">
      <c r="A97" s="10">
        <v>94</v>
      </c>
      <c r="B97" t="s">
        <v>308</v>
      </c>
      <c r="C97" t="s">
        <v>309</v>
      </c>
    </row>
    <row r="98" spans="1:3" x14ac:dyDescent="0.25">
      <c r="A98" s="10">
        <v>95</v>
      </c>
      <c r="B98" t="s">
        <v>315</v>
      </c>
      <c r="C98" t="s">
        <v>316</v>
      </c>
    </row>
    <row r="99" spans="1:3" x14ac:dyDescent="0.25">
      <c r="A99" s="10">
        <v>96</v>
      </c>
      <c r="B99" t="s">
        <v>317</v>
      </c>
      <c r="C99" t="s">
        <v>318</v>
      </c>
    </row>
    <row r="100" spans="1:3" x14ac:dyDescent="0.25">
      <c r="A100" s="10">
        <v>97</v>
      </c>
      <c r="B100" t="s">
        <v>319</v>
      </c>
      <c r="C100" t="s">
        <v>320</v>
      </c>
    </row>
    <row r="101" spans="1:3" x14ac:dyDescent="0.25">
      <c r="A101" s="10">
        <v>98</v>
      </c>
      <c r="B101" t="s">
        <v>321</v>
      </c>
      <c r="C101" t="s">
        <v>322</v>
      </c>
    </row>
    <row r="102" spans="1:3" x14ac:dyDescent="0.25">
      <c r="A102" s="10">
        <v>99</v>
      </c>
      <c r="B102" t="s">
        <v>323</v>
      </c>
      <c r="C102" t="s">
        <v>324</v>
      </c>
    </row>
    <row r="103" spans="1:3" x14ac:dyDescent="0.25">
      <c r="A103" s="10">
        <v>100</v>
      </c>
      <c r="B103" t="s">
        <v>325</v>
      </c>
      <c r="C103" t="s">
        <v>326</v>
      </c>
    </row>
    <row r="104" spans="1:3" x14ac:dyDescent="0.25">
      <c r="A104" s="10">
        <v>101</v>
      </c>
      <c r="B104" t="s">
        <v>327</v>
      </c>
      <c r="C104" t="s">
        <v>328</v>
      </c>
    </row>
    <row r="105" spans="1:3" x14ac:dyDescent="0.25">
      <c r="A105" s="10">
        <v>102</v>
      </c>
      <c r="B105" t="s">
        <v>329</v>
      </c>
      <c r="C105" t="s">
        <v>330</v>
      </c>
    </row>
    <row r="106" spans="1:3" x14ac:dyDescent="0.25">
      <c r="A106" s="10">
        <v>103</v>
      </c>
      <c r="B106" t="s">
        <v>331</v>
      </c>
      <c r="C106" t="s">
        <v>332</v>
      </c>
    </row>
    <row r="107" spans="1:3" x14ac:dyDescent="0.25">
      <c r="A107" s="10">
        <v>104</v>
      </c>
      <c r="B107" t="s">
        <v>333</v>
      </c>
      <c r="C107" t="s">
        <v>334</v>
      </c>
    </row>
    <row r="108" spans="1:3" x14ac:dyDescent="0.25">
      <c r="A108" s="10">
        <v>105</v>
      </c>
      <c r="B108" t="s">
        <v>335</v>
      </c>
      <c r="C108" t="s">
        <v>336</v>
      </c>
    </row>
    <row r="109" spans="1:3" x14ac:dyDescent="0.25">
      <c r="A109" s="10">
        <v>106</v>
      </c>
      <c r="B109" t="s">
        <v>337</v>
      </c>
      <c r="C109" t="s">
        <v>338</v>
      </c>
    </row>
    <row r="110" spans="1:3" x14ac:dyDescent="0.25">
      <c r="A110" s="10">
        <v>107</v>
      </c>
      <c r="B110" t="s">
        <v>339</v>
      </c>
      <c r="C110" t="s">
        <v>340</v>
      </c>
    </row>
    <row r="111" spans="1:3" x14ac:dyDescent="0.25">
      <c r="A111" s="10">
        <v>108</v>
      </c>
      <c r="B111" t="s">
        <v>341</v>
      </c>
      <c r="C111" t="s">
        <v>342</v>
      </c>
    </row>
    <row r="112" spans="1:3" x14ac:dyDescent="0.25">
      <c r="A112" s="10">
        <v>109</v>
      </c>
      <c r="B112" t="s">
        <v>343</v>
      </c>
      <c r="C112" t="s">
        <v>344</v>
      </c>
    </row>
    <row r="113" spans="1:3" x14ac:dyDescent="0.25">
      <c r="A113" s="10">
        <v>110</v>
      </c>
      <c r="B113" t="s">
        <v>345</v>
      </c>
      <c r="C113" t="s">
        <v>346</v>
      </c>
    </row>
    <row r="114" spans="1:3" x14ac:dyDescent="0.25">
      <c r="A114" s="10">
        <v>111</v>
      </c>
      <c r="B114" t="s">
        <v>347</v>
      </c>
      <c r="C114" t="s">
        <v>348</v>
      </c>
    </row>
    <row r="115" spans="1:3" x14ac:dyDescent="0.25">
      <c r="A115" s="10">
        <v>112</v>
      </c>
      <c r="B115" t="s">
        <v>349</v>
      </c>
      <c r="C115" t="s">
        <v>350</v>
      </c>
    </row>
    <row r="116" spans="1:3" x14ac:dyDescent="0.25">
      <c r="A116" s="10">
        <v>113</v>
      </c>
      <c r="B116" t="s">
        <v>351</v>
      </c>
      <c r="C116" t="s">
        <v>352</v>
      </c>
    </row>
    <row r="117" spans="1:3" x14ac:dyDescent="0.25">
      <c r="A117" s="10">
        <v>114</v>
      </c>
      <c r="B117" t="s">
        <v>353</v>
      </c>
      <c r="C117" t="s">
        <v>354</v>
      </c>
    </row>
    <row r="118" spans="1:3" x14ac:dyDescent="0.25">
      <c r="A118" s="10">
        <v>115</v>
      </c>
      <c r="B118" t="s">
        <v>362</v>
      </c>
      <c r="C118" t="s">
        <v>363</v>
      </c>
    </row>
    <row r="119" spans="1:3" x14ac:dyDescent="0.25">
      <c r="A119" s="10">
        <v>116</v>
      </c>
      <c r="B119" t="s">
        <v>364</v>
      </c>
      <c r="C119" t="s">
        <v>365</v>
      </c>
    </row>
    <row r="120" spans="1:3" x14ac:dyDescent="0.25">
      <c r="A120" s="10">
        <v>117</v>
      </c>
      <c r="B120" t="s">
        <v>366</v>
      </c>
      <c r="C120" t="s">
        <v>367</v>
      </c>
    </row>
    <row r="121" spans="1:3" x14ac:dyDescent="0.25">
      <c r="A121" s="10">
        <v>118</v>
      </c>
      <c r="B121" t="s">
        <v>368</v>
      </c>
      <c r="C121" t="s">
        <v>369</v>
      </c>
    </row>
  </sheetData>
  <autoFilter ref="A2:C121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124</v>
      </c>
    </row>
    <row r="8" spans="1:4" x14ac:dyDescent="0.25">
      <c r="A8" s="1" t="s">
        <v>25</v>
      </c>
      <c r="B8" t="s">
        <v>125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DATOS</vt:lpstr>
      <vt:lpstr>REFLEXION</vt:lpstr>
      <vt:lpstr>ACCESORIOS</vt:lpstr>
      <vt:lpstr>BN</vt:lpstr>
      <vt:lpstr>SERIGRAFIA</vt:lpstr>
      <vt:lpstr>PC</vt:lpstr>
      <vt:lpstr>STICKER ADUANA</vt:lpstr>
      <vt:lpstr>Lista Defeitos</vt:lpstr>
      <vt:lpstr>VARIABLES</vt:lpstr>
      <vt:lpstr>POSICIONES</vt:lpstr>
      <vt:lpstr>parametros</vt:lpstr>
      <vt:lpstr>ACCESORIOS!Área_de_impresión</vt:lpstr>
      <vt:lpstr>BN!Área_de_impresión</vt:lpstr>
      <vt:lpstr>DATOS!Área_de_impresión</vt:lpstr>
      <vt:lpstr>PC!Área_de_impresión</vt:lpstr>
      <vt:lpstr>REFLEXION!Área_de_impresión</vt:lpstr>
      <vt:lpstr>SERIGRAFIA!Área_de_impresión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2020-10-20T14:39:51Z</cp:lastPrinted>
  <dcterms:created xsi:type="dcterms:W3CDTF">2003-06-21T14:33:30Z</dcterms:created>
  <dcterms:modified xsi:type="dcterms:W3CDTF">2023-06-14T21:48:28Z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