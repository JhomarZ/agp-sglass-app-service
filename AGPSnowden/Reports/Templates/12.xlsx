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drawings/drawing4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drawings/drawing6.xml" ContentType="application/vnd.openxmlformats-officedocument.drawing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7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drawings/drawing8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pglass-my.sharepoint.com/personal/ltovar_agpglass_com/Documents/Lina Tovar/calidad/Gordon/plantillas x5/"/>
    </mc:Choice>
  </mc:AlternateContent>
  <xr:revisionPtr revIDLastSave="8" documentId="13_ncr:1_{814F2A18-DA1B-4B1F-83A2-429FB1DF9DA0}" xr6:coauthVersionLast="47" xr6:coauthVersionMax="47" xr10:uidLastSave="{FD9BDD8E-BA8B-4206-9854-3440B97C29B8}"/>
  <bookViews>
    <workbookView xWindow="20370" yWindow="-120" windowWidth="20730" windowHeight="11160" firstSheet="1" activeTab="7" xr2:uid="{00000000-000D-0000-FFFF-FFFF00000000}"/>
  </bookViews>
  <sheets>
    <sheet name="DATOS" sheetId="14" r:id="rId1"/>
    <sheet name="REFLEXION" sheetId="20" r:id="rId2"/>
    <sheet name="ACCESORIOS" sheetId="16" r:id="rId3"/>
    <sheet name="BN" sheetId="17" r:id="rId4"/>
    <sheet name="SERIGRAFIA" sheetId="18" r:id="rId5"/>
    <sheet name="PC" sheetId="19" r:id="rId6"/>
    <sheet name="STICKER ADUANA" sheetId="21" r:id="rId7"/>
    <sheet name="Lista Defeitos" sheetId="10" r:id="rId8"/>
    <sheet name="VARIABLES" sheetId="5" state="hidden" r:id="rId9"/>
    <sheet name="POSICIONES" sheetId="6" state="hidden" r:id="rId10"/>
    <sheet name="parametros" sheetId="3" state="hidden" r:id="rId11"/>
  </sheets>
  <definedNames>
    <definedName name="_xlnm._FilterDatabase" localSheetId="7" hidden="1">'Lista Defeitos'!$A$2:$C$121</definedName>
    <definedName name="_xlnm.Print_Area" localSheetId="2">ACCESORIOS!$A$1:$P$53</definedName>
    <definedName name="_xlnm.Print_Area" localSheetId="3">BN!$A$1:$P$53</definedName>
    <definedName name="_xlnm.Print_Area" localSheetId="0">DATOS!$A$1:$AW$87</definedName>
    <definedName name="_xlnm.Print_Area" localSheetId="5">PC!$A$1:$N$53</definedName>
    <definedName name="_xlnm.Print_Area" localSheetId="1">REFLEXION!$A$1:$J$67</definedName>
    <definedName name="_xlnm.Print_Area" localSheetId="4">SERIGRAFIA!$A$1:$P$53</definedName>
    <definedName name="_xlnm.Print_Area" localSheetId="6">'STICKER ADUANA'!$A$1:$N$36</definedName>
    <definedName name="G">#REF!</definedName>
    <definedName name="H">#REF!</definedName>
    <definedName name="HOLA">POSICIONES!$C$10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21" l="1"/>
  <c r="M4" i="19"/>
  <c r="M4" i="18"/>
  <c r="M4" i="17"/>
  <c r="M4" i="16"/>
  <c r="C5" i="21"/>
  <c r="C5" i="19"/>
  <c r="C5" i="18"/>
  <c r="C5" i="17"/>
  <c r="C5" i="16"/>
  <c r="C4" i="16"/>
  <c r="C4" i="17" s="1"/>
  <c r="C4" i="18" s="1"/>
  <c r="C4" i="19" s="1"/>
  <c r="C4" i="21" s="1"/>
  <c r="D6" i="20"/>
  <c r="K50" i="14"/>
  <c r="K51" i="14"/>
  <c r="K52" i="14"/>
  <c r="K53" i="14"/>
  <c r="K54" i="14"/>
  <c r="K55" i="14"/>
  <c r="K56" i="14"/>
  <c r="K57" i="14"/>
  <c r="K58" i="14"/>
  <c r="K59" i="14"/>
  <c r="K60" i="14"/>
  <c r="K49" i="14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tc={DE39E536-12DD-4B5A-8375-A7BAD652343C}</author>
    <author>tc={2231A1AE-FD44-4643-B880-A8AA939A8DF5}</author>
    <author>tc={3FA02018-4A5D-4444-948E-40783DBD107F}</author>
    <author>tc={EC9EEB92-BCA6-4448-BB0C-09291550A05C}</author>
    <author>tc={AEAF0D3D-3A8C-4F9A-8A1D-E020A1F7253C}</author>
    <author>tc={9CE0F428-8FF8-496C-BA33-4034FE64C5B8}</author>
    <author>tc={48466483-5136-4CDE-9BFA-4C14AE4C51DA}</author>
    <author>tc={BC53D3EA-85D9-496A-9EA7-11F3CAAB6797}</author>
  </authors>
  <commentList>
    <comment ref="E7" authorId="0" shapeId="0" xr:uid="{DE39E536-12DD-4B5A-8375-A7BAD65234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7" authorId="1" shapeId="0" xr:uid="{2231A1AE-FD44-4643-B880-A8AA939A8D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7" authorId="2" shapeId="0" xr:uid="{3FA02018-4A5D-4444-948E-40783DBD10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8" authorId="3" shapeId="0" xr:uid="{EC9EEB92-BCA6-4448-BB0C-09291550A0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E8" authorId="4" shapeId="0" xr:uid="{AEAF0D3D-3A8C-4F9A-8A1D-E020A1F725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8" authorId="5" shapeId="0" xr:uid="{9CE0F428-8FF8-496C-BA33-4034FE64C5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E9" authorId="6" shapeId="0" xr:uid="{48466483-5136-4CDE-9BFA-4C14AE4C51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SAP</t>
      </text>
    </comment>
    <comment ref="AR9" authorId="7" shapeId="0" xr:uid="{BC53D3EA-85D9-496A-9EA7-11F3CAAB679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Traer de GORDON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Daniela Lagos</author>
  </authors>
  <commentList>
    <comment ref="C1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A - banda negra externa A (LES) - INSPECCIÓN DIMENSIONAL
B - banda negra externa B (LES) - INSPECCIÓN DIMENSIONAL
C - banda negra externa C (LES) - INSPECCIÓN DIMENSIONAL</t>
        </r>
      </text>
    </comment>
    <comment ref="C3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Laura Daniela Lagos:</t>
        </r>
        <r>
          <rPr>
            <sz val="9"/>
            <color indexed="81"/>
            <rFont val="Tahoma"/>
            <family val="2"/>
          </rPr>
          <t xml:space="preserve">
A - banda negra interna A (LES) - INSPECCIÓN DIMENSIONAL
B - banda negra interna B (LES) - INSPECCIÓN DIMENSIONAL
C - banda negra interna C (LES) - INSPECCIÓN DIMENSIONAL</t>
        </r>
      </text>
    </comment>
  </commentList>
</comments>
</file>

<file path=xl/sharedStrings.xml><?xml version="1.0" encoding="utf-8"?>
<sst xmlns="http://schemas.openxmlformats.org/spreadsheetml/2006/main" count="505" uniqueCount="383">
  <si>
    <t>ARRIBA</t>
  </si>
  <si>
    <t>ABAJO</t>
  </si>
  <si>
    <t>IZQUIERDA</t>
  </si>
  <si>
    <t>DERECHA</t>
  </si>
  <si>
    <t>SIN</t>
  </si>
  <si>
    <t>ancho rectangulo</t>
  </si>
  <si>
    <t>ancho circulo</t>
  </si>
  <si>
    <t>FACTOR ESCALA RECTANGULO</t>
  </si>
  <si>
    <t>POSICION ESCALA IZQUIERDA</t>
  </si>
  <si>
    <t>POSICION ESCALA DERECHA</t>
  </si>
  <si>
    <t>POSICION ESCALA INFERIOR</t>
  </si>
  <si>
    <t>POSICION ESCALA SUPERIOR</t>
  </si>
  <si>
    <t>CLIENTE</t>
  </si>
  <si>
    <t>MODELO</t>
  </si>
  <si>
    <t>NUMERO DE PARTE</t>
  </si>
  <si>
    <t>DESCRIPCION</t>
  </si>
  <si>
    <t>OPERADOR</t>
  </si>
  <si>
    <t>TITULO</t>
  </si>
  <si>
    <t xml:space="preserve">OP </t>
  </si>
  <si>
    <t>FECHA</t>
  </si>
  <si>
    <t>UNIDADES</t>
  </si>
  <si>
    <t>mm</t>
  </si>
  <si>
    <t>INDICE</t>
  </si>
  <si>
    <t>PUNTOS</t>
  </si>
  <si>
    <t>-0.1</t>
  </si>
  <si>
    <t>DIRECTORIO REPORTES</t>
  </si>
  <si>
    <t>LIBRE</t>
  </si>
  <si>
    <t>OFFSET</t>
  </si>
  <si>
    <t>Epifanio Pereira</t>
  </si>
  <si>
    <t>MBZ</t>
  </si>
  <si>
    <t>W166</t>
  </si>
  <si>
    <t>00/00/2012</t>
  </si>
  <si>
    <t>FRONT DOOR RIGHT</t>
  </si>
  <si>
    <t>PRODUCT CERTIFICATION</t>
  </si>
  <si>
    <t>QUALITY CONTROL DEPARTMENT</t>
  </si>
  <si>
    <t xml:space="preserve">COLOR: </t>
  </si>
  <si>
    <t>VEHICLE:</t>
  </si>
  <si>
    <t>COMPOSITION:</t>
  </si>
  <si>
    <t>PART NUMBER:</t>
  </si>
  <si>
    <t>OUTER GLASS FINISH:</t>
  </si>
  <si>
    <t>ITEM</t>
  </si>
  <si>
    <t>ZONE</t>
  </si>
  <si>
    <t>DESCRIPTION</t>
  </si>
  <si>
    <t>SIZE</t>
  </si>
  <si>
    <t>QUANTITY OF DEFECTS</t>
  </si>
  <si>
    <t>Following Standard</t>
  </si>
  <si>
    <t>TERMINALS</t>
  </si>
  <si>
    <t>FINISHING</t>
  </si>
  <si>
    <t>COMMENTS</t>
  </si>
  <si>
    <t>CONVENTIONS:</t>
  </si>
  <si>
    <t xml:space="preserve">B = WIDTH (mm) </t>
  </si>
  <si>
    <t>L = LENGTH (mm)</t>
  </si>
  <si>
    <t>D = DIAMETER (mm)</t>
  </si>
  <si>
    <t>A = DISTANCE (mm)</t>
  </si>
  <si>
    <t>IT = INSIDE TOLERANCE</t>
  </si>
  <si>
    <t>OT = OUT OF TOLERANCE</t>
  </si>
  <si>
    <t>Z = ZONE</t>
  </si>
  <si>
    <t>N/A = NOT APPLICABLE</t>
  </si>
  <si>
    <t>AUTHORIZED BY</t>
  </si>
  <si>
    <t>DATE:</t>
  </si>
  <si>
    <t>DEFECTOS CERTIFICADOS EN INGLES</t>
  </si>
  <si>
    <t xml:space="preserve">Codigo </t>
  </si>
  <si>
    <t>Espanol / Portugues</t>
  </si>
  <si>
    <t>Ingles</t>
  </si>
  <si>
    <t>-</t>
  </si>
  <si>
    <t>Impurity</t>
  </si>
  <si>
    <t>Bubble</t>
  </si>
  <si>
    <t>Inclusion</t>
  </si>
  <si>
    <t>Porosity</t>
  </si>
  <si>
    <t>Color dot</t>
  </si>
  <si>
    <t>Perceptible Scratch</t>
  </si>
  <si>
    <t>Unperceptible Scratch</t>
  </si>
  <si>
    <t>Intern Scratch</t>
  </si>
  <si>
    <t>Conchoidal Defect</t>
  </si>
  <si>
    <t>Interna Hair</t>
  </si>
  <si>
    <t>Internal Eyelash</t>
  </si>
  <si>
    <t>Fluff</t>
  </si>
  <si>
    <t>Circular Depression</t>
  </si>
  <si>
    <t>Elongated Depression</t>
  </si>
  <si>
    <t>Unperceptible Scratch in AL</t>
  </si>
  <si>
    <t>Bull eye in glass</t>
  </si>
  <si>
    <t>Distortion</t>
  </si>
  <si>
    <t>Delamination</t>
  </si>
  <si>
    <t>Cloud of Dots</t>
  </si>
  <si>
    <t>Puncture</t>
  </si>
  <si>
    <t>Depressions at the edge of the package</t>
  </si>
  <si>
    <t>Oxidation SP</t>
  </si>
  <si>
    <t>Sealing edge defect</t>
  </si>
  <si>
    <t>Puncture in PC</t>
  </si>
  <si>
    <t>Dent (tool trace)</t>
  </si>
  <si>
    <t xml:space="preserve">Degradee diffuse point </t>
  </si>
  <si>
    <t>Not visible stain Day Light</t>
  </si>
  <si>
    <t>White internal stain in BN</t>
  </si>
  <si>
    <t>Not visible stain Light day in AL</t>
  </si>
  <si>
    <t>Bearing not visible in PC</t>
  </si>
  <si>
    <t>Brilliant points in AL o PCHT</t>
  </si>
  <si>
    <t>Points of defroster</t>
  </si>
  <si>
    <t>Bearing not visible in AL</t>
  </si>
  <si>
    <t>PC Smalll in the edge</t>
  </si>
  <si>
    <t>White external stain in AL</t>
  </si>
  <si>
    <t>White external dot not visible</t>
  </si>
  <si>
    <t>Defects depressions and bumps between PU and PET</t>
  </si>
  <si>
    <t>Hairs / fluff between PU and PET</t>
  </si>
  <si>
    <t>Internal stain in defroster</t>
  </si>
  <si>
    <t>Transparency external BN</t>
  </si>
  <si>
    <t xml:space="preserve">Scratch adjustment  BN </t>
  </si>
  <si>
    <t>Defroster with broken wire</t>
  </si>
  <si>
    <t>White internal stain in PC edge</t>
  </si>
  <si>
    <t>Stain between laminate not visible after installation</t>
  </si>
  <si>
    <t>Scratch in Black band</t>
  </si>
  <si>
    <t>Black band dot</t>
  </si>
  <si>
    <t>Transparency internal BN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</si>
  <si>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</si>
  <si>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</si>
  <si>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</si>
  <si>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</si>
  <si>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</si>
  <si>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</si>
  <si>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</si>
  <si>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Displacement between internal and external black band</t>
  </si>
  <si>
    <t>Liberado conforme norma</t>
  </si>
  <si>
    <t>No afecta la dirigibilidad</t>
  </si>
  <si>
    <t>No problem to the driver</t>
  </si>
  <si>
    <t>BB12G</t>
  </si>
  <si>
    <t>T:\Qualidade\Projetos\Projeto W212\Relatórios de Inspeção final - APROVADAS\Blindado\W166</t>
  </si>
  <si>
    <t xml:space="preserve">CONTROL  CHECK </t>
  </si>
  <si>
    <t>CODE OF DEFEC</t>
  </si>
  <si>
    <t xml:space="preserve">CERTIFICATE OF CONFORMANCE </t>
  </si>
  <si>
    <t>Contamination</t>
  </si>
  <si>
    <t>Scratch in PC</t>
  </si>
  <si>
    <t>Bearing in PC</t>
  </si>
  <si>
    <t>Scratch</t>
  </si>
  <si>
    <t>CUSTOMER:</t>
  </si>
  <si>
    <t>REASON FOR SUBMISSION</t>
  </si>
  <si>
    <t xml:space="preserve">Report Evaluation of Quality </t>
  </si>
  <si>
    <t>First Production Shipment</t>
  </si>
  <si>
    <t>QUALITY TEST</t>
  </si>
  <si>
    <t>CONCLUSION</t>
  </si>
  <si>
    <t>QUALITY CONTROL</t>
  </si>
  <si>
    <t>PROJECT:</t>
  </si>
  <si>
    <t>Part Submission warrant</t>
  </si>
  <si>
    <t>Special Sample</t>
  </si>
  <si>
    <t>Re-submission</t>
  </si>
  <si>
    <t>Other</t>
  </si>
  <si>
    <t>Engineering change</t>
  </si>
  <si>
    <t>Refractive Power</t>
  </si>
  <si>
    <t>STANDARD</t>
  </si>
  <si>
    <t>DESCRIPTION OF TEST</t>
  </si>
  <si>
    <t>CONDITIONS</t>
  </si>
  <si>
    <t>Stain in Black band</t>
  </si>
  <si>
    <t xml:space="preserve">Defect in Black band </t>
  </si>
  <si>
    <t>defecto en banda negra</t>
  </si>
  <si>
    <t>Stain Glassjet</t>
  </si>
  <si>
    <t>Brilliant points</t>
  </si>
  <si>
    <t>Stain in PBV</t>
  </si>
  <si>
    <t>Nube de puntos en PBV</t>
  </si>
  <si>
    <t xml:space="preserve">Mancha de PBV tejido </t>
  </si>
  <si>
    <t xml:space="preserve">Transparencia borde BN </t>
  </si>
  <si>
    <t>Mark on PCHT</t>
  </si>
  <si>
    <t>Transparency in Black Enamel</t>
  </si>
  <si>
    <t>Cloud of point in PBV</t>
  </si>
  <si>
    <t>OK</t>
  </si>
  <si>
    <t>Not OK</t>
  </si>
  <si>
    <t>REFLECTION</t>
  </si>
  <si>
    <t>N/A</t>
  </si>
  <si>
    <t>BENTELER</t>
  </si>
  <si>
    <t>LOGO (INTERNAL BLACK)</t>
  </si>
  <si>
    <t>MIRROR BRACKET</t>
  </si>
  <si>
    <t>PART NUMBER AGP:</t>
  </si>
  <si>
    <t>PART:</t>
  </si>
  <si>
    <t>BENTELER lightweight Protection GmbH</t>
  </si>
  <si>
    <t>CLIENT:</t>
  </si>
  <si>
    <t>ACCORDING TO DRAWING</t>
  </si>
  <si>
    <t xml:space="preserve"> SUPERFICIAL AND INTERNAL  APPEARANCE VISUAL DEFECTS CHART</t>
  </si>
  <si>
    <t>ACCORDING TO QV0008
2.3.2</t>
  </si>
  <si>
    <t>TERMINALS INSULATION</t>
  </si>
  <si>
    <t>BRILLIANT ROUNDED</t>
  </si>
  <si>
    <t>ANNEXES</t>
  </si>
  <si>
    <t>See attached the geometric report</t>
  </si>
  <si>
    <t xml:space="preserve">DIN 52305 </t>
  </si>
  <si>
    <t>REFLECTION 1</t>
  </si>
  <si>
    <t>Requirement: Without interruption of  grid lines</t>
  </si>
  <si>
    <t>REFLECTION 2</t>
  </si>
  <si>
    <t>ACCESSORIES</t>
  </si>
  <si>
    <t xml:space="preserve">QUALITY CONTROL </t>
  </si>
  <si>
    <t>STEELS 1</t>
  </si>
  <si>
    <t>STEELS 2</t>
  </si>
  <si>
    <t xml:space="preserve">VIEW FROM THE INSIDE     </t>
  </si>
  <si>
    <t>The part fullfil the reflection test requirement.</t>
  </si>
  <si>
    <t>CONTROL  CHECK</t>
  </si>
  <si>
    <t>Burbujas en cristal</t>
  </si>
  <si>
    <t>Bubbles in glass</t>
  </si>
  <si>
    <t>Internal stain in black band no visible in installation</t>
  </si>
  <si>
    <t>Diente de sierra leve</t>
  </si>
  <si>
    <t>Saw tooth slight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</si>
  <si>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</si>
  <si>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</si>
  <si>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</si>
  <si>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</si>
  <si>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</si>
  <si>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</si>
  <si>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</si>
  <si>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</si>
  <si>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BLACK BAND INTERNAL</t>
  </si>
  <si>
    <t>BLACK BAND EXTERNAL</t>
  </si>
  <si>
    <t>Impureza</t>
  </si>
  <si>
    <t>Burbuja</t>
  </si>
  <si>
    <t>Inclusión</t>
  </si>
  <si>
    <t>Porosidad</t>
  </si>
  <si>
    <t>Punto de Color</t>
  </si>
  <si>
    <t>Raya sensible a uña</t>
  </si>
  <si>
    <t>Raya no sensible a la uña</t>
  </si>
  <si>
    <t>Raya Interna</t>
  </si>
  <si>
    <t>Escalla</t>
  </si>
  <si>
    <t>Cabello</t>
  </si>
  <si>
    <t>Pestaña</t>
  </si>
  <si>
    <t>Pelusa</t>
  </si>
  <si>
    <t>Depresión Circular</t>
  </si>
  <si>
    <t>Depresión Alargada</t>
  </si>
  <si>
    <t>Rayas sensibles a las una en PC</t>
  </si>
  <si>
    <t>Ojo en Cristal</t>
  </si>
  <si>
    <t>Distorsión</t>
  </si>
  <si>
    <t>Delaminación</t>
  </si>
  <si>
    <t>Nube de Puntos</t>
  </si>
  <si>
    <t>Picadura</t>
  </si>
  <si>
    <t>Depresión en borde Paquete</t>
  </si>
  <si>
    <t>Oxidación SP</t>
  </si>
  <si>
    <t>Defecto en sello de Paquete</t>
  </si>
  <si>
    <t>Picadura en PC</t>
  </si>
  <si>
    <t>Huellas de Molde</t>
  </si>
  <si>
    <t>Puntos Difusos en Degrade</t>
  </si>
  <si>
    <t>Mancha no visible a luz día</t>
  </si>
  <si>
    <t>Mancha blanca interna en BN</t>
  </si>
  <si>
    <t>Mancha en AL no visible a luz día</t>
  </si>
  <si>
    <t>Marcaciones en PC no visibles</t>
  </si>
  <si>
    <t>Transparencia en BN interna</t>
  </si>
  <si>
    <t>Puntos brillantes en AL o PCHT</t>
  </si>
  <si>
    <t>Puntos de Defroster</t>
  </si>
  <si>
    <t>Marcación en AL no visible</t>
  </si>
  <si>
    <t>PC pequeño en el borde</t>
  </si>
  <si>
    <t>Mancha blanca externa en AL</t>
  </si>
  <si>
    <t>Punto Blanco vidrio externo</t>
  </si>
  <si>
    <t>Defectos circulares bajo AL</t>
  </si>
  <si>
    <t>Pelos o pelusas bajo AL</t>
  </si>
  <si>
    <t>Mancha en defroster</t>
  </si>
  <si>
    <t>Transparencia en BN externa</t>
  </si>
  <si>
    <t>Raya en BN retocada</t>
  </si>
  <si>
    <t>Defroster con hilo roto</t>
  </si>
  <si>
    <t>Mancha blanca interna en borde PC</t>
  </si>
  <si>
    <t>Mancha entre laminado no visible en instalación</t>
  </si>
  <si>
    <t>Raya en BN</t>
  </si>
  <si>
    <t>Punto en BN</t>
  </si>
  <si>
    <t>Puntos brillantes en PCHT</t>
  </si>
  <si>
    <t>Desplazamiento entre BN interna y externa</t>
  </si>
  <si>
    <t>Borde BN no uniforme</t>
  </si>
  <si>
    <t>Contaminación</t>
  </si>
  <si>
    <t>Raya en PC</t>
  </si>
  <si>
    <t>Marcaciones en PC</t>
  </si>
  <si>
    <t>Raya</t>
  </si>
  <si>
    <t>Mancha en BN</t>
  </si>
  <si>
    <t>Mancha por Glassjet</t>
  </si>
  <si>
    <t>Puntos brillantes</t>
  </si>
  <si>
    <t>Marcación en PCHT</t>
  </si>
  <si>
    <t>Mancha en bn interna not visible en instalacion</t>
  </si>
  <si>
    <t>Contaminación leve</t>
  </si>
  <si>
    <t>Slight contamination</t>
  </si>
  <si>
    <t>Punto</t>
  </si>
  <si>
    <t>Dot</t>
  </si>
  <si>
    <t>Picadura Interna</t>
  </si>
  <si>
    <t>Internal puncture</t>
  </si>
  <si>
    <t>Puntos</t>
  </si>
  <si>
    <t>Dots</t>
  </si>
  <si>
    <t>Ojo</t>
  </si>
  <si>
    <t>Eye</t>
  </si>
  <si>
    <t>BLACK BAND MEASUREMET</t>
  </si>
  <si>
    <t xml:space="preserve"> </t>
  </si>
  <si>
    <t>Marcación externa</t>
  </si>
  <si>
    <t>External marking</t>
  </si>
  <si>
    <t>Raya en PC no visible luz dia</t>
  </si>
  <si>
    <t>Scratch in PC not visible day light</t>
  </si>
  <si>
    <t>Depresion en PC</t>
  </si>
  <si>
    <t>Depression in PC</t>
  </si>
  <si>
    <t>Mancha interna</t>
  </si>
  <si>
    <t>Internal stain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</si>
  <si>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</si>
  <si>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</si>
  <si>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</si>
  <si>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</si>
  <si>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</si>
  <si>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</si>
  <si>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</si>
  <si>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</si>
  <si>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</si>
  <si>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</si>
  <si>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</si>
  <si>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</si>
  <si>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</si>
  <si>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</si>
  <si>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</si>
  <si>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</si>
  <si>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</si>
  <si>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</si>
  <si>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</si>
  <si>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SERIGRAPHY</t>
  </si>
  <si>
    <t>Image 1</t>
  </si>
  <si>
    <t>Image 2</t>
  </si>
  <si>
    <t>Image 3</t>
  </si>
  <si>
    <t>Image 4</t>
  </si>
  <si>
    <t>Mancha en banda negra no visible en instalación</t>
  </si>
  <si>
    <t>Stain in black band not visible installation</t>
  </si>
  <si>
    <t>Depresion en PC poco visible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</si>
  <si>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</si>
  <si>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</si>
  <si>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</si>
  <si>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</si>
  <si>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</si>
  <si>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</si>
  <si>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</si>
  <si>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</si>
  <si>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</si>
  <si>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</si>
  <si>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</si>
  <si>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</si>
  <si>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</si>
  <si>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</si>
  <si>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</si>
  <si>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</si>
  <si>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</si>
  <si>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</si>
  <si>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</si>
  <si>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</si>
  <si>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</si>
  <si>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</si>
  <si>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</si>
  <si>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</si>
  <si>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</si>
  <si>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</si>
  <si>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</si>
  <si>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</si>
  <si>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</si>
  <si>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</si>
  <si>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</si>
  <si>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</si>
  <si>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</si>
  <si>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</si>
  <si>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</si>
  <si>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</si>
  <si>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</si>
  <si>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REVIEWED BY</t>
  </si>
  <si>
    <t>REASON FOR SUBMISSION:</t>
  </si>
  <si>
    <t>Determination of Refractive Power is according to AZDIN 52305 for Zones 1 and 2.</t>
  </si>
  <si>
    <t>EVALUATION</t>
  </si>
  <si>
    <t>IMAGE 1</t>
  </si>
  <si>
    <t>IMAGE 2</t>
  </si>
  <si>
    <t>IMAGE PC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</si>
  <si>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</si>
  <si>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</si>
  <si>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</si>
  <si>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</si>
  <si>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</si>
  <si>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</si>
  <si>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</si>
  <si>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</si>
  <si>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Pag 1 of 7</t>
  </si>
  <si>
    <t>Pag 2 of 7</t>
  </si>
  <si>
    <t>Pag 3 of 7</t>
  </si>
  <si>
    <t>Pag 4 of 7</t>
  </si>
  <si>
    <t>Pag 5 of 7</t>
  </si>
  <si>
    <t>Pag 6 of 7</t>
  </si>
  <si>
    <t>Pag 7 of 7</t>
  </si>
  <si>
    <t>CUSTOMS STICKER</t>
  </si>
  <si>
    <t>THICKNESS (31.0 - 34,3) mm</t>
  </si>
  <si>
    <t>DIVIDING BLACK MASKING VERTICAL FRINGES ALIGNED</t>
  </si>
  <si>
    <t>751-28-03A-15-F01 V.5</t>
  </si>
  <si>
    <t>BMW G05 X5 4D U 2020</t>
  </si>
  <si>
    <t>02/02/2020</t>
  </si>
  <si>
    <t>ELENA BEJARANO</t>
  </si>
  <si>
    <r>
      <t xml:space="preserve">REFRACTIVE POWER
</t>
    </r>
    <r>
      <rPr>
        <b/>
        <sz val="9"/>
        <color theme="1" tint="0.249977111117893"/>
        <rFont val="Plus Jakarta Sans"/>
      </rPr>
      <t>According to QV0008 - 2.2.3.</t>
    </r>
  </si>
  <si>
    <r>
      <t xml:space="preserve">HR:       </t>
    </r>
    <r>
      <rPr>
        <sz val="10"/>
        <color theme="1" tint="0.249977111117893"/>
        <rFont val="Plus Jakarta Sans"/>
      </rPr>
      <t>60%</t>
    </r>
  </si>
  <si>
    <r>
      <t xml:space="preserve">T (ºC):   </t>
    </r>
    <r>
      <rPr>
        <sz val="10"/>
        <color theme="1" tint="0.249977111117893"/>
        <rFont val="Plus Jakarta Sans"/>
      </rPr>
      <t>23°C</t>
    </r>
  </si>
  <si>
    <t>PRODUCTION LOT:</t>
  </si>
  <si>
    <t>PACKAGE EDGE TYPE:</t>
  </si>
  <si>
    <t>LINA TOVAR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</si>
</sst>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"/>
    <numFmt numFmtId="165" formatCode="00"/>
  </numFmts>
  <fonts count="20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Plus Jakarta Sans"/>
    </font>
    <font>
      <sz val="10"/>
      <color theme="1" tint="0.249977111117893"/>
      <name val="Plus Jakarta Sans"/>
    </font>
    <font>
      <b/>
      <sz val="18"/>
      <color theme="1" tint="0.249977111117893"/>
      <name val="Plus Jakarta Sans"/>
    </font>
    <font>
      <sz val="12"/>
      <color theme="1" tint="0.249977111117893"/>
      <name val="Plus Jakarta Sans"/>
    </font>
    <font>
      <b/>
      <sz val="10"/>
      <color theme="1" tint="0.249977111117893"/>
      <name val="Plus Jakarta Sans"/>
    </font>
    <font>
      <b/>
      <sz val="14"/>
      <color theme="1" tint="0.249977111117893"/>
      <name val="Plus Jakarta Sans"/>
    </font>
    <font>
      <sz val="22"/>
      <color theme="1" tint="0.249977111117893"/>
      <name val="Plus Jakarta Sans"/>
    </font>
    <font>
      <b/>
      <sz val="16"/>
      <color theme="1" tint="0.249977111117893"/>
      <name val="Plus Jakarta Sans"/>
    </font>
    <font>
      <b/>
      <sz val="7"/>
      <color theme="1" tint="0.249977111117893"/>
      <name val="Plus Jakarta Sans"/>
    </font>
    <font>
      <sz val="9"/>
      <color theme="1" tint="0.249977111117893"/>
      <name val="Plus Jakarta Sans"/>
    </font>
    <font>
      <b/>
      <sz val="12"/>
      <color theme="1" tint="0.249977111117893"/>
      <name val="Plus Jakarta Sans"/>
    </font>
    <font>
      <sz val="11"/>
      <color theme="1" tint="0.249977111117893"/>
      <name val="Plus Jakarta Sans"/>
    </font>
    <font>
      <b/>
      <sz val="9"/>
      <color theme="1" tint="0.249977111117893"/>
      <name val="Plus Jakarta Sans"/>
    </font>
    <font>
      <sz val="14"/>
      <color theme="1" tint="0.249977111117893"/>
      <name val="Plus Jakarta Sans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C1C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1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10" fillId="0" borderId="8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49" fontId="7" fillId="0" borderId="4" xfId="0" applyNumberFormat="1" applyFont="1" applyBorder="1" applyAlignment="1">
      <alignment vertical="center"/>
    </xf>
    <xf numFmtId="49" fontId="7" fillId="0" borderId="5" xfId="0" applyNumberFormat="1" applyFont="1" applyBorder="1" applyAlignment="1">
      <alignment vertical="center"/>
    </xf>
    <xf numFmtId="0" fontId="10" fillId="0" borderId="3" xfId="0" applyFont="1" applyBorder="1" applyAlignment="1">
      <alignment horizontal="right" vertical="center"/>
    </xf>
    <xf numFmtId="0" fontId="7" fillId="4" borderId="0" xfId="1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10" fillId="4" borderId="0" xfId="1" applyFont="1" applyFill="1" applyAlignment="1">
      <alignment vertical="center"/>
    </xf>
    <xf numFmtId="0" fontId="10" fillId="4" borderId="6" xfId="1" applyFont="1" applyFill="1" applyBorder="1" applyAlignment="1">
      <alignment vertical="center"/>
    </xf>
    <xf numFmtId="0" fontId="10" fillId="4" borderId="0" xfId="1" applyFont="1" applyFill="1"/>
    <xf numFmtId="0" fontId="10" fillId="0" borderId="0" xfId="1" applyFont="1"/>
    <xf numFmtId="0" fontId="10" fillId="0" borderId="9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10" fillId="0" borderId="0" xfId="0" applyFont="1"/>
    <xf numFmtId="2" fontId="11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2" fontId="10" fillId="0" borderId="0" xfId="0" applyNumberFormat="1" applyFont="1" applyAlignment="1">
      <alignment vertical="center"/>
    </xf>
    <xf numFmtId="2" fontId="7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2" fontId="7" fillId="0" borderId="0" xfId="0" applyNumberFormat="1" applyFont="1" applyAlignment="1">
      <alignment vertical="center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wrapText="1"/>
    </xf>
    <xf numFmtId="0" fontId="6" fillId="4" borderId="0" xfId="1" applyFont="1" applyFill="1"/>
    <xf numFmtId="0" fontId="7" fillId="3" borderId="0" xfId="1" applyFont="1" applyFill="1"/>
    <xf numFmtId="0" fontId="7" fillId="4" borderId="2" xfId="1" applyFont="1" applyFill="1" applyBorder="1"/>
    <xf numFmtId="0" fontId="7" fillId="4" borderId="2" xfId="1" applyFont="1" applyFill="1" applyBorder="1" applyAlignment="1">
      <alignment horizontal="left"/>
    </xf>
    <xf numFmtId="0" fontId="7" fillId="3" borderId="6" xfId="1" applyFont="1" applyFill="1" applyBorder="1"/>
    <xf numFmtId="0" fontId="7" fillId="4" borderId="0" xfId="1" applyFont="1" applyFill="1"/>
    <xf numFmtId="0" fontId="13" fillId="4" borderId="0" xfId="1" applyFont="1" applyFill="1" applyAlignment="1">
      <alignment horizontal="center"/>
    </xf>
    <xf numFmtId="0" fontId="14" fillId="0" borderId="0" xfId="0" applyFont="1" applyAlignment="1">
      <alignment horizontal="left" readingOrder="1"/>
    </xf>
    <xf numFmtId="0" fontId="15" fillId="4" borderId="5" xfId="1" applyFont="1" applyFill="1" applyBorder="1" applyAlignment="1">
      <alignment vertical="center"/>
    </xf>
    <xf numFmtId="0" fontId="9" fillId="4" borderId="0" xfId="1" applyFont="1" applyFill="1" applyAlignment="1">
      <alignment horizontal="center"/>
    </xf>
    <xf numFmtId="165" fontId="15" fillId="4" borderId="6" xfId="1" applyNumberFormat="1" applyFont="1" applyFill="1" applyBorder="1" applyAlignment="1">
      <alignment horizontal="left" vertical="center"/>
    </xf>
    <xf numFmtId="14" fontId="15" fillId="4" borderId="6" xfId="1" applyNumberFormat="1" applyFont="1" applyFill="1" applyBorder="1" applyAlignment="1">
      <alignment horizontal="left" vertical="center"/>
    </xf>
    <xf numFmtId="0" fontId="10" fillId="4" borderId="0" xfId="1" applyFont="1" applyFill="1" applyAlignment="1">
      <alignment horizontal="center"/>
    </xf>
    <xf numFmtId="0" fontId="7" fillId="4" borderId="6" xfId="1" applyFont="1" applyFill="1" applyBorder="1"/>
    <xf numFmtId="0" fontId="10" fillId="4" borderId="0" xfId="1" applyFont="1" applyFill="1" applyAlignment="1">
      <alignment horizontal="left"/>
    </xf>
    <xf numFmtId="0" fontId="10" fillId="4" borderId="6" xfId="1" applyFont="1" applyFill="1" applyBorder="1" applyAlignment="1">
      <alignment horizontal="center"/>
    </xf>
    <xf numFmtId="49" fontId="7" fillId="4" borderId="0" xfId="1" applyNumberFormat="1" applyFont="1" applyFill="1" applyAlignment="1">
      <alignment horizontal="center"/>
    </xf>
    <xf numFmtId="49" fontId="10" fillId="4" borderId="0" xfId="1" applyNumberFormat="1" applyFont="1" applyFill="1" applyAlignment="1">
      <alignment horizontal="center"/>
    </xf>
    <xf numFmtId="0" fontId="17" fillId="0" borderId="0" xfId="0" applyFont="1"/>
    <xf numFmtId="0" fontId="10" fillId="3" borderId="0" xfId="1" applyFont="1" applyFill="1" applyAlignment="1">
      <alignment horizontal="center"/>
    </xf>
    <xf numFmtId="0" fontId="10" fillId="5" borderId="0" xfId="1" applyFont="1" applyFill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0" fontId="7" fillId="3" borderId="0" xfId="1" applyFont="1" applyFill="1" applyAlignment="1">
      <alignment vertical="center"/>
    </xf>
    <xf numFmtId="0" fontId="7" fillId="4" borderId="8" xfId="1" applyFont="1" applyFill="1" applyBorder="1"/>
    <xf numFmtId="0" fontId="7" fillId="4" borderId="4" xfId="1" applyFont="1" applyFill="1" applyBorder="1"/>
    <xf numFmtId="0" fontId="10" fillId="4" borderId="4" xfId="1" applyFont="1" applyFill="1" applyBorder="1"/>
    <xf numFmtId="0" fontId="7" fillId="4" borderId="5" xfId="1" applyFont="1" applyFill="1" applyBorder="1"/>
    <xf numFmtId="0" fontId="7" fillId="4" borderId="3" xfId="1" applyFont="1" applyFill="1" applyBorder="1"/>
    <xf numFmtId="0" fontId="7" fillId="4" borderId="0" xfId="1" applyFont="1" applyFill="1" applyAlignment="1" applyProtection="1">
      <alignment horizontal="left"/>
      <protection locked="0"/>
    </xf>
    <xf numFmtId="0" fontId="7" fillId="4" borderId="9" xfId="1" applyFont="1" applyFill="1" applyBorder="1"/>
    <xf numFmtId="0" fontId="7" fillId="4" borderId="7" xfId="1" applyFont="1" applyFill="1" applyBorder="1"/>
    <xf numFmtId="0" fontId="7" fillId="5" borderId="0" xfId="1" applyFont="1" applyFill="1"/>
    <xf numFmtId="0" fontId="10" fillId="5" borderId="0" xfId="1" applyFont="1" applyFill="1" applyAlignment="1">
      <alignment horizontal="center"/>
    </xf>
    <xf numFmtId="0" fontId="7" fillId="5" borderId="0" xfId="0" applyFont="1" applyFill="1"/>
    <xf numFmtId="0" fontId="10" fillId="5" borderId="0" xfId="1" applyFont="1" applyFill="1"/>
    <xf numFmtId="49" fontId="10" fillId="5" borderId="1" xfId="1" applyNumberFormat="1" applyFont="1" applyFill="1" applyBorder="1" applyAlignment="1" applyProtection="1">
      <alignment horizontal="center" vertical="center"/>
      <protection locked="0"/>
    </xf>
    <xf numFmtId="2" fontId="7" fillId="5" borderId="0" xfId="0" applyNumberFormat="1" applyFont="1" applyFill="1"/>
    <xf numFmtId="0" fontId="7" fillId="5" borderId="0" xfId="0" applyFont="1" applyFill="1" applyAlignment="1">
      <alignment horizontal="right" vertical="center"/>
    </xf>
    <xf numFmtId="49" fontId="7" fillId="0" borderId="0" xfId="0" applyNumberFormat="1" applyFont="1"/>
    <xf numFmtId="2" fontId="7" fillId="0" borderId="0" xfId="0" applyNumberFormat="1" applyFont="1"/>
    <xf numFmtId="49" fontId="10" fillId="5" borderId="4" xfId="0" applyNumberFormat="1" applyFont="1" applyFill="1" applyBorder="1" applyAlignment="1">
      <alignment vertical="center"/>
    </xf>
    <xf numFmtId="0" fontId="7" fillId="0" borderId="4" xfId="0" applyFont="1" applyBorder="1"/>
    <xf numFmtId="0" fontId="10" fillId="0" borderId="2" xfId="0" applyFont="1" applyBorder="1" applyAlignment="1">
      <alignment horizontal="right" vertical="center"/>
    </xf>
    <xf numFmtId="0" fontId="7" fillId="0" borderId="2" xfId="0" applyFont="1" applyBorder="1"/>
    <xf numFmtId="0" fontId="10" fillId="0" borderId="8" xfId="0" applyFont="1" applyBorder="1"/>
    <xf numFmtId="0" fontId="10" fillId="0" borderId="4" xfId="0" applyFont="1" applyBorder="1"/>
    <xf numFmtId="0" fontId="7" fillId="0" borderId="5" xfId="0" applyFont="1" applyBorder="1"/>
    <xf numFmtId="0" fontId="10" fillId="0" borderId="3" xfId="0" applyFont="1" applyBorder="1"/>
    <xf numFmtId="0" fontId="7" fillId="0" borderId="6" xfId="0" applyFont="1" applyBorder="1"/>
    <xf numFmtId="0" fontId="7" fillId="0" borderId="3" xfId="0" applyFont="1" applyBorder="1"/>
    <xf numFmtId="0" fontId="7" fillId="0" borderId="9" xfId="0" applyFont="1" applyBorder="1"/>
    <xf numFmtId="0" fontId="7" fillId="0" borderId="7" xfId="0" applyFont="1" applyBorder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 vertical="center"/>
    </xf>
    <xf numFmtId="0" fontId="10" fillId="0" borderId="7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0" xfId="0" applyFont="1" applyBorder="1"/>
    <xf numFmtId="0" fontId="6" fillId="0" borderId="0" xfId="0" applyFont="1" applyAlignment="1">
      <alignment horizontal="center"/>
    </xf>
    <xf numFmtId="0" fontId="7" fillId="5" borderId="0" xfId="1" applyFont="1" applyFill="1" applyAlignment="1">
      <alignment horizontal="center" vertical="center"/>
    </xf>
    <xf numFmtId="0" fontId="7" fillId="5" borderId="0" xfId="1" applyFont="1" applyFill="1" applyAlignment="1">
      <alignment horizontal="left" vertical="center"/>
    </xf>
    <xf numFmtId="0" fontId="10" fillId="5" borderId="0" xfId="1" applyFont="1" applyFill="1" applyAlignment="1">
      <alignment horizontal="center" vertical="center"/>
    </xf>
    <xf numFmtId="0" fontId="7" fillId="5" borderId="11" xfId="1" applyFont="1" applyFill="1" applyBorder="1" applyAlignment="1" applyProtection="1">
      <alignment horizontal="center" vertical="center"/>
      <protection locked="0"/>
    </xf>
    <xf numFmtId="0" fontId="7" fillId="5" borderId="12" xfId="1" applyFont="1" applyFill="1" applyBorder="1" applyAlignment="1" applyProtection="1">
      <alignment horizontal="center" vertical="center"/>
      <protection locked="0"/>
    </xf>
    <xf numFmtId="0" fontId="7" fillId="5" borderId="13" xfId="1" applyFont="1" applyFill="1" applyBorder="1" applyAlignment="1" applyProtection="1">
      <alignment horizontal="center" vertical="center"/>
      <protection locked="0"/>
    </xf>
    <xf numFmtId="0" fontId="7" fillId="4" borderId="11" xfId="1" applyFont="1" applyFill="1" applyBorder="1" applyAlignment="1" applyProtection="1">
      <alignment horizontal="center"/>
      <protection locked="0"/>
    </xf>
    <xf numFmtId="0" fontId="7" fillId="4" borderId="12" xfId="1" applyFont="1" applyFill="1" applyBorder="1" applyAlignment="1" applyProtection="1">
      <alignment horizontal="center"/>
      <protection locked="0"/>
    </xf>
    <xf numFmtId="0" fontId="7" fillId="4" borderId="13" xfId="1" applyFont="1" applyFill="1" applyBorder="1" applyAlignment="1" applyProtection="1">
      <alignment horizontal="center"/>
      <protection locked="0"/>
    </xf>
    <xf numFmtId="0" fontId="7" fillId="5" borderId="2" xfId="1" applyFont="1" applyFill="1" applyBorder="1" applyAlignment="1">
      <alignment horizontal="center"/>
    </xf>
    <xf numFmtId="0" fontId="10" fillId="6" borderId="11" xfId="1" applyFont="1" applyFill="1" applyBorder="1" applyAlignment="1">
      <alignment horizontal="center" vertical="center"/>
    </xf>
    <xf numFmtId="0" fontId="10" fillId="6" borderId="12" xfId="1" applyFont="1" applyFill="1" applyBorder="1" applyAlignment="1">
      <alignment horizontal="center" vertical="center"/>
    </xf>
    <xf numFmtId="0" fontId="10" fillId="6" borderId="13" xfId="1" applyFont="1" applyFill="1" applyBorder="1" applyAlignment="1">
      <alignment horizontal="center" vertical="center"/>
    </xf>
    <xf numFmtId="0" fontId="10" fillId="5" borderId="4" xfId="1" applyFont="1" applyFill="1" applyBorder="1" applyAlignment="1">
      <alignment horizontal="center"/>
    </xf>
    <xf numFmtId="0" fontId="10" fillId="6" borderId="11" xfId="1" applyFont="1" applyFill="1" applyBorder="1" applyAlignment="1">
      <alignment horizontal="center" vertical="center" wrapText="1"/>
    </xf>
    <xf numFmtId="0" fontId="10" fillId="6" borderId="12" xfId="1" applyFont="1" applyFill="1" applyBorder="1" applyAlignment="1">
      <alignment horizontal="center" vertical="center" wrapText="1"/>
    </xf>
    <xf numFmtId="0" fontId="10" fillId="6" borderId="13" xfId="1" applyFont="1" applyFill="1" applyBorder="1" applyAlignment="1">
      <alignment horizontal="center" vertical="center" wrapText="1"/>
    </xf>
    <xf numFmtId="0" fontId="10" fillId="5" borderId="11" xfId="1" applyFont="1" applyFill="1" applyBorder="1" applyAlignment="1" applyProtection="1">
      <alignment horizontal="center" vertical="center"/>
      <protection locked="0"/>
    </xf>
    <xf numFmtId="0" fontId="10" fillId="5" borderId="12" xfId="1" applyFont="1" applyFill="1" applyBorder="1" applyAlignment="1" applyProtection="1">
      <alignment horizontal="center" vertical="center"/>
      <protection locked="0"/>
    </xf>
    <xf numFmtId="0" fontId="10" fillId="5" borderId="13" xfId="1" applyFont="1" applyFill="1" applyBorder="1" applyAlignment="1" applyProtection="1">
      <alignment horizontal="center" vertical="center"/>
      <protection locked="0"/>
    </xf>
    <xf numFmtId="0" fontId="7" fillId="4" borderId="11" xfId="1" applyFont="1" applyFill="1" applyBorder="1" applyAlignment="1" applyProtection="1">
      <alignment horizontal="left"/>
      <protection locked="0"/>
    </xf>
    <xf numFmtId="0" fontId="7" fillId="4" borderId="12" xfId="1" applyFont="1" applyFill="1" applyBorder="1" applyAlignment="1" applyProtection="1">
      <alignment horizontal="left"/>
      <protection locked="0"/>
    </xf>
    <xf numFmtId="0" fontId="7" fillId="4" borderId="13" xfId="1" applyFont="1" applyFill="1" applyBorder="1" applyAlignment="1" applyProtection="1">
      <alignment horizontal="left"/>
      <protection locked="0"/>
    </xf>
    <xf numFmtId="0" fontId="10" fillId="5" borderId="2" xfId="1" applyFont="1" applyFill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5" fillId="4" borderId="0" xfId="1" applyFont="1" applyFill="1" applyAlignment="1">
      <alignment horizontal="left" vertical="center"/>
    </xf>
    <xf numFmtId="0" fontId="10" fillId="6" borderId="11" xfId="1" applyFont="1" applyFill="1" applyBorder="1" applyAlignment="1">
      <alignment horizontal="center"/>
    </xf>
    <xf numFmtId="0" fontId="10" fillId="6" borderId="12" xfId="1" applyFont="1" applyFill="1" applyBorder="1" applyAlignment="1">
      <alignment horizontal="center"/>
    </xf>
    <xf numFmtId="0" fontId="10" fillId="6" borderId="13" xfId="1" applyFont="1" applyFill="1" applyBorder="1" applyAlignment="1">
      <alignment horizontal="center"/>
    </xf>
    <xf numFmtId="0" fontId="7" fillId="4" borderId="0" xfId="1" applyFont="1" applyFill="1" applyAlignment="1" applyProtection="1">
      <alignment horizontal="left"/>
      <protection locked="0"/>
    </xf>
    <xf numFmtId="0" fontId="7" fillId="5" borderId="1" xfId="1" applyFont="1" applyFill="1" applyBorder="1" applyAlignment="1" applyProtection="1">
      <alignment horizontal="center" vertical="center"/>
      <protection locked="0"/>
    </xf>
    <xf numFmtId="0" fontId="10" fillId="4" borderId="1" xfId="1" applyFont="1" applyFill="1" applyBorder="1" applyAlignment="1">
      <alignment horizontal="center" vertical="center"/>
    </xf>
    <xf numFmtId="0" fontId="10" fillId="4" borderId="1" xfId="1" applyFont="1" applyFill="1" applyBorder="1" applyAlignment="1" applyProtection="1">
      <alignment horizontal="center" vertical="center"/>
      <protection locked="0"/>
    </xf>
    <xf numFmtId="0" fontId="7" fillId="5" borderId="11" xfId="1" applyFont="1" applyFill="1" applyBorder="1" applyAlignment="1" applyProtection="1">
      <alignment horizontal="center"/>
      <protection locked="0"/>
    </xf>
    <xf numFmtId="0" fontId="7" fillId="5" borderId="12" xfId="1" applyFont="1" applyFill="1" applyBorder="1" applyAlignment="1" applyProtection="1">
      <alignment horizontal="center"/>
      <protection locked="0"/>
    </xf>
    <xf numFmtId="0" fontId="7" fillId="5" borderId="13" xfId="1" applyFont="1" applyFill="1" applyBorder="1" applyProtection="1">
      <protection locked="0"/>
    </xf>
    <xf numFmtId="0" fontId="7" fillId="5" borderId="13" xfId="1" applyFont="1" applyFill="1" applyBorder="1" applyAlignment="1" applyProtection="1">
      <alignment horizontal="center"/>
      <protection locked="0"/>
    </xf>
    <xf numFmtId="0" fontId="7" fillId="5" borderId="11" xfId="1" applyFont="1" applyFill="1" applyBorder="1" applyAlignment="1">
      <alignment horizontal="center"/>
    </xf>
    <xf numFmtId="0" fontId="7" fillId="5" borderId="12" xfId="1" applyFont="1" applyFill="1" applyBorder="1" applyAlignment="1">
      <alignment horizontal="center"/>
    </xf>
    <xf numFmtId="0" fontId="7" fillId="5" borderId="13" xfId="1" applyFont="1" applyFill="1" applyBorder="1" applyAlignment="1">
      <alignment horizontal="center"/>
    </xf>
    <xf numFmtId="0" fontId="7" fillId="5" borderId="1" xfId="1" applyFont="1" applyFill="1" applyBorder="1" applyAlignment="1" applyProtection="1">
      <alignment horizontal="center"/>
      <protection locked="0"/>
    </xf>
    <xf numFmtId="0" fontId="7" fillId="5" borderId="11" xfId="1" applyFont="1" applyFill="1" applyBorder="1" applyAlignment="1" applyProtection="1">
      <alignment horizontal="center" vertical="center" wrapText="1"/>
      <protection locked="0"/>
    </xf>
    <xf numFmtId="0" fontId="7" fillId="5" borderId="13" xfId="1" applyFont="1" applyFill="1" applyBorder="1" applyAlignment="1" applyProtection="1">
      <alignment horizontal="center" vertical="center" wrapText="1"/>
      <protection locked="0"/>
    </xf>
    <xf numFmtId="0" fontId="7" fillId="4" borderId="3" xfId="1" applyFont="1" applyFill="1" applyBorder="1" applyAlignment="1">
      <alignment horizontal="right" vertical="center"/>
    </xf>
    <xf numFmtId="0" fontId="7" fillId="4" borderId="0" xfId="1" applyFont="1" applyFill="1" applyAlignment="1">
      <alignment horizontal="right" vertical="center"/>
    </xf>
    <xf numFmtId="0" fontId="7" fillId="4" borderId="12" xfId="1" applyFont="1" applyFill="1" applyBorder="1" applyAlignment="1">
      <alignment horizontal="center" vertical="center"/>
    </xf>
    <xf numFmtId="0" fontId="7" fillId="4" borderId="12" xfId="1" applyFont="1" applyFill="1" applyBorder="1" applyAlignment="1">
      <alignment horizontal="center"/>
    </xf>
    <xf numFmtId="0" fontId="7" fillId="4" borderId="13" xfId="1" applyFont="1" applyFill="1" applyBorder="1" applyAlignment="1">
      <alignment horizontal="center"/>
    </xf>
    <xf numFmtId="0" fontId="10" fillId="4" borderId="11" xfId="1" applyFont="1" applyFill="1" applyBorder="1" applyAlignment="1">
      <alignment horizontal="center" vertical="center"/>
    </xf>
    <xf numFmtId="0" fontId="10" fillId="4" borderId="12" xfId="1" applyFont="1" applyFill="1" applyBorder="1" applyAlignment="1">
      <alignment horizontal="center" vertical="center"/>
    </xf>
    <xf numFmtId="0" fontId="10" fillId="4" borderId="13" xfId="1" applyFont="1" applyFill="1" applyBorder="1" applyAlignment="1">
      <alignment horizontal="center" vertical="center"/>
    </xf>
    <xf numFmtId="0" fontId="10" fillId="4" borderId="11" xfId="1" applyFont="1" applyFill="1" applyBorder="1" applyAlignment="1">
      <alignment horizontal="center" vertical="center" wrapText="1"/>
    </xf>
    <xf numFmtId="0" fontId="10" fillId="4" borderId="12" xfId="1" applyFont="1" applyFill="1" applyBorder="1" applyAlignment="1">
      <alignment horizontal="center" vertical="center" wrapText="1"/>
    </xf>
    <xf numFmtId="0" fontId="10" fillId="4" borderId="13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7" fillId="4" borderId="0" xfId="1" applyFont="1" applyFill="1" applyAlignment="1">
      <alignment horizontal="center"/>
    </xf>
    <xf numFmtId="49" fontId="7" fillId="4" borderId="14" xfId="1" applyNumberFormat="1" applyFont="1" applyFill="1" applyBorder="1" applyAlignment="1">
      <alignment horizontal="center" vertical="center" wrapText="1"/>
    </xf>
    <xf numFmtId="49" fontId="7" fillId="4" borderId="14" xfId="1" applyNumberFormat="1" applyFont="1" applyFill="1" applyBorder="1" applyAlignment="1">
      <alignment horizontal="center" wrapText="1"/>
    </xf>
    <xf numFmtId="0" fontId="10" fillId="4" borderId="15" xfId="1" applyFont="1" applyFill="1" applyBorder="1" applyAlignment="1" applyProtection="1">
      <alignment horizontal="center"/>
      <protection locked="0"/>
    </xf>
    <xf numFmtId="0" fontId="10" fillId="4" borderId="14" xfId="1" applyFont="1" applyFill="1" applyBorder="1" applyAlignment="1" applyProtection="1">
      <alignment horizontal="center"/>
      <protection locked="0"/>
    </xf>
    <xf numFmtId="0" fontId="10" fillId="4" borderId="16" xfId="1" applyFont="1" applyFill="1" applyBorder="1" applyAlignment="1" applyProtection="1">
      <alignment horizontal="center"/>
      <protection locked="0"/>
    </xf>
    <xf numFmtId="0" fontId="10" fillId="4" borderId="17" xfId="1" applyFont="1" applyFill="1" applyBorder="1" applyAlignment="1" applyProtection="1">
      <alignment horizontal="center"/>
      <protection locked="0"/>
    </xf>
    <xf numFmtId="0" fontId="10" fillId="4" borderId="0" xfId="1" applyFont="1" applyFill="1" applyAlignment="1" applyProtection="1">
      <alignment horizontal="center"/>
      <protection locked="0"/>
    </xf>
    <xf numFmtId="0" fontId="10" fillId="4" borderId="18" xfId="1" applyFont="1" applyFill="1" applyBorder="1" applyAlignment="1" applyProtection="1">
      <alignment horizontal="center"/>
      <protection locked="0"/>
    </xf>
    <xf numFmtId="0" fontId="7" fillId="3" borderId="19" xfId="0" applyFont="1" applyFill="1" applyBorder="1" applyAlignment="1" applyProtection="1">
      <alignment horizontal="right"/>
      <protection locked="0"/>
    </xf>
    <xf numFmtId="0" fontId="7" fillId="3" borderId="20" xfId="0" applyFont="1" applyFill="1" applyBorder="1" applyAlignment="1" applyProtection="1">
      <alignment horizontal="right"/>
      <protection locked="0"/>
    </xf>
    <xf numFmtId="0" fontId="7" fillId="3" borderId="21" xfId="0" applyFont="1" applyFill="1" applyBorder="1" applyAlignment="1" applyProtection="1">
      <alignment horizontal="right"/>
      <protection locked="0"/>
    </xf>
    <xf numFmtId="0" fontId="10" fillId="4" borderId="0" xfId="1" applyFont="1" applyFill="1" applyAlignment="1">
      <alignment horizontal="center"/>
    </xf>
    <xf numFmtId="0" fontId="7" fillId="4" borderId="2" xfId="1" applyFont="1" applyFill="1" applyBorder="1" applyAlignment="1">
      <alignment horizontal="center" vertical="center"/>
    </xf>
    <xf numFmtId="49" fontId="7" fillId="5" borderId="2" xfId="1" applyNumberFormat="1" applyFont="1" applyFill="1" applyBorder="1" applyAlignment="1" applyProtection="1">
      <alignment horizontal="center" vertical="center"/>
      <protection locked="0"/>
    </xf>
    <xf numFmtId="0" fontId="7" fillId="3" borderId="0" xfId="1" applyFont="1" applyFill="1" applyAlignment="1">
      <alignment horizontal="right" vertical="center"/>
    </xf>
    <xf numFmtId="0" fontId="10" fillId="4" borderId="22" xfId="1" applyFont="1" applyFill="1" applyBorder="1" applyAlignment="1">
      <alignment horizontal="center" vertical="center"/>
    </xf>
    <xf numFmtId="0" fontId="7" fillId="5" borderId="23" xfId="1" applyFont="1" applyFill="1" applyBorder="1" applyAlignment="1" applyProtection="1">
      <alignment horizontal="center" vertical="center"/>
      <protection locked="0"/>
    </xf>
    <xf numFmtId="0" fontId="16" fillId="4" borderId="0" xfId="1" applyFont="1" applyFill="1" applyAlignment="1">
      <alignment horizontal="center"/>
    </xf>
    <xf numFmtId="0" fontId="16" fillId="4" borderId="6" xfId="1" applyFont="1" applyFill="1" applyBorder="1" applyAlignment="1">
      <alignment horizontal="center"/>
    </xf>
    <xf numFmtId="0" fontId="10" fillId="0" borderId="8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7" fillId="0" borderId="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/>
    </xf>
    <xf numFmtId="49" fontId="7" fillId="0" borderId="5" xfId="0" applyNumberFormat="1" applyFont="1" applyBorder="1" applyAlignment="1">
      <alignment horizontal="center"/>
    </xf>
    <xf numFmtId="0" fontId="10" fillId="0" borderId="9" xfId="0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5" borderId="1" xfId="0" applyFont="1" applyFill="1" applyBorder="1" applyAlignment="1">
      <alignment horizontal="center"/>
    </xf>
    <xf numFmtId="0" fontId="7" fillId="0" borderId="0" xfId="0" applyFont="1" applyAlignment="1">
      <alignment horizontal="left" vertical="top" wrapText="1"/>
    </xf>
    <xf numFmtId="0" fontId="10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10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49" fontId="7" fillId="5" borderId="4" xfId="0" applyNumberFormat="1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2" fontId="7" fillId="0" borderId="2" xfId="0" applyNumberFormat="1" applyFont="1" applyBorder="1" applyAlignment="1">
      <alignment horizontal="center" vertical="center"/>
    </xf>
    <xf numFmtId="2" fontId="7" fillId="5" borderId="2" xfId="0" applyNumberFormat="1" applyFont="1" applyFill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0" fontId="10" fillId="5" borderId="8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/>
    </xf>
    <xf numFmtId="0" fontId="7" fillId="4" borderId="7" xfId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checked="Checked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30480</xdr:rowOff>
    </xdr:to>
    <xdr:sp macro="" textlink="">
      <xdr:nvSpPr>
        <xdr:cNvPr id="227194" name="Text Box 11">
          <a:extLst>
            <a:ext uri="{FF2B5EF4-FFF2-40B4-BE49-F238E27FC236}">
              <a16:creationId xmlns:a16="http://schemas.microsoft.com/office/drawing/2014/main" id="{00000000-0008-0000-0000-00007A77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152400</xdr:colOff>
      <xdr:row>35</xdr:row>
      <xdr:rowOff>83820</xdr:rowOff>
    </xdr:from>
    <xdr:to>
      <xdr:col>34</xdr:col>
      <xdr:colOff>144780</xdr:colOff>
      <xdr:row>36</xdr:row>
      <xdr:rowOff>68580</xdr:rowOff>
    </xdr:to>
    <xdr:sp macro="" textlink="">
      <xdr:nvSpPr>
        <xdr:cNvPr id="227195" name="Text Box 12">
          <a:extLst>
            <a:ext uri="{FF2B5EF4-FFF2-40B4-BE49-F238E27FC236}">
              <a16:creationId xmlns:a16="http://schemas.microsoft.com/office/drawing/2014/main" id="{00000000-0008-0000-0000-00007B770300}"/>
            </a:ext>
          </a:extLst>
        </xdr:cNvPr>
        <xdr:cNvSpPr txBox="1">
          <a:spLocks noChangeArrowheads="1"/>
        </xdr:cNvSpPr>
      </xdr:nvSpPr>
      <xdr:spPr bwMode="auto">
        <a:xfrm>
          <a:off x="5981700" y="6880860"/>
          <a:ext cx="71628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228600</xdr:colOff>
      <xdr:row>35</xdr:row>
      <xdr:rowOff>83820</xdr:rowOff>
    </xdr:from>
    <xdr:to>
      <xdr:col>24</xdr:col>
      <xdr:colOff>152400</xdr:colOff>
      <xdr:row>36</xdr:row>
      <xdr:rowOff>68580</xdr:rowOff>
    </xdr:to>
    <xdr:sp macro="" textlink="">
      <xdr:nvSpPr>
        <xdr:cNvPr id="227196" name="Text Box 13">
          <a:extLst>
            <a:ext uri="{FF2B5EF4-FFF2-40B4-BE49-F238E27FC236}">
              <a16:creationId xmlns:a16="http://schemas.microsoft.com/office/drawing/2014/main" id="{00000000-0008-0000-0000-00007C770300}"/>
            </a:ext>
          </a:extLst>
        </xdr:cNvPr>
        <xdr:cNvSpPr txBox="1">
          <a:spLocks noChangeArrowheads="1"/>
        </xdr:cNvSpPr>
      </xdr:nvSpPr>
      <xdr:spPr bwMode="auto">
        <a:xfrm>
          <a:off x="3931920" y="6880860"/>
          <a:ext cx="64770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35</xdr:row>
      <xdr:rowOff>38100</xdr:rowOff>
    </xdr:from>
    <xdr:to>
      <xdr:col>37</xdr:col>
      <xdr:colOff>3810</xdr:colOff>
      <xdr:row>36</xdr:row>
      <xdr:rowOff>38100</xdr:rowOff>
    </xdr:to>
    <xdr:sp macro="" textlink="">
      <xdr:nvSpPr>
        <xdr:cNvPr id="227197" name="Text Box 14">
          <a:extLst>
            <a:ext uri="{FF2B5EF4-FFF2-40B4-BE49-F238E27FC236}">
              <a16:creationId xmlns:a16="http://schemas.microsoft.com/office/drawing/2014/main" id="{00000000-0008-0000-0000-00007D770300}"/>
            </a:ext>
          </a:extLst>
        </xdr:cNvPr>
        <xdr:cNvSpPr txBox="1">
          <a:spLocks noChangeArrowheads="1"/>
        </xdr:cNvSpPr>
      </xdr:nvSpPr>
      <xdr:spPr bwMode="auto">
        <a:xfrm>
          <a:off x="6797040" y="6835140"/>
          <a:ext cx="59436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36</xdr:row>
      <xdr:rowOff>38100</xdr:rowOff>
    </xdr:from>
    <xdr:to>
      <xdr:col>37</xdr:col>
      <xdr:colOff>3810</xdr:colOff>
      <xdr:row>37</xdr:row>
      <xdr:rowOff>7620</xdr:rowOff>
    </xdr:to>
    <xdr:sp macro="" textlink="">
      <xdr:nvSpPr>
        <xdr:cNvPr id="227198" name="Text Box 15">
          <a:extLst>
            <a:ext uri="{FF2B5EF4-FFF2-40B4-BE49-F238E27FC236}">
              <a16:creationId xmlns:a16="http://schemas.microsoft.com/office/drawing/2014/main" id="{00000000-0008-0000-0000-00007E770300}"/>
            </a:ext>
          </a:extLst>
        </xdr:cNvPr>
        <xdr:cNvSpPr txBox="1">
          <a:spLocks noChangeArrowheads="1"/>
        </xdr:cNvSpPr>
      </xdr:nvSpPr>
      <xdr:spPr bwMode="auto">
        <a:xfrm>
          <a:off x="6766560" y="7025640"/>
          <a:ext cx="62484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27199" name="Text Box 1490">
          <a:extLst>
            <a:ext uri="{FF2B5EF4-FFF2-40B4-BE49-F238E27FC236}">
              <a16:creationId xmlns:a16="http://schemas.microsoft.com/office/drawing/2014/main" id="{00000000-0008-0000-0000-00007F77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39</xdr:row>
      <xdr:rowOff>45720</xdr:rowOff>
    </xdr:from>
    <xdr:to>
      <xdr:col>31</xdr:col>
      <xdr:colOff>91440</xdr:colOff>
      <xdr:row>40</xdr:row>
      <xdr:rowOff>30480</xdr:rowOff>
    </xdr:to>
    <xdr:sp macro="" textlink="">
      <xdr:nvSpPr>
        <xdr:cNvPr id="227200" name="Text Box 1494">
          <a:extLst>
            <a:ext uri="{FF2B5EF4-FFF2-40B4-BE49-F238E27FC236}">
              <a16:creationId xmlns:a16="http://schemas.microsoft.com/office/drawing/2014/main" id="{00000000-0008-0000-0000-000080770300}"/>
            </a:ext>
          </a:extLst>
        </xdr:cNvPr>
        <xdr:cNvSpPr txBox="1">
          <a:spLocks noChangeArrowheads="1"/>
        </xdr:cNvSpPr>
      </xdr:nvSpPr>
      <xdr:spPr bwMode="auto">
        <a:xfrm>
          <a:off x="5791200" y="7604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69881</xdr:colOff>
      <xdr:row>20</xdr:row>
      <xdr:rowOff>38100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51200" y="31146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98425</xdr:colOff>
      <xdr:row>11</xdr:row>
      <xdr:rowOff>125730</xdr:rowOff>
    </xdr:from>
    <xdr:to>
      <xdr:col>13</xdr:col>
      <xdr:colOff>79375</xdr:colOff>
      <xdr:row>13</xdr:row>
      <xdr:rowOff>111095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508250" y="2286000"/>
          <a:ext cx="247650" cy="254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454274" y="3044825"/>
          <a:ext cx="260369" cy="346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57150</xdr:rowOff>
    </xdr:from>
    <xdr:to>
      <xdr:col>18</xdr:col>
      <xdr:colOff>57428</xdr:colOff>
      <xdr:row>16</xdr:row>
      <xdr:rowOff>64825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254375" y="2609850"/>
          <a:ext cx="2320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81280</xdr:colOff>
      <xdr:row>17</xdr:row>
      <xdr:rowOff>73025</xdr:rowOff>
    </xdr:from>
    <xdr:to>
      <xdr:col>22</xdr:col>
      <xdr:colOff>38160</xdr:colOff>
      <xdr:row>19</xdr:row>
      <xdr:rowOff>73025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784600" y="3025775"/>
          <a:ext cx="25408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24</xdr:row>
      <xdr:rowOff>34925</xdr:rowOff>
    </xdr:from>
    <xdr:to>
      <xdr:col>29</xdr:col>
      <xdr:colOff>96491</xdr:colOff>
      <xdr:row>35</xdr:row>
      <xdr:rowOff>34925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054600" y="3816350"/>
          <a:ext cx="2728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64930</xdr:colOff>
      <xdr:row>16</xdr:row>
      <xdr:rowOff>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616200" y="2552700"/>
          <a:ext cx="25091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24</xdr:row>
      <xdr:rowOff>76200</xdr:rowOff>
    </xdr:from>
    <xdr:to>
      <xdr:col>26</xdr:col>
      <xdr:colOff>57246</xdr:colOff>
      <xdr:row>35</xdr:row>
      <xdr:rowOff>76200</xdr:rowOff>
    </xdr:to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524375" y="38576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81280</xdr:colOff>
      <xdr:row>24</xdr:row>
      <xdr:rowOff>111125</xdr:rowOff>
    </xdr:from>
    <xdr:to>
      <xdr:col>22</xdr:col>
      <xdr:colOff>26817</xdr:colOff>
      <xdr:row>35</xdr:row>
      <xdr:rowOff>111125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84600" y="3892550"/>
          <a:ext cx="234913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25</xdr:row>
      <xdr:rowOff>102870</xdr:rowOff>
    </xdr:to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448050" y="37242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102870</xdr:rowOff>
    </xdr:from>
    <xdr:to>
      <xdr:col>26</xdr:col>
      <xdr:colOff>38100</xdr:colOff>
      <xdr:row>21</xdr:row>
      <xdr:rowOff>102870</xdr:rowOff>
    </xdr:to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505325" y="332422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24</xdr:row>
      <xdr:rowOff>76200</xdr:rowOff>
    </xdr:from>
    <xdr:to>
      <xdr:col>24</xdr:col>
      <xdr:colOff>99807</xdr:colOff>
      <xdr:row>35</xdr:row>
      <xdr:rowOff>76200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52900" y="3857625"/>
          <a:ext cx="2540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24</xdr:row>
      <xdr:rowOff>114300</xdr:rowOff>
    </xdr:from>
    <xdr:to>
      <xdr:col>14</xdr:col>
      <xdr:colOff>110833</xdr:colOff>
      <xdr:row>35</xdr:row>
      <xdr:rowOff>114300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692400" y="3895725"/>
          <a:ext cx="2283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24</xdr:row>
      <xdr:rowOff>111125</xdr:rowOff>
    </xdr:from>
    <xdr:to>
      <xdr:col>18</xdr:col>
      <xdr:colOff>73261</xdr:colOff>
      <xdr:row>35</xdr:row>
      <xdr:rowOff>111125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263900" y="3892550"/>
          <a:ext cx="23827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19050</xdr:rowOff>
    </xdr:from>
    <xdr:to>
      <xdr:col>28</xdr:col>
      <xdr:colOff>27090</xdr:colOff>
      <xdr:row>16</xdr:row>
      <xdr:rowOff>26725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787900" y="2571750"/>
          <a:ext cx="25124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79153</xdr:colOff>
      <xdr:row>20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035550" y="3076575"/>
          <a:ext cx="28238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19050</xdr:rowOff>
    </xdr:from>
    <xdr:to>
      <xdr:col>29</xdr:col>
      <xdr:colOff>34930</xdr:colOff>
      <xdr:row>22</xdr:row>
      <xdr:rowOff>65130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 flipH="1">
          <a:off x="4867275" y="3371850"/>
          <a:ext cx="406405" cy="314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25</xdr:row>
      <xdr:rowOff>64770</xdr:rowOff>
    </xdr:from>
    <xdr:to>
      <xdr:col>27</xdr:col>
      <xdr:colOff>124979</xdr:colOff>
      <xdr:row>36</xdr:row>
      <xdr:rowOff>67054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733925" y="3962400"/>
          <a:ext cx="250556" cy="257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38</xdr:row>
      <xdr:rowOff>0</xdr:rowOff>
    </xdr:from>
    <xdr:to>
      <xdr:col>27</xdr:col>
      <xdr:colOff>53689</xdr:colOff>
      <xdr:row>40</xdr:row>
      <xdr:rowOff>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651375" y="4400550"/>
          <a:ext cx="26958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36</xdr:row>
      <xdr:rowOff>95249</xdr:rowOff>
    </xdr:from>
    <xdr:to>
      <xdr:col>27</xdr:col>
      <xdr:colOff>16263</xdr:colOff>
      <xdr:row>38</xdr:row>
      <xdr:rowOff>38527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667250" y="4248149"/>
          <a:ext cx="216094" cy="190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102869</xdr:rowOff>
    </xdr:from>
    <xdr:to>
      <xdr:col>14</xdr:col>
      <xdr:colOff>99534</xdr:colOff>
      <xdr:row>15</xdr:row>
      <xdr:rowOff>61688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714625" y="2524124"/>
          <a:ext cx="187377" cy="206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36</xdr:row>
      <xdr:rowOff>19049</xdr:rowOff>
    </xdr:from>
    <xdr:to>
      <xdr:col>10</xdr:col>
      <xdr:colOff>61664</xdr:colOff>
      <xdr:row>37</xdr:row>
      <xdr:rowOff>103020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022475" y="4171949"/>
          <a:ext cx="308044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37</xdr:row>
      <xdr:rowOff>64769</xdr:rowOff>
    </xdr:from>
    <xdr:to>
      <xdr:col>25</xdr:col>
      <xdr:colOff>236</xdr:colOff>
      <xdr:row>39</xdr:row>
      <xdr:rowOff>9506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314825" y="4333874"/>
          <a:ext cx="190736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1</xdr:col>
      <xdr:colOff>342900</xdr:colOff>
      <xdr:row>21</xdr:row>
      <xdr:rowOff>160020</xdr:rowOff>
    </xdr:from>
    <xdr:to>
      <xdr:col>5</xdr:col>
      <xdr:colOff>106680</xdr:colOff>
      <xdr:row>22</xdr:row>
      <xdr:rowOff>22860</xdr:rowOff>
    </xdr:to>
    <xdr:sp macro="" textlink="">
      <xdr:nvSpPr>
        <xdr:cNvPr id="227225" name="Text Box 11">
          <a:extLst>
            <a:ext uri="{FF2B5EF4-FFF2-40B4-BE49-F238E27FC236}">
              <a16:creationId xmlns:a16="http://schemas.microsoft.com/office/drawing/2014/main" id="{00000000-0008-0000-0000-000099770300}"/>
            </a:ext>
          </a:extLst>
        </xdr:cNvPr>
        <xdr:cNvSpPr txBox="1">
          <a:spLocks noChangeArrowheads="1"/>
        </xdr:cNvSpPr>
      </xdr:nvSpPr>
      <xdr:spPr bwMode="auto">
        <a:xfrm>
          <a:off x="533400" y="4290060"/>
          <a:ext cx="716280" cy="53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152400</xdr:colOff>
      <xdr:row>35</xdr:row>
      <xdr:rowOff>83820</xdr:rowOff>
    </xdr:from>
    <xdr:to>
      <xdr:col>34</xdr:col>
      <xdr:colOff>144780</xdr:colOff>
      <xdr:row>36</xdr:row>
      <xdr:rowOff>45720</xdr:rowOff>
    </xdr:to>
    <xdr:sp macro="" textlink="">
      <xdr:nvSpPr>
        <xdr:cNvPr id="227226" name="Text Box 12">
          <a:extLst>
            <a:ext uri="{FF2B5EF4-FFF2-40B4-BE49-F238E27FC236}">
              <a16:creationId xmlns:a16="http://schemas.microsoft.com/office/drawing/2014/main" id="{00000000-0008-0000-0000-00009A770300}"/>
            </a:ext>
          </a:extLst>
        </xdr:cNvPr>
        <xdr:cNvSpPr txBox="1">
          <a:spLocks noChangeArrowheads="1"/>
        </xdr:cNvSpPr>
      </xdr:nvSpPr>
      <xdr:spPr bwMode="auto">
        <a:xfrm>
          <a:off x="5981700" y="6880860"/>
          <a:ext cx="71628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228600</xdr:colOff>
      <xdr:row>35</xdr:row>
      <xdr:rowOff>83820</xdr:rowOff>
    </xdr:from>
    <xdr:to>
      <xdr:col>24</xdr:col>
      <xdr:colOff>152400</xdr:colOff>
      <xdr:row>36</xdr:row>
      <xdr:rowOff>45720</xdr:rowOff>
    </xdr:to>
    <xdr:sp macro="" textlink="">
      <xdr:nvSpPr>
        <xdr:cNvPr id="227227" name="Text Box 13">
          <a:extLst>
            <a:ext uri="{FF2B5EF4-FFF2-40B4-BE49-F238E27FC236}">
              <a16:creationId xmlns:a16="http://schemas.microsoft.com/office/drawing/2014/main" id="{00000000-0008-0000-0000-00009B770300}"/>
            </a:ext>
          </a:extLst>
        </xdr:cNvPr>
        <xdr:cNvSpPr txBox="1">
          <a:spLocks noChangeArrowheads="1"/>
        </xdr:cNvSpPr>
      </xdr:nvSpPr>
      <xdr:spPr bwMode="auto">
        <a:xfrm>
          <a:off x="3931920" y="6880860"/>
          <a:ext cx="647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35</xdr:row>
      <xdr:rowOff>38100</xdr:rowOff>
    </xdr:from>
    <xdr:to>
      <xdr:col>37</xdr:col>
      <xdr:colOff>22860</xdr:colOff>
      <xdr:row>36</xdr:row>
      <xdr:rowOff>30480</xdr:rowOff>
    </xdr:to>
    <xdr:sp macro="" textlink="">
      <xdr:nvSpPr>
        <xdr:cNvPr id="227228" name="Text Box 14">
          <a:extLst>
            <a:ext uri="{FF2B5EF4-FFF2-40B4-BE49-F238E27FC236}">
              <a16:creationId xmlns:a16="http://schemas.microsoft.com/office/drawing/2014/main" id="{00000000-0008-0000-0000-00009C770300}"/>
            </a:ext>
          </a:extLst>
        </xdr:cNvPr>
        <xdr:cNvSpPr txBox="1">
          <a:spLocks noChangeArrowheads="1"/>
        </xdr:cNvSpPr>
      </xdr:nvSpPr>
      <xdr:spPr bwMode="auto">
        <a:xfrm>
          <a:off x="6797040" y="6835140"/>
          <a:ext cx="62484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36</xdr:row>
      <xdr:rowOff>38100</xdr:rowOff>
    </xdr:from>
    <xdr:to>
      <xdr:col>37</xdr:col>
      <xdr:colOff>22860</xdr:colOff>
      <xdr:row>37</xdr:row>
      <xdr:rowOff>7620</xdr:rowOff>
    </xdr:to>
    <xdr:sp macro="" textlink="">
      <xdr:nvSpPr>
        <xdr:cNvPr id="227229" name="Text Box 15">
          <a:extLst>
            <a:ext uri="{FF2B5EF4-FFF2-40B4-BE49-F238E27FC236}">
              <a16:creationId xmlns:a16="http://schemas.microsoft.com/office/drawing/2014/main" id="{00000000-0008-0000-0000-00009D770300}"/>
            </a:ext>
          </a:extLst>
        </xdr:cNvPr>
        <xdr:cNvSpPr txBox="1">
          <a:spLocks noChangeArrowheads="1"/>
        </xdr:cNvSpPr>
      </xdr:nvSpPr>
      <xdr:spPr bwMode="auto">
        <a:xfrm>
          <a:off x="6766560" y="7025640"/>
          <a:ext cx="65532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27230" name="Text Box 1490">
          <a:extLst>
            <a:ext uri="{FF2B5EF4-FFF2-40B4-BE49-F238E27FC236}">
              <a16:creationId xmlns:a16="http://schemas.microsoft.com/office/drawing/2014/main" id="{00000000-0008-0000-0000-00009E770300}"/>
            </a:ext>
          </a:extLst>
        </xdr:cNvPr>
        <xdr:cNvSpPr txBox="1">
          <a:spLocks noChangeArrowheads="1"/>
        </xdr:cNvSpPr>
      </xdr:nvSpPr>
      <xdr:spPr bwMode="auto">
        <a:xfrm>
          <a:off x="1325880" y="423672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39</xdr:row>
      <xdr:rowOff>45720</xdr:rowOff>
    </xdr:from>
    <xdr:to>
      <xdr:col>31</xdr:col>
      <xdr:colOff>91440</xdr:colOff>
      <xdr:row>40</xdr:row>
      <xdr:rowOff>30480</xdr:rowOff>
    </xdr:to>
    <xdr:sp macro="" textlink="">
      <xdr:nvSpPr>
        <xdr:cNvPr id="227231" name="Text Box 1494">
          <a:extLst>
            <a:ext uri="{FF2B5EF4-FFF2-40B4-BE49-F238E27FC236}">
              <a16:creationId xmlns:a16="http://schemas.microsoft.com/office/drawing/2014/main" id="{00000000-0008-0000-0000-00009F770300}"/>
            </a:ext>
          </a:extLst>
        </xdr:cNvPr>
        <xdr:cNvSpPr txBox="1">
          <a:spLocks noChangeArrowheads="1"/>
        </xdr:cNvSpPr>
      </xdr:nvSpPr>
      <xdr:spPr bwMode="auto">
        <a:xfrm>
          <a:off x="5791200" y="7604760"/>
          <a:ext cx="129540" cy="175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69881</xdr:colOff>
      <xdr:row>20</xdr:row>
      <xdr:rowOff>38100</xdr:rowOff>
    </xdr:to>
    <xdr:sp macro="" textlink="">
      <xdr:nvSpPr>
        <xdr:cNvPr id="41" name="40 CuadroText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3327400" y="359092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98425</xdr:colOff>
      <xdr:row>11</xdr:row>
      <xdr:rowOff>125730</xdr:rowOff>
    </xdr:from>
    <xdr:to>
      <xdr:col>13</xdr:col>
      <xdr:colOff>79375</xdr:colOff>
      <xdr:row>13</xdr:row>
      <xdr:rowOff>111095</xdr:rowOff>
    </xdr:to>
    <xdr:sp macro="" textlink="">
      <xdr:nvSpPr>
        <xdr:cNvPr id="42" name="41 CuadroText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2584450" y="2352675"/>
          <a:ext cx="247650" cy="3588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92075</xdr:rowOff>
    </xdr:from>
    <xdr:to>
      <xdr:col>13</xdr:col>
      <xdr:colOff>38118</xdr:colOff>
      <xdr:row>20</xdr:row>
      <xdr:rowOff>38357</xdr:rowOff>
    </xdr:to>
    <xdr:sp macro="" textlink="">
      <xdr:nvSpPr>
        <xdr:cNvPr id="43" name="42 CuadroTexto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2530474" y="3454400"/>
          <a:ext cx="260369" cy="517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57150</xdr:rowOff>
    </xdr:from>
    <xdr:to>
      <xdr:col>18</xdr:col>
      <xdr:colOff>57428</xdr:colOff>
      <xdr:row>16</xdr:row>
      <xdr:rowOff>64825</xdr:rowOff>
    </xdr:to>
    <xdr:sp macro="" textlink="">
      <xdr:nvSpPr>
        <xdr:cNvPr id="44" name="43 CuadroTexto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3330575" y="2847975"/>
          <a:ext cx="232008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81280</xdr:colOff>
      <xdr:row>17</xdr:row>
      <xdr:rowOff>73025</xdr:rowOff>
    </xdr:from>
    <xdr:to>
      <xdr:col>22</xdr:col>
      <xdr:colOff>38160</xdr:colOff>
      <xdr:row>19</xdr:row>
      <xdr:rowOff>73025</xdr:rowOff>
    </xdr:to>
    <xdr:sp macro="" textlink="">
      <xdr:nvSpPr>
        <xdr:cNvPr id="45" name="44 CuadroTex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3860800" y="3435350"/>
          <a:ext cx="254081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96491</xdr:colOff>
      <xdr:row>35</xdr:row>
      <xdr:rowOff>34925</xdr:rowOff>
    </xdr:to>
    <xdr:sp macro="" textlink="">
      <xdr:nvSpPr>
        <xdr:cNvPr id="46" name="45 CuadroTex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5130800" y="4540250"/>
          <a:ext cx="272825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64930</xdr:colOff>
      <xdr:row>16</xdr:row>
      <xdr:rowOff>0</xdr:rowOff>
    </xdr:to>
    <xdr:sp macro="" textlink="">
      <xdr:nvSpPr>
        <xdr:cNvPr id="47" name="46 CuadroTexto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2692400" y="2790825"/>
          <a:ext cx="25091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57246</xdr:colOff>
      <xdr:row>35</xdr:row>
      <xdr:rowOff>76200</xdr:rowOff>
    </xdr:to>
    <xdr:sp macro="" textlink="">
      <xdr:nvSpPr>
        <xdr:cNvPr id="48" name="47 CuadroTexto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600575" y="4581525"/>
          <a:ext cx="247650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81280</xdr:colOff>
      <xdr:row>23</xdr:row>
      <xdr:rowOff>111125</xdr:rowOff>
    </xdr:from>
    <xdr:to>
      <xdr:col>22</xdr:col>
      <xdr:colOff>26817</xdr:colOff>
      <xdr:row>35</xdr:row>
      <xdr:rowOff>111125</xdr:rowOff>
    </xdr:to>
    <xdr:sp macro="" textlink="">
      <xdr:nvSpPr>
        <xdr:cNvPr id="49" name="48 CuadroText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860800" y="4616450"/>
          <a:ext cx="234913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19050</xdr:colOff>
      <xdr:row>22</xdr:row>
      <xdr:rowOff>102870</xdr:rowOff>
    </xdr:from>
    <xdr:to>
      <xdr:col>20</xdr:col>
      <xdr:colOff>0</xdr:colOff>
      <xdr:row>34</xdr:row>
      <xdr:rowOff>102870</xdr:rowOff>
    </xdr:to>
    <xdr:sp macro="" textlink="">
      <xdr:nvSpPr>
        <xdr:cNvPr id="50" name="49 CuadroTex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3524250" y="4410075"/>
          <a:ext cx="247650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102870</xdr:rowOff>
    </xdr:from>
    <xdr:to>
      <xdr:col>26</xdr:col>
      <xdr:colOff>38100</xdr:colOff>
      <xdr:row>21</xdr:row>
      <xdr:rowOff>102870</xdr:rowOff>
    </xdr:to>
    <xdr:sp macro="" textlink="">
      <xdr:nvSpPr>
        <xdr:cNvPr id="51" name="50 CuadroTex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4581525" y="3838575"/>
          <a:ext cx="2476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99807</xdr:colOff>
      <xdr:row>35</xdr:row>
      <xdr:rowOff>76200</xdr:rowOff>
    </xdr:to>
    <xdr:sp macro="" textlink="">
      <xdr:nvSpPr>
        <xdr:cNvPr id="52" name="51 CuadroText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4229100" y="4581525"/>
          <a:ext cx="254074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23</xdr:row>
      <xdr:rowOff>114300</xdr:rowOff>
    </xdr:from>
    <xdr:to>
      <xdr:col>14</xdr:col>
      <xdr:colOff>110833</xdr:colOff>
      <xdr:row>35</xdr:row>
      <xdr:rowOff>114300</xdr:rowOff>
    </xdr:to>
    <xdr:sp macro="" textlink="">
      <xdr:nvSpPr>
        <xdr:cNvPr id="53" name="52 CuadroTexto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2768600" y="4619625"/>
          <a:ext cx="228308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109220</xdr:colOff>
      <xdr:row>23</xdr:row>
      <xdr:rowOff>111125</xdr:rowOff>
    </xdr:from>
    <xdr:to>
      <xdr:col>18</xdr:col>
      <xdr:colOff>73261</xdr:colOff>
      <xdr:row>35</xdr:row>
      <xdr:rowOff>111125</xdr:rowOff>
    </xdr:to>
    <xdr:sp macro="" textlink="">
      <xdr:nvSpPr>
        <xdr:cNvPr id="54" name="53 CuadroTexto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340100" y="4616450"/>
          <a:ext cx="238276" cy="228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19050</xdr:rowOff>
    </xdr:from>
    <xdr:to>
      <xdr:col>28</xdr:col>
      <xdr:colOff>27090</xdr:colOff>
      <xdr:row>16</xdr:row>
      <xdr:rowOff>26725</xdr:rowOff>
    </xdr:to>
    <xdr:sp macro="" textlink="">
      <xdr:nvSpPr>
        <xdr:cNvPr id="55" name="54 CuadroTexto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864100" y="2809875"/>
          <a:ext cx="25124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23495</xdr:colOff>
      <xdr:row>18</xdr:row>
      <xdr:rowOff>0</xdr:rowOff>
    </xdr:from>
    <xdr:to>
      <xdr:col>29</xdr:col>
      <xdr:colOff>79153</xdr:colOff>
      <xdr:row>20</xdr:row>
      <xdr:rowOff>0</xdr:rowOff>
    </xdr:to>
    <xdr:sp macro="" textlink="">
      <xdr:nvSpPr>
        <xdr:cNvPr id="56" name="55 CuadroTexto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5111750" y="3552825"/>
          <a:ext cx="28238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19050</xdr:rowOff>
    </xdr:from>
    <xdr:to>
      <xdr:col>29</xdr:col>
      <xdr:colOff>34930</xdr:colOff>
      <xdr:row>22</xdr:row>
      <xdr:rowOff>65130</xdr:rowOff>
    </xdr:to>
    <xdr:sp macro="" textlink="">
      <xdr:nvSpPr>
        <xdr:cNvPr id="57" name="56 CuadroTex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 flipH="1">
          <a:off x="4943475" y="3952875"/>
          <a:ext cx="406405" cy="419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34</xdr:row>
      <xdr:rowOff>64770</xdr:rowOff>
    </xdr:from>
    <xdr:to>
      <xdr:col>27</xdr:col>
      <xdr:colOff>124979</xdr:colOff>
      <xdr:row>36</xdr:row>
      <xdr:rowOff>67098</xdr:rowOff>
    </xdr:to>
    <xdr:sp macro="" textlink="">
      <xdr:nvSpPr>
        <xdr:cNvPr id="58" name="57 CuadroTex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810125" y="6657975"/>
          <a:ext cx="250556" cy="3908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38</xdr:row>
      <xdr:rowOff>0</xdr:rowOff>
    </xdr:from>
    <xdr:to>
      <xdr:col>27</xdr:col>
      <xdr:colOff>53689</xdr:colOff>
      <xdr:row>40</xdr:row>
      <xdr:rowOff>0</xdr:rowOff>
    </xdr:to>
    <xdr:sp macro="" textlink="">
      <xdr:nvSpPr>
        <xdr:cNvPr id="59" name="58 CuadroTexto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4727575" y="7362825"/>
          <a:ext cx="269589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36</xdr:row>
      <xdr:rowOff>95249</xdr:rowOff>
    </xdr:from>
    <xdr:to>
      <xdr:col>27</xdr:col>
      <xdr:colOff>16263</xdr:colOff>
      <xdr:row>38</xdr:row>
      <xdr:rowOff>38527</xdr:rowOff>
    </xdr:to>
    <xdr:sp macro="" textlink="">
      <xdr:nvSpPr>
        <xdr:cNvPr id="60" name="59 CuadroTexto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4743450" y="7077074"/>
          <a:ext cx="216094" cy="324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102869</xdr:rowOff>
    </xdr:from>
    <xdr:to>
      <xdr:col>14</xdr:col>
      <xdr:colOff>99534</xdr:colOff>
      <xdr:row>15</xdr:row>
      <xdr:rowOff>61688</xdr:rowOff>
    </xdr:to>
    <xdr:sp macro="" textlink="">
      <xdr:nvSpPr>
        <xdr:cNvPr id="61" name="60 CuadroText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2790825" y="2695574"/>
          <a:ext cx="187377" cy="339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36</xdr:row>
      <xdr:rowOff>19049</xdr:rowOff>
    </xdr:from>
    <xdr:to>
      <xdr:col>10</xdr:col>
      <xdr:colOff>61664</xdr:colOff>
      <xdr:row>37</xdr:row>
      <xdr:rowOff>103020</xdr:rowOff>
    </xdr:to>
    <xdr:sp macro="" textlink="">
      <xdr:nvSpPr>
        <xdr:cNvPr id="62" name="61 CuadroTexto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2098675" y="7000874"/>
          <a:ext cx="30804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37</xdr:row>
      <xdr:rowOff>64769</xdr:rowOff>
    </xdr:from>
    <xdr:to>
      <xdr:col>25</xdr:col>
      <xdr:colOff>236</xdr:colOff>
      <xdr:row>39</xdr:row>
      <xdr:rowOff>9506</xdr:rowOff>
    </xdr:to>
    <xdr:sp macro="" textlink="">
      <xdr:nvSpPr>
        <xdr:cNvPr id="63" name="62 CuadroTex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391025" y="7229474"/>
          <a:ext cx="190736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 editAs="oneCell">
    <xdr:from>
      <xdr:col>6</xdr:col>
      <xdr:colOff>114300</xdr:colOff>
      <xdr:row>1</xdr:row>
      <xdr:rowOff>57150</xdr:rowOff>
    </xdr:from>
    <xdr:to>
      <xdr:col>15</xdr:col>
      <xdr:colOff>189230</xdr:colOff>
      <xdr:row>4</xdr:row>
      <xdr:rowOff>115570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304800"/>
          <a:ext cx="1713230" cy="658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781050</xdr:colOff>
          <xdr:row>8</xdr:row>
          <xdr:rowOff>47625</xdr:rowOff>
        </xdr:from>
        <xdr:to>
          <xdr:col>6</xdr:col>
          <xdr:colOff>0</xdr:colOff>
          <xdr:row>9</xdr:row>
          <xdr:rowOff>190500</xdr:rowOff>
        </xdr:to>
        <xdr:sp macro="" textlink="">
          <xdr:nvSpPr>
            <xdr:cNvPr id="224264" name="Check Box 8" hidden="1">
              <a:extLst>
                <a:ext uri="{63B3BB69-23CF-44E3-9099-C40C66FF867C}">
                  <a14:compatExt spid="_x0000_s224264"/>
                </a:ext>
                <a:ext uri="{FF2B5EF4-FFF2-40B4-BE49-F238E27FC236}">
                  <a16:creationId xmlns:a16="http://schemas.microsoft.com/office/drawing/2014/main" id="{00000000-0008-0000-0100-000008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781050</xdr:colOff>
          <xdr:row>10</xdr:row>
          <xdr:rowOff>19050</xdr:rowOff>
        </xdr:from>
        <xdr:to>
          <xdr:col>6</xdr:col>
          <xdr:colOff>0</xdr:colOff>
          <xdr:row>10</xdr:row>
          <xdr:rowOff>200025</xdr:rowOff>
        </xdr:to>
        <xdr:sp macro="" textlink="">
          <xdr:nvSpPr>
            <xdr:cNvPr id="224265" name="Check Box 9" hidden="1">
              <a:extLst>
                <a:ext uri="{63B3BB69-23CF-44E3-9099-C40C66FF867C}">
                  <a14:compatExt spid="_x0000_s224265"/>
                </a:ext>
                <a:ext uri="{FF2B5EF4-FFF2-40B4-BE49-F238E27FC236}">
                  <a16:creationId xmlns:a16="http://schemas.microsoft.com/office/drawing/2014/main" id="{00000000-0008-0000-0100-000009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781050</xdr:colOff>
          <xdr:row>11</xdr:row>
          <xdr:rowOff>28575</xdr:rowOff>
        </xdr:from>
        <xdr:to>
          <xdr:col>6</xdr:col>
          <xdr:colOff>0</xdr:colOff>
          <xdr:row>11</xdr:row>
          <xdr:rowOff>209550</xdr:rowOff>
        </xdr:to>
        <xdr:sp macro="" textlink="">
          <xdr:nvSpPr>
            <xdr:cNvPr id="224266" name="Check Box 10" hidden="1">
              <a:extLst>
                <a:ext uri="{63B3BB69-23CF-44E3-9099-C40C66FF867C}">
                  <a14:compatExt spid="_x0000_s224266"/>
                </a:ext>
                <a:ext uri="{FF2B5EF4-FFF2-40B4-BE49-F238E27FC236}">
                  <a16:creationId xmlns:a16="http://schemas.microsoft.com/office/drawing/2014/main" id="{00000000-0008-0000-0100-00000A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8</xdr:row>
          <xdr:rowOff>38100</xdr:rowOff>
        </xdr:from>
        <xdr:to>
          <xdr:col>2</xdr:col>
          <xdr:colOff>942975</xdr:colOff>
          <xdr:row>9</xdr:row>
          <xdr:rowOff>161925</xdr:rowOff>
        </xdr:to>
        <xdr:sp macro="" textlink="">
          <xdr:nvSpPr>
            <xdr:cNvPr id="224267" name="Check Box 11" hidden="1">
              <a:extLst>
                <a:ext uri="{63B3BB69-23CF-44E3-9099-C40C66FF867C}">
                  <a14:compatExt spid="_x0000_s224267"/>
                </a:ext>
                <a:ext uri="{FF2B5EF4-FFF2-40B4-BE49-F238E27FC236}">
                  <a16:creationId xmlns:a16="http://schemas.microsoft.com/office/drawing/2014/main" id="{00000000-0008-0000-0100-00000B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9</xdr:row>
          <xdr:rowOff>171450</xdr:rowOff>
        </xdr:from>
        <xdr:to>
          <xdr:col>2</xdr:col>
          <xdr:colOff>942975</xdr:colOff>
          <xdr:row>10</xdr:row>
          <xdr:rowOff>95250</xdr:rowOff>
        </xdr:to>
        <xdr:sp macro="" textlink="">
          <xdr:nvSpPr>
            <xdr:cNvPr id="224268" name="Check Box 12" hidden="1">
              <a:extLst>
                <a:ext uri="{63B3BB69-23CF-44E3-9099-C40C66FF867C}">
                  <a14:compatExt spid="_x0000_s224268"/>
                </a:ext>
                <a:ext uri="{FF2B5EF4-FFF2-40B4-BE49-F238E27FC236}">
                  <a16:creationId xmlns:a16="http://schemas.microsoft.com/office/drawing/2014/main" id="{00000000-0008-0000-0100-00000C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10</xdr:row>
          <xdr:rowOff>161925</xdr:rowOff>
        </xdr:from>
        <xdr:to>
          <xdr:col>2</xdr:col>
          <xdr:colOff>942975</xdr:colOff>
          <xdr:row>11</xdr:row>
          <xdr:rowOff>85725</xdr:rowOff>
        </xdr:to>
        <xdr:sp macro="" textlink="">
          <xdr:nvSpPr>
            <xdr:cNvPr id="224269" name="Check Box 13" hidden="1">
              <a:extLst>
                <a:ext uri="{63B3BB69-23CF-44E3-9099-C40C66FF867C}">
                  <a14:compatExt spid="_x0000_s224269"/>
                </a:ext>
                <a:ext uri="{FF2B5EF4-FFF2-40B4-BE49-F238E27FC236}">
                  <a16:creationId xmlns:a16="http://schemas.microsoft.com/office/drawing/2014/main" id="{00000000-0008-0000-0100-00000D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742950</xdr:colOff>
          <xdr:row>12</xdr:row>
          <xdr:rowOff>0</xdr:rowOff>
        </xdr:from>
        <xdr:to>
          <xdr:col>2</xdr:col>
          <xdr:colOff>942975</xdr:colOff>
          <xdr:row>12</xdr:row>
          <xdr:rowOff>180975</xdr:rowOff>
        </xdr:to>
        <xdr:sp macro="" textlink="">
          <xdr:nvSpPr>
            <xdr:cNvPr id="224270" name="Check Box 14" hidden="1">
              <a:extLst>
                <a:ext uri="{63B3BB69-23CF-44E3-9099-C40C66FF867C}">
                  <a14:compatExt spid="_x0000_s224270"/>
                </a:ext>
                <a:ext uri="{FF2B5EF4-FFF2-40B4-BE49-F238E27FC236}">
                  <a16:creationId xmlns:a16="http://schemas.microsoft.com/office/drawing/2014/main" id="{00000000-0008-0000-0100-00000E6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2</xdr:col>
      <xdr:colOff>793956</xdr:colOff>
      <xdr:row>4</xdr:row>
      <xdr:rowOff>160094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116" y="188285"/>
          <a:ext cx="1713230" cy="6584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781050</xdr:colOff>
          <xdr:row>0</xdr:row>
          <xdr:rowOff>123825</xdr:rowOff>
        </xdr:from>
        <xdr:to>
          <xdr:col>1</xdr:col>
          <xdr:colOff>781050</xdr:colOff>
          <xdr:row>0</xdr:row>
          <xdr:rowOff>152400</xdr:rowOff>
        </xdr:to>
        <xdr:sp macro="" textlink="">
          <xdr:nvSpPr>
            <xdr:cNvPr id="218113" name="Check Box 1" hidden="1">
              <a:extLst>
                <a:ext uri="{63B3BB69-23CF-44E3-9099-C40C66FF867C}">
                  <a14:compatExt spid="_x0000_s218113"/>
                </a:ext>
                <a:ext uri="{FF2B5EF4-FFF2-40B4-BE49-F238E27FC236}">
                  <a16:creationId xmlns:a16="http://schemas.microsoft.com/office/drawing/2014/main" id="{00000000-0008-0000-0200-000001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781050</xdr:colOff>
          <xdr:row>0</xdr:row>
          <xdr:rowOff>152400</xdr:rowOff>
        </xdr:from>
        <xdr:to>
          <xdr:col>1</xdr:col>
          <xdr:colOff>781050</xdr:colOff>
          <xdr:row>0</xdr:row>
          <xdr:rowOff>200025</xdr:rowOff>
        </xdr:to>
        <xdr:sp macro="" textlink="">
          <xdr:nvSpPr>
            <xdr:cNvPr id="218114" name="Check Box 2" hidden="1">
              <a:extLst>
                <a:ext uri="{63B3BB69-23CF-44E3-9099-C40C66FF867C}">
                  <a14:compatExt spid="_x0000_s218114"/>
                </a:ext>
                <a:ext uri="{FF2B5EF4-FFF2-40B4-BE49-F238E27FC236}">
                  <a16:creationId xmlns:a16="http://schemas.microsoft.com/office/drawing/2014/main" id="{00000000-0008-0000-0200-000002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781050</xdr:colOff>
          <xdr:row>0</xdr:row>
          <xdr:rowOff>190500</xdr:rowOff>
        </xdr:from>
        <xdr:to>
          <xdr:col>1</xdr:col>
          <xdr:colOff>781050</xdr:colOff>
          <xdr:row>1</xdr:row>
          <xdr:rowOff>85725</xdr:rowOff>
        </xdr:to>
        <xdr:sp macro="" textlink="">
          <xdr:nvSpPr>
            <xdr:cNvPr id="218115" name="Check Box 3" hidden="1">
              <a:extLst>
                <a:ext uri="{63B3BB69-23CF-44E3-9099-C40C66FF867C}">
                  <a14:compatExt spid="_x0000_s218115"/>
                </a:ext>
                <a:ext uri="{FF2B5EF4-FFF2-40B4-BE49-F238E27FC236}">
                  <a16:creationId xmlns:a16="http://schemas.microsoft.com/office/drawing/2014/main" id="{00000000-0008-0000-0200-000003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781050</xdr:colOff>
          <xdr:row>0</xdr:row>
          <xdr:rowOff>209550</xdr:rowOff>
        </xdr:from>
        <xdr:to>
          <xdr:col>1</xdr:col>
          <xdr:colOff>781050</xdr:colOff>
          <xdr:row>1</xdr:row>
          <xdr:rowOff>85725</xdr:rowOff>
        </xdr:to>
        <xdr:sp macro="" textlink="">
          <xdr:nvSpPr>
            <xdr:cNvPr id="218116" name="Check Box 4" hidden="1">
              <a:extLst>
                <a:ext uri="{63B3BB69-23CF-44E3-9099-C40C66FF867C}">
                  <a14:compatExt spid="_x0000_s218116"/>
                </a:ext>
                <a:ext uri="{FF2B5EF4-FFF2-40B4-BE49-F238E27FC236}">
                  <a16:creationId xmlns:a16="http://schemas.microsoft.com/office/drawing/2014/main" id="{00000000-0008-0000-0200-000004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1009650</xdr:colOff>
          <xdr:row>0</xdr:row>
          <xdr:rowOff>123825</xdr:rowOff>
        </xdr:from>
        <xdr:to>
          <xdr:col>1</xdr:col>
          <xdr:colOff>1009650</xdr:colOff>
          <xdr:row>0</xdr:row>
          <xdr:rowOff>152400</xdr:rowOff>
        </xdr:to>
        <xdr:sp macro="" textlink="">
          <xdr:nvSpPr>
            <xdr:cNvPr id="218117" name="Check Box 5" hidden="1">
              <a:extLst>
                <a:ext uri="{63B3BB69-23CF-44E3-9099-C40C66FF867C}">
                  <a14:compatExt spid="_x0000_s218117"/>
                </a:ext>
                <a:ext uri="{FF2B5EF4-FFF2-40B4-BE49-F238E27FC236}">
                  <a16:creationId xmlns:a16="http://schemas.microsoft.com/office/drawing/2014/main" id="{00000000-0008-0000-0200-000005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1009650</xdr:colOff>
          <xdr:row>0</xdr:row>
          <xdr:rowOff>152400</xdr:rowOff>
        </xdr:from>
        <xdr:to>
          <xdr:col>1</xdr:col>
          <xdr:colOff>1009650</xdr:colOff>
          <xdr:row>0</xdr:row>
          <xdr:rowOff>200025</xdr:rowOff>
        </xdr:to>
        <xdr:sp macro="" textlink="">
          <xdr:nvSpPr>
            <xdr:cNvPr id="218118" name="Check Box 6" hidden="1">
              <a:extLst>
                <a:ext uri="{63B3BB69-23CF-44E3-9099-C40C66FF867C}">
                  <a14:compatExt spid="_x0000_s218118"/>
                </a:ext>
                <a:ext uri="{FF2B5EF4-FFF2-40B4-BE49-F238E27FC236}">
                  <a16:creationId xmlns:a16="http://schemas.microsoft.com/office/drawing/2014/main" id="{00000000-0008-0000-0200-000006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1009650</xdr:colOff>
          <xdr:row>0</xdr:row>
          <xdr:rowOff>161925</xdr:rowOff>
        </xdr:from>
        <xdr:to>
          <xdr:col>1</xdr:col>
          <xdr:colOff>1009650</xdr:colOff>
          <xdr:row>0</xdr:row>
          <xdr:rowOff>180975</xdr:rowOff>
        </xdr:to>
        <xdr:sp macro="" textlink="">
          <xdr:nvSpPr>
            <xdr:cNvPr id="218119" name="Check Box 7" hidden="1">
              <a:extLst>
                <a:ext uri="{63B3BB69-23CF-44E3-9099-C40C66FF867C}">
                  <a14:compatExt spid="_x0000_s218119"/>
                </a:ext>
                <a:ext uri="{FF2B5EF4-FFF2-40B4-BE49-F238E27FC236}">
                  <a16:creationId xmlns:a16="http://schemas.microsoft.com/office/drawing/2014/main" id="{00000000-0008-0000-0200-000007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6</xdr:row>
          <xdr:rowOff>9525</xdr:rowOff>
        </xdr:from>
        <xdr:to>
          <xdr:col>3</xdr:col>
          <xdr:colOff>400050</xdr:colOff>
          <xdr:row>6</xdr:row>
          <xdr:rowOff>171450</xdr:rowOff>
        </xdr:to>
        <xdr:sp macro="" textlink="">
          <xdr:nvSpPr>
            <xdr:cNvPr id="218154" name="Check Box 42" hidden="1">
              <a:extLst>
                <a:ext uri="{63B3BB69-23CF-44E3-9099-C40C66FF867C}">
                  <a14:compatExt spid="_x0000_s218154"/>
                </a:ext>
                <a:ext uri="{FF2B5EF4-FFF2-40B4-BE49-F238E27FC236}">
                  <a16:creationId xmlns:a16="http://schemas.microsoft.com/office/drawing/2014/main" id="{00000000-0008-0000-0200-00002A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7</xdr:row>
          <xdr:rowOff>9525</xdr:rowOff>
        </xdr:from>
        <xdr:to>
          <xdr:col>3</xdr:col>
          <xdr:colOff>400050</xdr:colOff>
          <xdr:row>7</xdr:row>
          <xdr:rowOff>171450</xdr:rowOff>
        </xdr:to>
        <xdr:sp macro="" textlink="">
          <xdr:nvSpPr>
            <xdr:cNvPr id="218155" name="Check Box 43" hidden="1">
              <a:extLst>
                <a:ext uri="{63B3BB69-23CF-44E3-9099-C40C66FF867C}">
                  <a14:compatExt spid="_x0000_s218155"/>
                </a:ext>
                <a:ext uri="{FF2B5EF4-FFF2-40B4-BE49-F238E27FC236}">
                  <a16:creationId xmlns:a16="http://schemas.microsoft.com/office/drawing/2014/main" id="{00000000-0008-0000-0200-00002B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8</xdr:row>
          <xdr:rowOff>9525</xdr:rowOff>
        </xdr:from>
        <xdr:to>
          <xdr:col>3</xdr:col>
          <xdr:colOff>400050</xdr:colOff>
          <xdr:row>8</xdr:row>
          <xdr:rowOff>171450</xdr:rowOff>
        </xdr:to>
        <xdr:sp macro="" textlink="">
          <xdr:nvSpPr>
            <xdr:cNvPr id="218156" name="Check Box 44" hidden="1">
              <a:extLst>
                <a:ext uri="{63B3BB69-23CF-44E3-9099-C40C66FF867C}">
                  <a14:compatExt spid="_x0000_s218156"/>
                </a:ext>
                <a:ext uri="{FF2B5EF4-FFF2-40B4-BE49-F238E27FC236}">
                  <a16:creationId xmlns:a16="http://schemas.microsoft.com/office/drawing/2014/main" id="{00000000-0008-0000-0200-00002C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219075</xdr:colOff>
          <xdr:row>9</xdr:row>
          <xdr:rowOff>9525</xdr:rowOff>
        </xdr:from>
        <xdr:to>
          <xdr:col>3</xdr:col>
          <xdr:colOff>400050</xdr:colOff>
          <xdr:row>9</xdr:row>
          <xdr:rowOff>171450</xdr:rowOff>
        </xdr:to>
        <xdr:sp macro="" textlink="">
          <xdr:nvSpPr>
            <xdr:cNvPr id="218157" name="Check Box 45" hidden="1">
              <a:extLst>
                <a:ext uri="{63B3BB69-23CF-44E3-9099-C40C66FF867C}">
                  <a14:compatExt spid="_x0000_s218157"/>
                </a:ext>
                <a:ext uri="{FF2B5EF4-FFF2-40B4-BE49-F238E27FC236}">
                  <a16:creationId xmlns:a16="http://schemas.microsoft.com/office/drawing/2014/main" id="{00000000-0008-0000-0200-00002D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638175</xdr:colOff>
          <xdr:row>6</xdr:row>
          <xdr:rowOff>9525</xdr:rowOff>
        </xdr:from>
        <xdr:to>
          <xdr:col>12</xdr:col>
          <xdr:colOff>0</xdr:colOff>
          <xdr:row>6</xdr:row>
          <xdr:rowOff>171450</xdr:rowOff>
        </xdr:to>
        <xdr:sp macro="" textlink="">
          <xdr:nvSpPr>
            <xdr:cNvPr id="218158" name="Check Box 46" hidden="1">
              <a:extLst>
                <a:ext uri="{63B3BB69-23CF-44E3-9099-C40C66FF867C}">
                  <a14:compatExt spid="_x0000_s218158"/>
                </a:ext>
                <a:ext uri="{FF2B5EF4-FFF2-40B4-BE49-F238E27FC236}">
                  <a16:creationId xmlns:a16="http://schemas.microsoft.com/office/drawing/2014/main" id="{00000000-0008-0000-0200-00002E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638175</xdr:colOff>
          <xdr:row>7</xdr:row>
          <xdr:rowOff>9525</xdr:rowOff>
        </xdr:from>
        <xdr:to>
          <xdr:col>12</xdr:col>
          <xdr:colOff>0</xdr:colOff>
          <xdr:row>7</xdr:row>
          <xdr:rowOff>171450</xdr:rowOff>
        </xdr:to>
        <xdr:sp macro="" textlink="">
          <xdr:nvSpPr>
            <xdr:cNvPr id="218159" name="Check Box 47" hidden="1">
              <a:extLst>
                <a:ext uri="{63B3BB69-23CF-44E3-9099-C40C66FF867C}">
                  <a14:compatExt spid="_x0000_s218159"/>
                </a:ext>
                <a:ext uri="{FF2B5EF4-FFF2-40B4-BE49-F238E27FC236}">
                  <a16:creationId xmlns:a16="http://schemas.microsoft.com/office/drawing/2014/main" id="{00000000-0008-0000-0200-00002F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638175</xdr:colOff>
          <xdr:row>8</xdr:row>
          <xdr:rowOff>9525</xdr:rowOff>
        </xdr:from>
        <xdr:to>
          <xdr:col>12</xdr:col>
          <xdr:colOff>0</xdr:colOff>
          <xdr:row>8</xdr:row>
          <xdr:rowOff>171450</xdr:rowOff>
        </xdr:to>
        <xdr:sp macro="" textlink="">
          <xdr:nvSpPr>
            <xdr:cNvPr id="218160" name="Check Box 48" hidden="1">
              <a:extLst>
                <a:ext uri="{63B3BB69-23CF-44E3-9099-C40C66FF867C}">
                  <a14:compatExt spid="_x0000_s218160"/>
                </a:ext>
                <a:ext uri="{FF2B5EF4-FFF2-40B4-BE49-F238E27FC236}">
                  <a16:creationId xmlns:a16="http://schemas.microsoft.com/office/drawing/2014/main" id="{00000000-0008-0000-0200-000030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61849</xdr:colOff>
      <xdr:row>1</xdr:row>
      <xdr:rowOff>20913</xdr:rowOff>
    </xdr:from>
    <xdr:to>
      <xdr:col>2</xdr:col>
      <xdr:colOff>179332</xdr:colOff>
      <xdr:row>2</xdr:row>
      <xdr:rowOff>299763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9" y="268316"/>
          <a:ext cx="1626639" cy="6252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12</xdr:row>
      <xdr:rowOff>104775</xdr:rowOff>
    </xdr:from>
    <xdr:to>
      <xdr:col>12</xdr:col>
      <xdr:colOff>878227</xdr:colOff>
      <xdr:row>26</xdr:row>
      <xdr:rowOff>66675</xdr:rowOff>
    </xdr:to>
    <xdr:pic>
      <xdr:nvPicPr>
        <xdr:cNvPr id="219439" name="Imagen 1" descr="Imagen que contiene Gráfico&#10;&#10;Descripción generada automáticamente">
          <a:extLst>
            <a:ext uri="{FF2B5EF4-FFF2-40B4-BE49-F238E27FC236}">
              <a16:creationId xmlns:a16="http://schemas.microsoft.com/office/drawing/2014/main" id="{00000000-0008-0000-0300-00002F5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33525" y="2686050"/>
          <a:ext cx="5191125" cy="2400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28575</xdr:colOff>
      <xdr:row>31</xdr:row>
      <xdr:rowOff>85725</xdr:rowOff>
    </xdr:from>
    <xdr:to>
      <xdr:col>12</xdr:col>
      <xdr:colOff>889635</xdr:colOff>
      <xdr:row>43</xdr:row>
      <xdr:rowOff>125749</xdr:rowOff>
    </xdr:to>
    <xdr:pic>
      <xdr:nvPicPr>
        <xdr:cNvPr id="219440" name="Imagen 17" descr="Diagrama&#10;&#10;Descripción generada automáticamente">
          <a:extLst>
            <a:ext uri="{FF2B5EF4-FFF2-40B4-BE49-F238E27FC236}">
              <a16:creationId xmlns:a16="http://schemas.microsoft.com/office/drawing/2014/main" id="{00000000-0008-0000-0300-0000305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33525" y="5981700"/>
          <a:ext cx="5210175" cy="22574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328013</xdr:colOff>
      <xdr:row>35</xdr:row>
      <xdr:rowOff>794</xdr:rowOff>
    </xdr:from>
    <xdr:to>
      <xdr:col>10</xdr:col>
      <xdr:colOff>319179</xdr:colOff>
      <xdr:row>35</xdr:row>
      <xdr:rowOff>155914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4298912" y="6521756"/>
          <a:ext cx="599301" cy="155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</xdr:row>
          <xdr:rowOff>9525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19144" name="Check Box 8" hidden="1">
              <a:extLst>
                <a:ext uri="{63B3BB69-23CF-44E3-9099-C40C66FF867C}">
                  <a14:compatExt spid="_x0000_s219144"/>
                </a:ext>
                <a:ext uri="{FF2B5EF4-FFF2-40B4-BE49-F238E27FC236}">
                  <a16:creationId xmlns:a16="http://schemas.microsoft.com/office/drawing/2014/main" id="{00000000-0008-0000-0300-000008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19145" name="Check Box 9" hidden="1">
              <a:extLst>
                <a:ext uri="{63B3BB69-23CF-44E3-9099-C40C66FF867C}">
                  <a14:compatExt spid="_x0000_s219145"/>
                </a:ext>
                <a:ext uri="{FF2B5EF4-FFF2-40B4-BE49-F238E27FC236}">
                  <a16:creationId xmlns:a16="http://schemas.microsoft.com/office/drawing/2014/main" id="{00000000-0008-0000-0300-000009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8</xdr:row>
          <xdr:rowOff>9525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19146" name="Check Box 10" hidden="1">
              <a:extLst>
                <a:ext uri="{63B3BB69-23CF-44E3-9099-C40C66FF867C}">
                  <a14:compatExt spid="_x0000_s219146"/>
                </a:ext>
                <a:ext uri="{FF2B5EF4-FFF2-40B4-BE49-F238E27FC236}">
                  <a16:creationId xmlns:a16="http://schemas.microsoft.com/office/drawing/2014/main" id="{00000000-0008-0000-0300-00000A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9</xdr:row>
          <xdr:rowOff>9525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19147" name="Check Box 11" hidden="1">
              <a:extLst>
                <a:ext uri="{63B3BB69-23CF-44E3-9099-C40C66FF867C}">
                  <a14:compatExt spid="_x0000_s219147"/>
                </a:ext>
                <a:ext uri="{FF2B5EF4-FFF2-40B4-BE49-F238E27FC236}">
                  <a16:creationId xmlns:a16="http://schemas.microsoft.com/office/drawing/2014/main" id="{00000000-0008-0000-0300-00000B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238125</xdr:colOff>
          <xdr:row>6</xdr:row>
          <xdr:rowOff>9525</xdr:rowOff>
        </xdr:from>
        <xdr:to>
          <xdr:col>11</xdr:col>
          <xdr:colOff>419100</xdr:colOff>
          <xdr:row>7</xdr:row>
          <xdr:rowOff>0</xdr:rowOff>
        </xdr:to>
        <xdr:sp macro="" textlink="">
          <xdr:nvSpPr>
            <xdr:cNvPr id="219148" name="Check Box 12" hidden="1">
              <a:extLst>
                <a:ext uri="{63B3BB69-23CF-44E3-9099-C40C66FF867C}">
                  <a14:compatExt spid="_x0000_s219148"/>
                </a:ext>
                <a:ext uri="{FF2B5EF4-FFF2-40B4-BE49-F238E27FC236}">
                  <a16:creationId xmlns:a16="http://schemas.microsoft.com/office/drawing/2014/main" id="{00000000-0008-0000-0300-00000C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238125</xdr:colOff>
          <xdr:row>7</xdr:row>
          <xdr:rowOff>9525</xdr:rowOff>
        </xdr:from>
        <xdr:to>
          <xdr:col>11</xdr:col>
          <xdr:colOff>419100</xdr:colOff>
          <xdr:row>8</xdr:row>
          <xdr:rowOff>0</xdr:rowOff>
        </xdr:to>
        <xdr:sp macro="" textlink="">
          <xdr:nvSpPr>
            <xdr:cNvPr id="219149" name="Check Box 13" hidden="1">
              <a:extLst>
                <a:ext uri="{63B3BB69-23CF-44E3-9099-C40C66FF867C}">
                  <a14:compatExt spid="_x0000_s219149"/>
                </a:ext>
                <a:ext uri="{FF2B5EF4-FFF2-40B4-BE49-F238E27FC236}">
                  <a16:creationId xmlns:a16="http://schemas.microsoft.com/office/drawing/2014/main" id="{00000000-0008-0000-0300-00000D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238125</xdr:colOff>
          <xdr:row>8</xdr:row>
          <xdr:rowOff>9525</xdr:rowOff>
        </xdr:from>
        <xdr:to>
          <xdr:col>11</xdr:col>
          <xdr:colOff>419100</xdr:colOff>
          <xdr:row>9</xdr:row>
          <xdr:rowOff>0</xdr:rowOff>
        </xdr:to>
        <xdr:sp macro="" textlink="">
          <xdr:nvSpPr>
            <xdr:cNvPr id="219150" name="Check Box 14" hidden="1">
              <a:extLst>
                <a:ext uri="{63B3BB69-23CF-44E3-9099-C40C66FF867C}">
                  <a14:compatExt spid="_x0000_s219150"/>
                </a:ext>
                <a:ext uri="{FF2B5EF4-FFF2-40B4-BE49-F238E27FC236}">
                  <a16:creationId xmlns:a16="http://schemas.microsoft.com/office/drawing/2014/main" id="{00000000-0008-0000-0300-00000E5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47625</xdr:colOff>
      <xdr:row>1</xdr:row>
      <xdr:rowOff>0</xdr:rowOff>
    </xdr:from>
    <xdr:to>
      <xdr:col>2</xdr:col>
      <xdr:colOff>169314</xdr:colOff>
      <xdr:row>2</xdr:row>
      <xdr:rowOff>272788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247650"/>
          <a:ext cx="1626639" cy="6252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</xdr:row>
          <xdr:rowOff>9525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1185" name="Check Box 1" hidden="1">
              <a:extLst>
                <a:ext uri="{63B3BB69-23CF-44E3-9099-C40C66FF867C}">
                  <a14:compatExt spid="_x0000_s221185"/>
                </a:ext>
                <a:ext uri="{FF2B5EF4-FFF2-40B4-BE49-F238E27FC236}">
                  <a16:creationId xmlns:a16="http://schemas.microsoft.com/office/drawing/2014/main" id="{00000000-0008-0000-0400-000001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1186" name="Check Box 2" hidden="1">
              <a:extLst>
                <a:ext uri="{63B3BB69-23CF-44E3-9099-C40C66FF867C}">
                  <a14:compatExt spid="_x0000_s221186"/>
                </a:ext>
                <a:ext uri="{FF2B5EF4-FFF2-40B4-BE49-F238E27FC236}">
                  <a16:creationId xmlns:a16="http://schemas.microsoft.com/office/drawing/2014/main" id="{00000000-0008-0000-0400-000002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8</xdr:row>
          <xdr:rowOff>9525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21187" name="Check Box 3" hidden="1">
              <a:extLst>
                <a:ext uri="{63B3BB69-23CF-44E3-9099-C40C66FF867C}">
                  <a14:compatExt spid="_x0000_s221187"/>
                </a:ext>
                <a:ext uri="{FF2B5EF4-FFF2-40B4-BE49-F238E27FC236}">
                  <a16:creationId xmlns:a16="http://schemas.microsoft.com/office/drawing/2014/main" id="{00000000-0008-0000-0400-000003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9</xdr:row>
          <xdr:rowOff>9525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21188" name="Check Box 4" hidden="1">
              <a:extLst>
                <a:ext uri="{63B3BB69-23CF-44E3-9099-C40C66FF867C}">
                  <a14:compatExt spid="_x0000_s221188"/>
                </a:ext>
                <a:ext uri="{FF2B5EF4-FFF2-40B4-BE49-F238E27FC236}">
                  <a16:creationId xmlns:a16="http://schemas.microsoft.com/office/drawing/2014/main" id="{00000000-0008-0000-0400-000004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238125</xdr:colOff>
          <xdr:row>6</xdr:row>
          <xdr:rowOff>9525</xdr:rowOff>
        </xdr:from>
        <xdr:to>
          <xdr:col>11</xdr:col>
          <xdr:colOff>419100</xdr:colOff>
          <xdr:row>7</xdr:row>
          <xdr:rowOff>0</xdr:rowOff>
        </xdr:to>
        <xdr:sp macro="" textlink="">
          <xdr:nvSpPr>
            <xdr:cNvPr id="221189" name="Check Box 5" hidden="1">
              <a:extLst>
                <a:ext uri="{63B3BB69-23CF-44E3-9099-C40C66FF867C}">
                  <a14:compatExt spid="_x0000_s221189"/>
                </a:ext>
                <a:ext uri="{FF2B5EF4-FFF2-40B4-BE49-F238E27FC236}">
                  <a16:creationId xmlns:a16="http://schemas.microsoft.com/office/drawing/2014/main" id="{00000000-0008-0000-0400-000005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238125</xdr:colOff>
          <xdr:row>7</xdr:row>
          <xdr:rowOff>9525</xdr:rowOff>
        </xdr:from>
        <xdr:to>
          <xdr:col>11</xdr:col>
          <xdr:colOff>419100</xdr:colOff>
          <xdr:row>8</xdr:row>
          <xdr:rowOff>0</xdr:rowOff>
        </xdr:to>
        <xdr:sp macro="" textlink="">
          <xdr:nvSpPr>
            <xdr:cNvPr id="221190" name="Check Box 6" hidden="1">
              <a:extLst>
                <a:ext uri="{63B3BB69-23CF-44E3-9099-C40C66FF867C}">
                  <a14:compatExt spid="_x0000_s221190"/>
                </a:ext>
                <a:ext uri="{FF2B5EF4-FFF2-40B4-BE49-F238E27FC236}">
                  <a16:creationId xmlns:a16="http://schemas.microsoft.com/office/drawing/2014/main" id="{00000000-0008-0000-0400-000006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238125</xdr:colOff>
          <xdr:row>8</xdr:row>
          <xdr:rowOff>9525</xdr:rowOff>
        </xdr:from>
        <xdr:to>
          <xdr:col>11</xdr:col>
          <xdr:colOff>419100</xdr:colOff>
          <xdr:row>9</xdr:row>
          <xdr:rowOff>0</xdr:rowOff>
        </xdr:to>
        <xdr:sp macro="" textlink="">
          <xdr:nvSpPr>
            <xdr:cNvPr id="221191" name="Check Box 7" hidden="1">
              <a:extLst>
                <a:ext uri="{63B3BB69-23CF-44E3-9099-C40C66FF867C}">
                  <a14:compatExt spid="_x0000_s221191"/>
                </a:ext>
                <a:ext uri="{FF2B5EF4-FFF2-40B4-BE49-F238E27FC236}">
                  <a16:creationId xmlns:a16="http://schemas.microsoft.com/office/drawing/2014/main" id="{00000000-0008-0000-0400-0000076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80211</xdr:colOff>
      <xdr:row>1</xdr:row>
      <xdr:rowOff>20052</xdr:rowOff>
    </xdr:from>
    <xdr:to>
      <xdr:col>2</xdr:col>
      <xdr:colOff>124645</xdr:colOff>
      <xdr:row>2</xdr:row>
      <xdr:rowOff>264265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11" y="270710"/>
          <a:ext cx="1548381" cy="5951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</xdr:row>
          <xdr:rowOff>9525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2209" name="Check Box 1" hidden="1">
              <a:extLst>
                <a:ext uri="{63B3BB69-23CF-44E3-9099-C40C66FF867C}">
                  <a14:compatExt spid="_x0000_s222209"/>
                </a:ext>
                <a:ext uri="{FF2B5EF4-FFF2-40B4-BE49-F238E27FC236}">
                  <a16:creationId xmlns:a16="http://schemas.microsoft.com/office/drawing/2014/main" id="{00000000-0008-0000-0500-000001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2210" name="Check Box 2" hidden="1">
              <a:extLst>
                <a:ext uri="{63B3BB69-23CF-44E3-9099-C40C66FF867C}">
                  <a14:compatExt spid="_x0000_s222210"/>
                </a:ext>
                <a:ext uri="{FF2B5EF4-FFF2-40B4-BE49-F238E27FC236}">
                  <a16:creationId xmlns:a16="http://schemas.microsoft.com/office/drawing/2014/main" id="{00000000-0008-0000-0500-000002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8</xdr:row>
          <xdr:rowOff>9525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22211" name="Check Box 3" hidden="1">
              <a:extLst>
                <a:ext uri="{63B3BB69-23CF-44E3-9099-C40C66FF867C}">
                  <a14:compatExt spid="_x0000_s222211"/>
                </a:ext>
                <a:ext uri="{FF2B5EF4-FFF2-40B4-BE49-F238E27FC236}">
                  <a16:creationId xmlns:a16="http://schemas.microsoft.com/office/drawing/2014/main" id="{00000000-0008-0000-0500-000003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9</xdr:row>
          <xdr:rowOff>9525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22212" name="Check Box 4" hidden="1">
              <a:extLst>
                <a:ext uri="{63B3BB69-23CF-44E3-9099-C40C66FF867C}">
                  <a14:compatExt spid="_x0000_s222212"/>
                </a:ext>
                <a:ext uri="{FF2B5EF4-FFF2-40B4-BE49-F238E27FC236}">
                  <a16:creationId xmlns:a16="http://schemas.microsoft.com/office/drawing/2014/main" id="{00000000-0008-0000-0500-000004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628650</xdr:colOff>
          <xdr:row>6</xdr:row>
          <xdr:rowOff>9525</xdr:rowOff>
        </xdr:from>
        <xdr:to>
          <xdr:col>10</xdr:col>
          <xdr:colOff>819150</xdr:colOff>
          <xdr:row>7</xdr:row>
          <xdr:rowOff>0</xdr:rowOff>
        </xdr:to>
        <xdr:sp macro="" textlink="">
          <xdr:nvSpPr>
            <xdr:cNvPr id="222213" name="Check Box 5" hidden="1">
              <a:extLst>
                <a:ext uri="{63B3BB69-23CF-44E3-9099-C40C66FF867C}">
                  <a14:compatExt spid="_x0000_s222213"/>
                </a:ext>
                <a:ext uri="{FF2B5EF4-FFF2-40B4-BE49-F238E27FC236}">
                  <a16:creationId xmlns:a16="http://schemas.microsoft.com/office/drawing/2014/main" id="{00000000-0008-0000-0500-000005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628650</xdr:colOff>
          <xdr:row>7</xdr:row>
          <xdr:rowOff>9525</xdr:rowOff>
        </xdr:from>
        <xdr:to>
          <xdr:col>10</xdr:col>
          <xdr:colOff>819150</xdr:colOff>
          <xdr:row>8</xdr:row>
          <xdr:rowOff>0</xdr:rowOff>
        </xdr:to>
        <xdr:sp macro="" textlink="">
          <xdr:nvSpPr>
            <xdr:cNvPr id="222214" name="Check Box 6" hidden="1">
              <a:extLst>
                <a:ext uri="{63B3BB69-23CF-44E3-9099-C40C66FF867C}">
                  <a14:compatExt spid="_x0000_s222214"/>
                </a:ext>
                <a:ext uri="{FF2B5EF4-FFF2-40B4-BE49-F238E27FC236}">
                  <a16:creationId xmlns:a16="http://schemas.microsoft.com/office/drawing/2014/main" id="{00000000-0008-0000-0500-000006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628650</xdr:colOff>
          <xdr:row>8</xdr:row>
          <xdr:rowOff>9525</xdr:rowOff>
        </xdr:from>
        <xdr:to>
          <xdr:col>10</xdr:col>
          <xdr:colOff>819150</xdr:colOff>
          <xdr:row>9</xdr:row>
          <xdr:rowOff>0</xdr:rowOff>
        </xdr:to>
        <xdr:sp macro="" textlink="">
          <xdr:nvSpPr>
            <xdr:cNvPr id="222215" name="Check Box 7" hidden="1">
              <a:extLst>
                <a:ext uri="{63B3BB69-23CF-44E3-9099-C40C66FF867C}">
                  <a14:compatExt spid="_x0000_s222215"/>
                </a:ext>
                <a:ext uri="{FF2B5EF4-FFF2-40B4-BE49-F238E27FC236}">
                  <a16:creationId xmlns:a16="http://schemas.microsoft.com/office/drawing/2014/main" id="{00000000-0008-0000-0500-0000076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66675</xdr:colOff>
      <xdr:row>1</xdr:row>
      <xdr:rowOff>9525</xdr:rowOff>
    </xdr:from>
    <xdr:to>
      <xdr:col>2</xdr:col>
      <xdr:colOff>188364</xdr:colOff>
      <xdr:row>2</xdr:row>
      <xdr:rowOff>282313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257175"/>
          <a:ext cx="1626639" cy="6252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</xdr:row>
          <xdr:rowOff>9525</xdr:rowOff>
        </xdr:from>
        <xdr:to>
          <xdr:col>4</xdr:col>
          <xdr:colOff>0</xdr:colOff>
          <xdr:row>7</xdr:row>
          <xdr:rowOff>0</xdr:rowOff>
        </xdr:to>
        <xdr:sp macro="" textlink="">
          <xdr:nvSpPr>
            <xdr:cNvPr id="225281" name="Check Box 1" hidden="1">
              <a:extLst>
                <a:ext uri="{63B3BB69-23CF-44E3-9099-C40C66FF867C}">
                  <a14:compatExt spid="_x0000_s225281"/>
                </a:ext>
                <a:ext uri="{FF2B5EF4-FFF2-40B4-BE49-F238E27FC236}">
                  <a16:creationId xmlns:a16="http://schemas.microsoft.com/office/drawing/2014/main" id="{00000000-0008-0000-0600-000001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7</xdr:row>
          <xdr:rowOff>9525</xdr:rowOff>
        </xdr:from>
        <xdr:to>
          <xdr:col>4</xdr:col>
          <xdr:colOff>0</xdr:colOff>
          <xdr:row>8</xdr:row>
          <xdr:rowOff>0</xdr:rowOff>
        </xdr:to>
        <xdr:sp macro="" textlink="">
          <xdr:nvSpPr>
            <xdr:cNvPr id="225282" name="Check Box 2" hidden="1">
              <a:extLst>
                <a:ext uri="{63B3BB69-23CF-44E3-9099-C40C66FF867C}">
                  <a14:compatExt spid="_x0000_s225282"/>
                </a:ext>
                <a:ext uri="{FF2B5EF4-FFF2-40B4-BE49-F238E27FC236}">
                  <a16:creationId xmlns:a16="http://schemas.microsoft.com/office/drawing/2014/main" id="{00000000-0008-0000-0600-000002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8</xdr:row>
          <xdr:rowOff>9525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25283" name="Check Box 3" hidden="1">
              <a:extLst>
                <a:ext uri="{63B3BB69-23CF-44E3-9099-C40C66FF867C}">
                  <a14:compatExt spid="_x0000_s225283"/>
                </a:ext>
                <a:ext uri="{FF2B5EF4-FFF2-40B4-BE49-F238E27FC236}">
                  <a16:creationId xmlns:a16="http://schemas.microsoft.com/office/drawing/2014/main" id="{00000000-0008-0000-0600-000003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9</xdr:row>
          <xdr:rowOff>9525</xdr:rowOff>
        </xdr:from>
        <xdr:to>
          <xdr:col>4</xdr:col>
          <xdr:colOff>0</xdr:colOff>
          <xdr:row>10</xdr:row>
          <xdr:rowOff>0</xdr:rowOff>
        </xdr:to>
        <xdr:sp macro="" textlink="">
          <xdr:nvSpPr>
            <xdr:cNvPr id="225284" name="Check Box 4" hidden="1">
              <a:extLst>
                <a:ext uri="{63B3BB69-23CF-44E3-9099-C40C66FF867C}">
                  <a14:compatExt spid="_x0000_s225284"/>
                </a:ext>
                <a:ext uri="{FF2B5EF4-FFF2-40B4-BE49-F238E27FC236}">
                  <a16:creationId xmlns:a16="http://schemas.microsoft.com/office/drawing/2014/main" id="{00000000-0008-0000-0600-000004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628650</xdr:colOff>
          <xdr:row>6</xdr:row>
          <xdr:rowOff>9525</xdr:rowOff>
        </xdr:from>
        <xdr:to>
          <xdr:col>10</xdr:col>
          <xdr:colOff>819150</xdr:colOff>
          <xdr:row>7</xdr:row>
          <xdr:rowOff>0</xdr:rowOff>
        </xdr:to>
        <xdr:sp macro="" textlink="">
          <xdr:nvSpPr>
            <xdr:cNvPr id="225285" name="Check Box 5" hidden="1">
              <a:extLst>
                <a:ext uri="{63B3BB69-23CF-44E3-9099-C40C66FF867C}">
                  <a14:compatExt spid="_x0000_s225285"/>
                </a:ext>
                <a:ext uri="{FF2B5EF4-FFF2-40B4-BE49-F238E27FC236}">
                  <a16:creationId xmlns:a16="http://schemas.microsoft.com/office/drawing/2014/main" id="{00000000-0008-0000-0600-000005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628650</xdr:colOff>
          <xdr:row>7</xdr:row>
          <xdr:rowOff>9525</xdr:rowOff>
        </xdr:from>
        <xdr:to>
          <xdr:col>10</xdr:col>
          <xdr:colOff>819150</xdr:colOff>
          <xdr:row>8</xdr:row>
          <xdr:rowOff>0</xdr:rowOff>
        </xdr:to>
        <xdr:sp macro="" textlink="">
          <xdr:nvSpPr>
            <xdr:cNvPr id="225286" name="Check Box 6" hidden="1">
              <a:extLst>
                <a:ext uri="{63B3BB69-23CF-44E3-9099-C40C66FF867C}">
                  <a14:compatExt spid="_x0000_s225286"/>
                </a:ext>
                <a:ext uri="{FF2B5EF4-FFF2-40B4-BE49-F238E27FC236}">
                  <a16:creationId xmlns:a16="http://schemas.microsoft.com/office/drawing/2014/main" id="{00000000-0008-0000-0600-000006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628650</xdr:colOff>
          <xdr:row>8</xdr:row>
          <xdr:rowOff>9525</xdr:rowOff>
        </xdr:from>
        <xdr:to>
          <xdr:col>10</xdr:col>
          <xdr:colOff>819150</xdr:colOff>
          <xdr:row>9</xdr:row>
          <xdr:rowOff>0</xdr:rowOff>
        </xdr:to>
        <xdr:sp macro="" textlink="">
          <xdr:nvSpPr>
            <xdr:cNvPr id="225287" name="Check Box 7" hidden="1">
              <a:extLst>
                <a:ext uri="{63B3BB69-23CF-44E3-9099-C40C66FF867C}">
                  <a14:compatExt spid="_x0000_s225287"/>
                </a:ext>
                <a:ext uri="{FF2B5EF4-FFF2-40B4-BE49-F238E27FC236}">
                  <a16:creationId xmlns:a16="http://schemas.microsoft.com/office/drawing/2014/main" id="{00000000-0008-0000-0600-0000077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57150</xdr:colOff>
      <xdr:row>1</xdr:row>
      <xdr:rowOff>28575</xdr:rowOff>
    </xdr:from>
    <xdr:to>
      <xdr:col>2</xdr:col>
      <xdr:colOff>178839</xdr:colOff>
      <xdr:row>2</xdr:row>
      <xdr:rowOff>301363</xdr:rowOff>
    </xdr:to>
    <xdr:pic>
      <xdr:nvPicPr>
        <xdr:cNvPr id="2" name="Imagen 1" descr="Imagen que contiene plato, alimentos, dibujo, estacionado&#10;&#10;Descripción generada automáticament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276225"/>
          <a:ext cx="1626639" cy="6252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2148840</xdr:colOff>
      <xdr:row>24</xdr:row>
      <xdr:rowOff>22860</xdr:rowOff>
    </xdr:to>
    <xdr:sp macro="" textlink="">
      <xdr:nvSpPr>
        <xdr:cNvPr id="209086" name="Text Box 1">
          <a:extLst>
            <a:ext uri="{FF2B5EF4-FFF2-40B4-BE49-F238E27FC236}">
              <a16:creationId xmlns:a16="http://schemas.microsoft.com/office/drawing/2014/main" id="{00000000-0008-0000-0A00-0000BE30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na Tovar Bermudez" id="{950FC903-6921-469D-B66D-637AC88E24DA}" userId="S::ltovar@agpglass.com::27c3f586-05c4-410d-8473-73388aaa4a51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" dT="2023-11-29T14:43:00.25" personId="{950FC903-6921-469D-B66D-637AC88E24DA}" id="{DE39E536-12DD-4B5A-8375-A7BAD652343C}">
    <text>Traer de SAP</text>
  </threadedComment>
  <threadedComment ref="AE7" dT="2023-11-29T14:41:33.90" personId="{950FC903-6921-469D-B66D-637AC88E24DA}" id="{2231A1AE-FD44-4643-B880-A8AA939A8DF5}">
    <text>Traer de SAP</text>
  </threadedComment>
  <threadedComment ref="AR7" dT="2023-11-29T14:40:25.55" personId="{950FC903-6921-469D-B66D-637AC88E24DA}" id="{3FA02018-4A5D-4444-948E-40783DBD107F}">
    <text>Traer de SAP</text>
  </threadedComment>
  <threadedComment ref="E8" dT="2023-11-29T14:43:38.72" personId="{950FC903-6921-469D-B66D-637AC88E24DA}" id="{EC9EEB92-BCA6-4448-BB0C-09291550A05C}">
    <text>Traer de SAP</text>
  </threadedComment>
  <threadedComment ref="AE8" dT="2023-11-29T14:41:45.61" personId="{950FC903-6921-469D-B66D-637AC88E24DA}" id="{AEAF0D3D-3A8C-4F9A-8A1D-E020A1F7253C}">
    <text>Traer de SAP</text>
  </threadedComment>
  <threadedComment ref="AR8" dT="2023-11-29T14:40:33.28" personId="{950FC903-6921-469D-B66D-637AC88E24DA}" id="{9CE0F428-8FF8-496C-BA33-4034FE64C5B8}">
    <text>Traer de sap</text>
  </threadedComment>
  <threadedComment ref="E9" dT="2023-11-29T14:43:38.72" personId="{950FC903-6921-469D-B66D-637AC88E24DA}" id="{48466483-5136-4CDE-9BFA-4C14AE4C51DA}">
    <text>Traer de SAP</text>
  </threadedComment>
  <threadedComment ref="AR9" dT="2023-11-29T14:40:48.45" personId="{950FC903-6921-469D-B66D-637AC88E24DA}" id="{BC53D3EA-85D9-496A-9EA7-11F3CAAB6797}">
    <text xml:space="preserve">Traer de GORDON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13" Type="http://schemas.openxmlformats.org/officeDocument/2006/relationships/ctrlProp" Target="../ctrlProps/ctrlProp17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1.xml"/><Relationship Id="rId12" Type="http://schemas.openxmlformats.org/officeDocument/2006/relationships/ctrlProp" Target="../ctrlProps/ctrlProp16.xml"/><Relationship Id="rId17" Type="http://schemas.openxmlformats.org/officeDocument/2006/relationships/ctrlProp" Target="../ctrlProps/ctrlProp21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20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11" Type="http://schemas.openxmlformats.org/officeDocument/2006/relationships/ctrlProp" Target="../ctrlProps/ctrlProp15.xml"/><Relationship Id="rId5" Type="http://schemas.openxmlformats.org/officeDocument/2006/relationships/ctrlProp" Target="../ctrlProps/ctrlProp9.xml"/><Relationship Id="rId15" Type="http://schemas.openxmlformats.org/officeDocument/2006/relationships/ctrlProp" Target="../ctrlProps/ctrlProp1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Relationship Id="rId14" Type="http://schemas.openxmlformats.org/officeDocument/2006/relationships/ctrlProp" Target="../ctrlProps/ctrlProp1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4.xml"/><Relationship Id="rId11" Type="http://schemas.openxmlformats.org/officeDocument/2006/relationships/comments" Target="../comments2.xml"/><Relationship Id="rId5" Type="http://schemas.openxmlformats.org/officeDocument/2006/relationships/ctrlProp" Target="../ctrlProps/ctrlProp23.xml"/><Relationship Id="rId10" Type="http://schemas.openxmlformats.org/officeDocument/2006/relationships/ctrlProp" Target="../ctrlProps/ctrlProp28.xml"/><Relationship Id="rId4" Type="http://schemas.openxmlformats.org/officeDocument/2006/relationships/ctrlProp" Target="../ctrlProps/ctrlProp22.xml"/><Relationship Id="rId9" Type="http://schemas.openxmlformats.org/officeDocument/2006/relationships/ctrlProp" Target="../ctrlProps/ctrlProp27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3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1.xml"/><Relationship Id="rId5" Type="http://schemas.openxmlformats.org/officeDocument/2006/relationships/ctrlProp" Target="../ctrlProps/ctrlProp30.xml"/><Relationship Id="rId10" Type="http://schemas.openxmlformats.org/officeDocument/2006/relationships/ctrlProp" Target="../ctrlProps/ctrlProp35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0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39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8.xml"/><Relationship Id="rId5" Type="http://schemas.openxmlformats.org/officeDocument/2006/relationships/ctrlProp" Target="../ctrlProps/ctrlProp37.xml"/><Relationship Id="rId10" Type="http://schemas.openxmlformats.org/officeDocument/2006/relationships/ctrlProp" Target="../ctrlProps/ctrlProp42.xml"/><Relationship Id="rId4" Type="http://schemas.openxmlformats.org/officeDocument/2006/relationships/ctrlProp" Target="../ctrlProps/ctrlProp36.xml"/><Relationship Id="rId9" Type="http://schemas.openxmlformats.org/officeDocument/2006/relationships/ctrlProp" Target="../ctrlProps/ctrlProp4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7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46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45.xml"/><Relationship Id="rId5" Type="http://schemas.openxmlformats.org/officeDocument/2006/relationships/ctrlProp" Target="../ctrlProps/ctrlProp44.xml"/><Relationship Id="rId10" Type="http://schemas.openxmlformats.org/officeDocument/2006/relationships/ctrlProp" Target="../ctrlProps/ctrlProp49.xml"/><Relationship Id="rId4" Type="http://schemas.openxmlformats.org/officeDocument/2006/relationships/ctrlProp" Target="../ctrlProps/ctrlProp43.xml"/><Relationship Id="rId9" Type="http://schemas.openxmlformats.org/officeDocument/2006/relationships/ctrlProp" Target="../ctrlProps/ctrlProp4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7"/>
  <sheetViews>
    <sheetView view="pageBreakPreview" topLeftCell="A73" zoomScaleNormal="100" zoomScaleSheetLayoutView="100" workbookViewId="0">
      <selection activeCell="Y84" sqref="Y84:AF84"/>
    </sheetView>
  </sheetViews>
  <sheetFormatPr baseColWidth="10" defaultColWidth="2.7109375" defaultRowHeight="18.75" x14ac:dyDescent="0.45"/>
  <cols>
    <col min="1" max="1" width="4.7109375" style="80" customWidth="1"/>
    <col min="2" max="2" width="3.140625" style="5" customWidth="1"/>
    <col min="3" max="3" width="2.7109375" style="5" customWidth="1"/>
    <col min="4" max="4" width="3.5703125" style="5" customWidth="1"/>
    <col min="5" max="5" width="2.7109375" style="5" customWidth="1"/>
    <col min="6" max="6" width="2.7109375" style="81" customWidth="1"/>
    <col min="7" max="7" width="4" style="5" customWidth="1"/>
    <col min="8" max="8" width="2" style="5" customWidth="1"/>
    <col min="9" max="9" width="2.85546875" style="5" customWidth="1"/>
    <col min="10" max="10" width="5.7109375" style="5" customWidth="1"/>
    <col min="11" max="15" width="2" style="5" customWidth="1"/>
    <col min="16" max="16" width="3.28515625" style="5" customWidth="1"/>
    <col min="17" max="20" width="2" style="5" customWidth="1"/>
    <col min="21" max="21" width="2.140625" style="5" customWidth="1"/>
    <col min="22" max="22" width="2.42578125" style="5" customWidth="1"/>
    <col min="23" max="23" width="2.28515625" style="5" customWidth="1"/>
    <col min="24" max="24" width="2.42578125" style="5" customWidth="1"/>
    <col min="25" max="25" width="2.85546875" style="5" customWidth="1"/>
    <col min="26" max="26" width="3.140625" style="5" customWidth="1"/>
    <col min="27" max="28" width="2.28515625" style="5" customWidth="1"/>
    <col min="29" max="29" width="3.28515625" style="5" customWidth="1"/>
    <col min="30" max="30" width="2.42578125" style="5" customWidth="1"/>
    <col min="31" max="31" width="4" style="5" customWidth="1"/>
    <col min="32" max="32" width="2.5703125" style="5" customWidth="1"/>
    <col min="33" max="33" width="4.140625" style="5" customWidth="1"/>
    <col min="34" max="34" width="3.85546875" style="5" customWidth="1"/>
    <col min="35" max="35" width="3.140625" style="5" customWidth="1"/>
    <col min="36" max="36" width="2.7109375" style="5" customWidth="1"/>
    <col min="37" max="37" width="6.5703125" style="5" customWidth="1"/>
    <col min="38" max="38" width="3.85546875" style="5" customWidth="1"/>
    <col min="39" max="39" width="1.85546875" style="5" customWidth="1"/>
    <col min="40" max="40" width="2.28515625" style="5" customWidth="1"/>
    <col min="41" max="41" width="5.7109375" style="5" customWidth="1"/>
    <col min="42" max="42" width="5.28515625" style="5" customWidth="1"/>
    <col min="43" max="43" width="8.140625" style="5" customWidth="1"/>
    <col min="44" max="44" width="1" style="5" customWidth="1"/>
    <col min="45" max="45" width="6.140625" style="5" customWidth="1"/>
    <col min="46" max="46" width="6" style="5" customWidth="1"/>
    <col min="47" max="47" width="7.140625" style="5" customWidth="1"/>
    <col min="48" max="48" width="10.85546875" style="5" customWidth="1"/>
    <col min="49" max="49" width="4.7109375" style="5" customWidth="1"/>
    <col min="50" max="56" width="2.7109375" style="5"/>
    <col min="57" max="57" width="2.85546875" style="5" customWidth="1"/>
    <col min="58" max="16384" width="2.7109375" style="5"/>
  </cols>
  <sheetData>
    <row r="1" spans="1:49" ht="20.100000000000001" customHeight="1" x14ac:dyDescent="0.45">
      <c r="A1" s="43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5"/>
      <c r="AV1" s="44"/>
      <c r="AW1" s="128"/>
    </row>
    <row r="2" spans="1:49" ht="21.75" customHeight="1" x14ac:dyDescent="0.65">
      <c r="A2" s="46"/>
      <c r="B2" s="47"/>
      <c r="C2" s="48"/>
      <c r="D2" s="48"/>
      <c r="E2" s="48"/>
      <c r="F2" s="48"/>
      <c r="G2" s="48"/>
      <c r="H2" s="48"/>
      <c r="I2" s="47"/>
      <c r="J2" s="47"/>
      <c r="K2" s="47"/>
      <c r="L2" s="47"/>
      <c r="M2" s="49"/>
      <c r="N2" s="47"/>
      <c r="O2" s="47"/>
      <c r="P2" s="47"/>
      <c r="Q2" s="47"/>
      <c r="R2" s="47"/>
      <c r="S2" s="47"/>
      <c r="T2" s="48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8" t="s">
        <v>33</v>
      </c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129"/>
      <c r="AU2" s="129"/>
      <c r="AV2" s="50"/>
      <c r="AW2" s="128"/>
    </row>
    <row r="3" spans="1:49" ht="12.75" customHeight="1" x14ac:dyDescent="0.5">
      <c r="A3" s="46"/>
      <c r="B3" s="47"/>
      <c r="C3" s="47"/>
      <c r="D3" s="47"/>
      <c r="E3" s="47"/>
      <c r="F3" s="47"/>
      <c r="G3" s="47"/>
      <c r="H3" s="47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51"/>
      <c r="AF3" s="51" t="s">
        <v>34</v>
      </c>
      <c r="AG3" s="47"/>
      <c r="AH3" s="51"/>
      <c r="AI3" s="51"/>
      <c r="AJ3" s="51"/>
      <c r="AK3" s="47"/>
      <c r="AL3" s="47"/>
      <c r="AM3" s="47"/>
      <c r="AN3" s="47"/>
      <c r="AO3" s="47"/>
      <c r="AP3" s="47"/>
      <c r="AQ3" s="47"/>
      <c r="AR3" s="47"/>
      <c r="AS3" s="47"/>
      <c r="AT3" s="129"/>
      <c r="AU3" s="129"/>
      <c r="AV3" s="52"/>
      <c r="AW3" s="128"/>
    </row>
    <row r="4" spans="1:49" ht="12.75" customHeight="1" x14ac:dyDescent="0.5">
      <c r="A4" s="46"/>
      <c r="B4" s="47"/>
      <c r="C4" s="47"/>
      <c r="D4" s="47"/>
      <c r="E4" s="47"/>
      <c r="F4" s="47"/>
      <c r="G4" s="51"/>
      <c r="H4" s="47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51"/>
      <c r="AF4" s="51" t="s">
        <v>127</v>
      </c>
      <c r="AG4" s="47"/>
      <c r="AH4" s="51"/>
      <c r="AI4" s="51"/>
      <c r="AJ4" s="51"/>
      <c r="AK4" s="47"/>
      <c r="AL4" s="47"/>
      <c r="AM4" s="47"/>
      <c r="AN4" s="47"/>
      <c r="AO4" s="47"/>
      <c r="AP4" s="47"/>
      <c r="AQ4" s="47"/>
      <c r="AR4" s="47"/>
      <c r="AS4" s="47"/>
      <c r="AT4" s="129"/>
      <c r="AU4" s="129"/>
      <c r="AV4" s="53"/>
      <c r="AW4" s="128"/>
    </row>
    <row r="5" spans="1:49" ht="12.75" customHeight="1" x14ac:dyDescent="0.45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54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55"/>
      <c r="AW5" s="128"/>
    </row>
    <row r="6" spans="1:49" ht="16.5" customHeight="1" x14ac:dyDescent="0.5">
      <c r="A6" s="46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3"/>
      <c r="AP6" s="43"/>
      <c r="AQ6" s="43"/>
      <c r="AR6" s="47"/>
      <c r="AS6" s="47"/>
      <c r="AT6" s="177"/>
      <c r="AU6" s="177"/>
      <c r="AV6" s="178"/>
      <c r="AW6" s="128"/>
    </row>
    <row r="7" spans="1:49" ht="16.350000000000001" customHeight="1" x14ac:dyDescent="0.45">
      <c r="A7" s="46"/>
      <c r="B7" s="147" t="s">
        <v>171</v>
      </c>
      <c r="C7" s="148"/>
      <c r="D7" s="148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48" t="s">
        <v>380</v>
      </c>
      <c r="V7" s="148"/>
      <c r="W7" s="148"/>
      <c r="X7" s="148"/>
      <c r="Y7" s="148"/>
      <c r="Z7" s="148"/>
      <c r="AA7" s="148"/>
      <c r="AB7" s="148"/>
      <c r="AC7" s="148"/>
      <c r="AD7" s="148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48" t="s">
        <v>35</v>
      </c>
      <c r="AP7" s="148"/>
      <c r="AQ7" s="148"/>
      <c r="AR7" s="279"/>
      <c r="AS7" s="279"/>
      <c r="AT7" s="279"/>
      <c r="AU7" s="279"/>
      <c r="AV7" s="280"/>
      <c r="AW7" s="128"/>
    </row>
    <row r="8" spans="1:49" ht="16.350000000000001" customHeight="1" x14ac:dyDescent="0.45">
      <c r="A8" s="46"/>
      <c r="B8" s="147" t="s">
        <v>36</v>
      </c>
      <c r="C8" s="148"/>
      <c r="D8" s="148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74" t="s">
        <v>37</v>
      </c>
      <c r="V8" s="174"/>
      <c r="W8" s="174"/>
      <c r="X8" s="174"/>
      <c r="Y8" s="174"/>
      <c r="Z8" s="174"/>
      <c r="AA8" s="174"/>
      <c r="AB8" s="174"/>
      <c r="AC8" s="174"/>
      <c r="AD8" s="174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74" t="s">
        <v>38</v>
      </c>
      <c r="AP8" s="174"/>
      <c r="AQ8" s="174"/>
      <c r="AR8" s="150"/>
      <c r="AS8" s="150"/>
      <c r="AT8" s="150"/>
      <c r="AU8" s="150"/>
      <c r="AV8" s="151"/>
      <c r="AW8" s="128"/>
    </row>
    <row r="9" spans="1:49" ht="16.350000000000001" customHeight="1" x14ac:dyDescent="0.45">
      <c r="A9" s="46"/>
      <c r="B9" s="147" t="s">
        <v>169</v>
      </c>
      <c r="C9" s="148"/>
      <c r="D9" s="148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8" t="s">
        <v>39</v>
      </c>
      <c r="V9" s="148"/>
      <c r="W9" s="148"/>
      <c r="X9" s="148"/>
      <c r="Y9" s="148"/>
      <c r="Z9" s="148"/>
      <c r="AA9" s="148"/>
      <c r="AB9" s="148"/>
      <c r="AC9" s="148"/>
      <c r="AD9" s="148"/>
      <c r="AE9" s="149" t="s">
        <v>172</v>
      </c>
      <c r="AF9" s="149"/>
      <c r="AG9" s="149"/>
      <c r="AH9" s="149"/>
      <c r="AI9" s="149"/>
      <c r="AJ9" s="149"/>
      <c r="AK9" s="149"/>
      <c r="AL9" s="149"/>
      <c r="AM9" s="149"/>
      <c r="AN9" s="149"/>
      <c r="AO9" s="148" t="s">
        <v>381</v>
      </c>
      <c r="AP9" s="148"/>
      <c r="AQ9" s="148"/>
      <c r="AR9" s="150"/>
      <c r="AS9" s="150"/>
      <c r="AT9" s="150"/>
      <c r="AU9" s="150"/>
      <c r="AV9" s="151"/>
      <c r="AW9" s="128"/>
    </row>
    <row r="10" spans="1:49" ht="16.5" customHeight="1" thickBot="1" x14ac:dyDescent="0.5">
      <c r="A10" s="46"/>
      <c r="B10" s="47"/>
      <c r="C10" s="47"/>
      <c r="D10" s="15"/>
      <c r="E10" s="15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15"/>
      <c r="AF10" s="47"/>
      <c r="AG10" s="47"/>
      <c r="AI10" s="15"/>
      <c r="AJ10" s="15"/>
      <c r="AK10" s="47"/>
      <c r="AM10" s="15"/>
      <c r="AN10" s="47"/>
      <c r="AO10" s="159"/>
      <c r="AP10" s="159"/>
      <c r="AQ10" s="159"/>
      <c r="AR10" s="159"/>
      <c r="AS10" s="159"/>
      <c r="AU10" s="54"/>
      <c r="AV10" s="57"/>
      <c r="AW10" s="128"/>
    </row>
    <row r="11" spans="1:49" ht="15" customHeight="1" thickTop="1" x14ac:dyDescent="0.45">
      <c r="A11" s="43"/>
      <c r="B11" s="162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  <c r="AR11" s="163"/>
      <c r="AS11" s="163"/>
      <c r="AT11" s="163"/>
      <c r="AU11" s="163"/>
      <c r="AV11" s="164"/>
      <c r="AW11" s="128"/>
    </row>
    <row r="12" spans="1:49" ht="15" customHeight="1" x14ac:dyDescent="0.45">
      <c r="A12" s="43"/>
      <c r="B12" s="165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67"/>
      <c r="AW12" s="128"/>
    </row>
    <row r="13" spans="1:49" ht="15" customHeight="1" x14ac:dyDescent="0.45">
      <c r="A13" s="43"/>
      <c r="B13" s="165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7"/>
      <c r="AW13" s="128"/>
    </row>
    <row r="14" spans="1:49" ht="15" customHeight="1" x14ac:dyDescent="0.45">
      <c r="A14" s="43"/>
      <c r="B14" s="165"/>
      <c r="C14" s="166"/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7"/>
      <c r="AW14" s="128"/>
    </row>
    <row r="15" spans="1:49" ht="15" customHeight="1" x14ac:dyDescent="0.45">
      <c r="A15" s="43"/>
      <c r="B15" s="165"/>
      <c r="C15" s="166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7"/>
      <c r="AW15" s="128"/>
    </row>
    <row r="16" spans="1:49" ht="15" customHeight="1" x14ac:dyDescent="0.45">
      <c r="A16" s="43"/>
      <c r="B16" s="165"/>
      <c r="C16" s="166"/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  <c r="AV16" s="167"/>
      <c r="AW16" s="128"/>
    </row>
    <row r="17" spans="1:49" ht="15" customHeight="1" x14ac:dyDescent="0.45">
      <c r="A17" s="43"/>
      <c r="B17" s="165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7"/>
      <c r="AW17" s="128"/>
    </row>
    <row r="18" spans="1:49" ht="15" customHeight="1" x14ac:dyDescent="0.45">
      <c r="A18" s="43"/>
      <c r="B18" s="165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6"/>
      <c r="AU18" s="166"/>
      <c r="AV18" s="167"/>
      <c r="AW18" s="128"/>
    </row>
    <row r="19" spans="1:49" ht="15" customHeight="1" x14ac:dyDescent="0.45">
      <c r="A19" s="43"/>
      <c r="B19" s="165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7"/>
      <c r="AW19" s="128"/>
    </row>
    <row r="20" spans="1:49" ht="15" customHeight="1" x14ac:dyDescent="0.45">
      <c r="A20" s="43"/>
      <c r="B20" s="165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7"/>
      <c r="AW20" s="128"/>
    </row>
    <row r="21" spans="1:49" ht="15" customHeight="1" x14ac:dyDescent="0.45">
      <c r="A21" s="43"/>
      <c r="B21" s="165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167"/>
      <c r="AW21" s="128"/>
    </row>
    <row r="22" spans="1:49" ht="15" customHeight="1" x14ac:dyDescent="0.45">
      <c r="A22" s="43"/>
      <c r="B22" s="165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6"/>
      <c r="AL22" s="166"/>
      <c r="AM22" s="166"/>
      <c r="AN22" s="166"/>
      <c r="AO22" s="166"/>
      <c r="AP22" s="166"/>
      <c r="AQ22" s="166"/>
      <c r="AR22" s="166"/>
      <c r="AS22" s="166"/>
      <c r="AT22" s="166"/>
      <c r="AU22" s="166"/>
      <c r="AV22" s="167"/>
      <c r="AW22" s="128"/>
    </row>
    <row r="23" spans="1:49" ht="15" customHeight="1" x14ac:dyDescent="0.45">
      <c r="A23" s="43"/>
      <c r="B23" s="165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7"/>
      <c r="AW23" s="128"/>
    </row>
    <row r="24" spans="1:49" ht="15" customHeight="1" x14ac:dyDescent="0.45">
      <c r="A24" s="43"/>
      <c r="B24" s="165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7"/>
      <c r="AW24" s="128"/>
    </row>
    <row r="25" spans="1:49" ht="15" customHeight="1" x14ac:dyDescent="0.45">
      <c r="A25" s="43"/>
      <c r="B25" s="165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7"/>
      <c r="AW25" s="128"/>
    </row>
    <row r="26" spans="1:49" ht="15" customHeight="1" x14ac:dyDescent="0.45">
      <c r="A26" s="43"/>
      <c r="B26" s="165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7"/>
      <c r="AW26" s="128"/>
    </row>
    <row r="27" spans="1:49" ht="15" customHeight="1" x14ac:dyDescent="0.45">
      <c r="A27" s="43"/>
      <c r="B27" s="165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7"/>
      <c r="AW27" s="128"/>
    </row>
    <row r="28" spans="1:49" ht="15" customHeight="1" x14ac:dyDescent="0.45">
      <c r="A28" s="43"/>
      <c r="B28" s="165"/>
      <c r="C28" s="166"/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7"/>
      <c r="AW28" s="128"/>
    </row>
    <row r="29" spans="1:49" ht="15" customHeight="1" x14ac:dyDescent="0.45">
      <c r="A29" s="43"/>
      <c r="B29" s="165"/>
      <c r="C29" s="166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7"/>
      <c r="AW29" s="128"/>
    </row>
    <row r="30" spans="1:49" ht="15" customHeight="1" x14ac:dyDescent="0.45">
      <c r="A30" s="43"/>
      <c r="B30" s="165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67"/>
      <c r="AW30" s="128"/>
    </row>
    <row r="31" spans="1:49" ht="15" customHeight="1" x14ac:dyDescent="0.45">
      <c r="A31" s="43"/>
      <c r="B31" s="165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7"/>
      <c r="AW31" s="128"/>
    </row>
    <row r="32" spans="1:49" ht="15" customHeight="1" x14ac:dyDescent="0.45">
      <c r="A32" s="43"/>
      <c r="B32" s="165"/>
      <c r="C32" s="166"/>
      <c r="D32" s="166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7"/>
      <c r="AW32" s="128"/>
    </row>
    <row r="33" spans="1:49" ht="15" customHeight="1" x14ac:dyDescent="0.45">
      <c r="A33" s="43"/>
      <c r="B33" s="165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7"/>
      <c r="AW33" s="128"/>
    </row>
    <row r="34" spans="1:49" ht="15" customHeight="1" x14ac:dyDescent="0.45">
      <c r="A34" s="43"/>
      <c r="B34" s="165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7"/>
      <c r="AW34" s="128"/>
    </row>
    <row r="35" spans="1:49" ht="15" customHeight="1" x14ac:dyDescent="0.45">
      <c r="A35" s="43"/>
      <c r="B35" s="165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6"/>
      <c r="AU35" s="166"/>
      <c r="AV35" s="167"/>
      <c r="AW35" s="128"/>
    </row>
    <row r="36" spans="1:49" ht="15" customHeight="1" x14ac:dyDescent="0.45">
      <c r="A36" s="43"/>
      <c r="B36" s="165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6"/>
      <c r="AU36" s="166"/>
      <c r="AV36" s="167"/>
      <c r="AW36" s="128"/>
    </row>
    <row r="37" spans="1:49" ht="15" customHeight="1" x14ac:dyDescent="0.45">
      <c r="A37" s="43"/>
      <c r="B37" s="165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167"/>
      <c r="AW37" s="128"/>
    </row>
    <row r="38" spans="1:49" ht="15" customHeight="1" x14ac:dyDescent="0.45">
      <c r="A38" s="43"/>
      <c r="B38" s="165"/>
      <c r="C38" s="166"/>
      <c r="D38" s="166"/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166"/>
      <c r="AT38" s="166"/>
      <c r="AU38" s="166"/>
      <c r="AV38" s="167"/>
      <c r="AW38" s="128"/>
    </row>
    <row r="39" spans="1:49" ht="15" customHeight="1" x14ac:dyDescent="0.45">
      <c r="A39" s="43"/>
      <c r="B39" s="165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7"/>
      <c r="AW39" s="128"/>
    </row>
    <row r="40" spans="1:49" ht="15" customHeight="1" x14ac:dyDescent="0.45">
      <c r="A40" s="43"/>
      <c r="B40" s="165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6"/>
      <c r="AR40" s="166"/>
      <c r="AS40" s="166"/>
      <c r="AT40" s="166"/>
      <c r="AU40" s="166"/>
      <c r="AV40" s="167"/>
      <c r="AW40" s="128"/>
    </row>
    <row r="41" spans="1:49" ht="15" customHeight="1" x14ac:dyDescent="0.45">
      <c r="A41" s="43"/>
      <c r="B41" s="165"/>
      <c r="C41" s="166"/>
      <c r="D41" s="166"/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7"/>
      <c r="AW41" s="128"/>
    </row>
    <row r="42" spans="1:49" ht="15" customHeight="1" x14ac:dyDescent="0.45">
      <c r="A42" s="43"/>
      <c r="B42" s="165"/>
      <c r="C42" s="166"/>
      <c r="D42" s="166"/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66"/>
      <c r="AT42" s="166"/>
      <c r="AU42" s="166"/>
      <c r="AV42" s="167"/>
      <c r="AW42" s="128"/>
    </row>
    <row r="43" spans="1:49" ht="15" customHeight="1" x14ac:dyDescent="0.45">
      <c r="A43" s="43"/>
      <c r="B43" s="165"/>
      <c r="C43" s="166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7"/>
      <c r="AW43" s="128"/>
    </row>
    <row r="44" spans="1:49" ht="15" customHeight="1" thickBot="1" x14ac:dyDescent="0.5">
      <c r="A44" s="43"/>
      <c r="B44" s="168" t="s">
        <v>187</v>
      </c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  <c r="AK44" s="169"/>
      <c r="AL44" s="169"/>
      <c r="AM44" s="169"/>
      <c r="AN44" s="169"/>
      <c r="AO44" s="169"/>
      <c r="AP44" s="169"/>
      <c r="AQ44" s="169"/>
      <c r="AR44" s="169"/>
      <c r="AS44" s="169"/>
      <c r="AT44" s="169"/>
      <c r="AU44" s="169"/>
      <c r="AV44" s="170"/>
      <c r="AW44" s="128"/>
    </row>
    <row r="45" spans="1:49" ht="12.75" customHeight="1" thickTop="1" x14ac:dyDescent="0.45">
      <c r="A45" s="43"/>
      <c r="B45" s="54"/>
      <c r="C45" s="58"/>
      <c r="D45" s="58"/>
      <c r="E45" s="58"/>
      <c r="F45" s="58"/>
      <c r="G45" s="59"/>
      <c r="H45" s="58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58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128"/>
    </row>
    <row r="46" spans="1:49" ht="12.75" customHeight="1" x14ac:dyDescent="0.45">
      <c r="A46" s="43"/>
      <c r="B46" s="171" t="s">
        <v>173</v>
      </c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28"/>
    </row>
    <row r="47" spans="1:49" ht="18" customHeight="1" x14ac:dyDescent="0.4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128"/>
    </row>
    <row r="48" spans="1:49" ht="48.75" customHeight="1" x14ac:dyDescent="0.45">
      <c r="A48" s="43"/>
      <c r="B48" s="152" t="s">
        <v>40</v>
      </c>
      <c r="C48" s="153"/>
      <c r="D48" s="154"/>
      <c r="E48" s="152" t="s">
        <v>41</v>
      </c>
      <c r="F48" s="153"/>
      <c r="G48" s="154"/>
      <c r="H48" s="155" t="s">
        <v>126</v>
      </c>
      <c r="I48" s="156"/>
      <c r="J48" s="157"/>
      <c r="K48" s="152" t="s">
        <v>42</v>
      </c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  <c r="AH48" s="153"/>
      <c r="AI48" s="153"/>
      <c r="AJ48" s="154"/>
      <c r="AK48" s="155" t="s">
        <v>43</v>
      </c>
      <c r="AL48" s="156"/>
      <c r="AM48" s="156"/>
      <c r="AN48" s="156"/>
      <c r="AO48" s="157"/>
      <c r="AP48" s="155" t="s">
        <v>44</v>
      </c>
      <c r="AQ48" s="157"/>
      <c r="AR48" s="158" t="s">
        <v>174</v>
      </c>
      <c r="AS48" s="158"/>
      <c r="AT48" s="158"/>
      <c r="AU48" s="158"/>
      <c r="AV48" s="158"/>
      <c r="AW48" s="128"/>
    </row>
    <row r="49" spans="1:81" ht="12.75" customHeight="1" x14ac:dyDescent="0.45">
      <c r="A49" s="43"/>
      <c r="B49" s="130">
        <v>1</v>
      </c>
      <c r="C49" s="131"/>
      <c r="D49" s="132"/>
      <c r="E49" s="137"/>
      <c r="F49" s="138"/>
      <c r="G49" s="140"/>
      <c r="H49" s="137"/>
      <c r="I49" s="138"/>
      <c r="J49" s="140"/>
      <c r="K49" s="141" t="str">
        <f>VLOOKUP(H49,'Lista Defeitos'!$1:$1048576,3)</f>
        <v>-</v>
      </c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3"/>
      <c r="AK49" s="106"/>
      <c r="AL49" s="107"/>
      <c r="AM49" s="107"/>
      <c r="AN49" s="107"/>
      <c r="AO49" s="108"/>
      <c r="AP49" s="145"/>
      <c r="AQ49" s="146"/>
      <c r="AR49" s="144"/>
      <c r="AS49" s="144"/>
      <c r="AT49" s="144"/>
      <c r="AU49" s="144"/>
      <c r="AV49" s="144"/>
      <c r="AW49" s="128"/>
    </row>
    <row r="50" spans="1:81" ht="12.75" customHeight="1" x14ac:dyDescent="0.45">
      <c r="A50" s="43"/>
      <c r="B50" s="130">
        <v>2</v>
      </c>
      <c r="C50" s="131"/>
      <c r="D50" s="132"/>
      <c r="E50" s="137"/>
      <c r="F50" s="138"/>
      <c r="G50" s="140"/>
      <c r="H50" s="137"/>
      <c r="I50" s="138"/>
      <c r="J50" s="140"/>
      <c r="K50" s="141" t="str">
        <f>VLOOKUP(H50,'Lista Defeitos'!$1:$1048576,3)</f>
        <v>-</v>
      </c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3"/>
      <c r="AK50" s="106"/>
      <c r="AL50" s="107"/>
      <c r="AM50" s="107"/>
      <c r="AN50" s="107"/>
      <c r="AO50" s="108"/>
      <c r="AP50" s="145"/>
      <c r="AQ50" s="146"/>
      <c r="AR50" s="144"/>
      <c r="AS50" s="144"/>
      <c r="AT50" s="144"/>
      <c r="AU50" s="144"/>
      <c r="AV50" s="144"/>
      <c r="AW50" s="128"/>
    </row>
    <row r="51" spans="1:81" ht="12.75" customHeight="1" x14ac:dyDescent="0.45">
      <c r="A51" s="43"/>
      <c r="B51" s="130">
        <v>3</v>
      </c>
      <c r="C51" s="131"/>
      <c r="D51" s="132"/>
      <c r="E51" s="137"/>
      <c r="F51" s="138"/>
      <c r="G51" s="140"/>
      <c r="H51" s="137"/>
      <c r="I51" s="138"/>
      <c r="J51" s="140"/>
      <c r="K51" s="141" t="str">
        <f>VLOOKUP(H51,'Lista Defeitos'!$1:$1048576,3)</f>
        <v>-</v>
      </c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3"/>
      <c r="AK51" s="106"/>
      <c r="AL51" s="107"/>
      <c r="AM51" s="107"/>
      <c r="AN51" s="107"/>
      <c r="AO51" s="108"/>
      <c r="AP51" s="145"/>
      <c r="AQ51" s="146"/>
      <c r="AR51" s="144"/>
      <c r="AS51" s="144"/>
      <c r="AT51" s="144"/>
      <c r="AU51" s="144"/>
      <c r="AV51" s="144"/>
      <c r="AW51" s="128"/>
    </row>
    <row r="52" spans="1:81" ht="12.75" customHeight="1" x14ac:dyDescent="0.45">
      <c r="A52" s="43"/>
      <c r="B52" s="130">
        <v>4</v>
      </c>
      <c r="C52" s="131"/>
      <c r="D52" s="132"/>
      <c r="E52" s="137"/>
      <c r="F52" s="138"/>
      <c r="G52" s="139"/>
      <c r="H52" s="137"/>
      <c r="I52" s="138"/>
      <c r="J52" s="140"/>
      <c r="K52" s="141" t="str">
        <f>VLOOKUP(H52,'Lista Defeitos'!$1:$1048576,3)</f>
        <v>-</v>
      </c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3"/>
      <c r="AK52" s="106"/>
      <c r="AL52" s="107"/>
      <c r="AM52" s="107"/>
      <c r="AN52" s="107"/>
      <c r="AO52" s="108"/>
      <c r="AP52" s="145"/>
      <c r="AQ52" s="146"/>
      <c r="AR52" s="144"/>
      <c r="AS52" s="144"/>
      <c r="AT52" s="144"/>
      <c r="AU52" s="144"/>
      <c r="AV52" s="144"/>
      <c r="AW52" s="128"/>
    </row>
    <row r="53" spans="1:81" ht="12.75" customHeight="1" x14ac:dyDescent="0.45">
      <c r="A53" s="43"/>
      <c r="B53" s="130">
        <v>5</v>
      </c>
      <c r="C53" s="131"/>
      <c r="D53" s="132"/>
      <c r="E53" s="137"/>
      <c r="F53" s="138"/>
      <c r="G53" s="139"/>
      <c r="H53" s="137"/>
      <c r="I53" s="138"/>
      <c r="J53" s="140"/>
      <c r="K53" s="141" t="str">
        <f>VLOOKUP(H53,'Lista Defeitos'!$1:$1048576,3)</f>
        <v>-</v>
      </c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3"/>
      <c r="AK53" s="106"/>
      <c r="AL53" s="107"/>
      <c r="AM53" s="107"/>
      <c r="AN53" s="107"/>
      <c r="AO53" s="108"/>
      <c r="AP53" s="145"/>
      <c r="AQ53" s="146"/>
      <c r="AR53" s="144"/>
      <c r="AS53" s="144"/>
      <c r="AT53" s="144"/>
      <c r="AU53" s="144"/>
      <c r="AV53" s="144"/>
      <c r="AW53" s="128"/>
    </row>
    <row r="54" spans="1:81" ht="12.75" customHeight="1" x14ac:dyDescent="0.45">
      <c r="A54" s="43"/>
      <c r="B54" s="130">
        <v>6</v>
      </c>
      <c r="C54" s="131"/>
      <c r="D54" s="132"/>
      <c r="E54" s="137"/>
      <c r="F54" s="138"/>
      <c r="G54" s="139"/>
      <c r="H54" s="137"/>
      <c r="I54" s="138"/>
      <c r="J54" s="140"/>
      <c r="K54" s="141" t="str">
        <f>VLOOKUP(H54,'Lista Defeitos'!$1:$1048576,3)</f>
        <v>-</v>
      </c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3"/>
      <c r="AK54" s="106"/>
      <c r="AL54" s="107"/>
      <c r="AM54" s="107"/>
      <c r="AN54" s="107"/>
      <c r="AO54" s="108"/>
      <c r="AP54" s="145"/>
      <c r="AQ54" s="146"/>
      <c r="AR54" s="144"/>
      <c r="AS54" s="144"/>
      <c r="AT54" s="144"/>
      <c r="AU54" s="144"/>
      <c r="AV54" s="144"/>
      <c r="AW54" s="128"/>
    </row>
    <row r="55" spans="1:81" ht="12.75" customHeight="1" x14ac:dyDescent="0.45">
      <c r="A55" s="43"/>
      <c r="B55" s="130">
        <v>7</v>
      </c>
      <c r="C55" s="131"/>
      <c r="D55" s="132"/>
      <c r="E55" s="137"/>
      <c r="F55" s="138"/>
      <c r="G55" s="139"/>
      <c r="H55" s="137"/>
      <c r="I55" s="138"/>
      <c r="J55" s="140"/>
      <c r="K55" s="141" t="str">
        <f>VLOOKUP(H55,'Lista Defeitos'!$1:$1048576,3)</f>
        <v>-</v>
      </c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3"/>
      <c r="AK55" s="106"/>
      <c r="AL55" s="107"/>
      <c r="AM55" s="107"/>
      <c r="AN55" s="107"/>
      <c r="AO55" s="108"/>
      <c r="AP55" s="145"/>
      <c r="AQ55" s="146"/>
      <c r="AR55" s="144"/>
      <c r="AS55" s="144"/>
      <c r="AT55" s="144"/>
      <c r="AU55" s="144"/>
      <c r="AV55" s="144"/>
      <c r="AW55" s="128"/>
    </row>
    <row r="56" spans="1:81" ht="12.75" customHeight="1" x14ac:dyDescent="0.5">
      <c r="A56" s="43"/>
      <c r="B56" s="130">
        <v>8</v>
      </c>
      <c r="C56" s="131"/>
      <c r="D56" s="132"/>
      <c r="E56" s="137"/>
      <c r="F56" s="138"/>
      <c r="G56" s="139"/>
      <c r="H56" s="137"/>
      <c r="I56" s="138"/>
      <c r="J56" s="140"/>
      <c r="K56" s="141" t="str">
        <f>VLOOKUP(H56,'Lista Defeitos'!$1:$1048576,3)</f>
        <v>-</v>
      </c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3"/>
      <c r="AK56" s="106"/>
      <c r="AL56" s="107"/>
      <c r="AM56" s="107"/>
      <c r="AN56" s="107"/>
      <c r="AO56" s="108"/>
      <c r="AP56" s="145"/>
      <c r="AQ56" s="146"/>
      <c r="AR56" s="144"/>
      <c r="AS56" s="144"/>
      <c r="AT56" s="144"/>
      <c r="AU56" s="144"/>
      <c r="AV56" s="144"/>
      <c r="AW56" s="128"/>
      <c r="CC56" s="60"/>
    </row>
    <row r="57" spans="1:81" ht="12.75" customHeight="1" x14ac:dyDescent="0.45">
      <c r="A57" s="43"/>
      <c r="B57" s="130">
        <v>9</v>
      </c>
      <c r="C57" s="131"/>
      <c r="D57" s="132"/>
      <c r="E57" s="137"/>
      <c r="F57" s="138"/>
      <c r="G57" s="139"/>
      <c r="H57" s="137"/>
      <c r="I57" s="138"/>
      <c r="J57" s="140"/>
      <c r="K57" s="141" t="str">
        <f>VLOOKUP(H57,'Lista Defeitos'!$1:$1048576,3)</f>
        <v>-</v>
      </c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/>
      <c r="AI57" s="142"/>
      <c r="AJ57" s="143"/>
      <c r="AK57" s="106"/>
      <c r="AL57" s="107"/>
      <c r="AM57" s="107"/>
      <c r="AN57" s="107"/>
      <c r="AO57" s="108"/>
      <c r="AP57" s="145"/>
      <c r="AQ57" s="146"/>
      <c r="AR57" s="144"/>
      <c r="AS57" s="144"/>
      <c r="AT57" s="144"/>
      <c r="AU57" s="144"/>
      <c r="AV57" s="144"/>
      <c r="AW57" s="128"/>
    </row>
    <row r="58" spans="1:81" ht="12.75" customHeight="1" x14ac:dyDescent="0.45">
      <c r="A58" s="43"/>
      <c r="B58" s="130">
        <v>10</v>
      </c>
      <c r="C58" s="131"/>
      <c r="D58" s="132"/>
      <c r="E58" s="137"/>
      <c r="F58" s="138"/>
      <c r="G58" s="139"/>
      <c r="H58" s="137"/>
      <c r="I58" s="138"/>
      <c r="J58" s="140"/>
      <c r="K58" s="141" t="str">
        <f>VLOOKUP(H58,'Lista Defeitos'!$1:$1048576,3)</f>
        <v>-</v>
      </c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3"/>
      <c r="AK58" s="106"/>
      <c r="AL58" s="107"/>
      <c r="AM58" s="107"/>
      <c r="AN58" s="107"/>
      <c r="AO58" s="108"/>
      <c r="AP58" s="145"/>
      <c r="AQ58" s="146"/>
      <c r="AR58" s="144"/>
      <c r="AS58" s="144"/>
      <c r="AT58" s="144"/>
      <c r="AU58" s="144"/>
      <c r="AV58" s="144"/>
      <c r="AW58" s="128"/>
    </row>
    <row r="59" spans="1:81" ht="12.75" customHeight="1" x14ac:dyDescent="0.45">
      <c r="A59" s="43"/>
      <c r="B59" s="130">
        <v>11</v>
      </c>
      <c r="C59" s="131"/>
      <c r="D59" s="132"/>
      <c r="E59" s="137"/>
      <c r="F59" s="138"/>
      <c r="G59" s="139"/>
      <c r="H59" s="137"/>
      <c r="I59" s="138"/>
      <c r="J59" s="140"/>
      <c r="K59" s="141" t="str">
        <f>VLOOKUP(H59,'Lista Defeitos'!$1:$1048576,3)</f>
        <v>-</v>
      </c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/>
      <c r="AI59" s="142"/>
      <c r="AJ59" s="143"/>
      <c r="AK59" s="106"/>
      <c r="AL59" s="107"/>
      <c r="AM59" s="107"/>
      <c r="AN59" s="107"/>
      <c r="AO59" s="108"/>
      <c r="AP59" s="145"/>
      <c r="AQ59" s="146"/>
      <c r="AR59" s="144"/>
      <c r="AS59" s="144"/>
      <c r="AT59" s="144"/>
      <c r="AU59" s="144"/>
      <c r="AV59" s="144"/>
      <c r="AW59" s="128"/>
    </row>
    <row r="60" spans="1:81" ht="12.75" customHeight="1" x14ac:dyDescent="0.45">
      <c r="A60" s="43"/>
      <c r="B60" s="130">
        <v>12</v>
      </c>
      <c r="C60" s="131"/>
      <c r="D60" s="132"/>
      <c r="E60" s="137"/>
      <c r="F60" s="138"/>
      <c r="G60" s="139"/>
      <c r="H60" s="137"/>
      <c r="I60" s="138"/>
      <c r="J60" s="140"/>
      <c r="K60" s="141" t="str">
        <f>VLOOKUP(H60,'Lista Defeitos'!$1:$1048576,3)</f>
        <v>-</v>
      </c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3"/>
      <c r="AK60" s="106"/>
      <c r="AL60" s="107"/>
      <c r="AM60" s="107"/>
      <c r="AN60" s="107"/>
      <c r="AO60" s="108"/>
      <c r="AP60" s="145"/>
      <c r="AQ60" s="146"/>
      <c r="AR60" s="144"/>
      <c r="AS60" s="144"/>
      <c r="AT60" s="144"/>
      <c r="AU60" s="144"/>
      <c r="AV60" s="144"/>
      <c r="AW60" s="128"/>
    </row>
    <row r="61" spans="1:81" ht="12.75" customHeight="1" x14ac:dyDescent="0.45">
      <c r="A61" s="43"/>
      <c r="B61" s="61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128"/>
    </row>
    <row r="62" spans="1:81" ht="15" customHeight="1" x14ac:dyDescent="0.45">
      <c r="A62" s="43"/>
      <c r="B62" s="62"/>
      <c r="C62" s="63"/>
      <c r="D62" s="63"/>
      <c r="E62" s="63"/>
      <c r="F62" s="63"/>
      <c r="G62" s="63"/>
      <c r="H62" s="63"/>
      <c r="I62" s="63"/>
      <c r="J62" s="63"/>
      <c r="K62" s="135" t="s">
        <v>161</v>
      </c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6" t="s">
        <v>162</v>
      </c>
      <c r="W62" s="136"/>
      <c r="X62" s="136"/>
      <c r="Y62" s="136"/>
      <c r="Z62" s="136"/>
      <c r="AA62" s="136"/>
      <c r="AB62" s="136"/>
      <c r="AC62" s="136"/>
      <c r="AD62" s="136"/>
      <c r="AE62" s="63"/>
      <c r="AF62" s="63"/>
      <c r="AG62" s="63"/>
      <c r="AH62" s="63"/>
      <c r="AI62" s="63"/>
      <c r="AJ62" s="63"/>
      <c r="AK62" s="63"/>
      <c r="AL62" s="152" t="s">
        <v>161</v>
      </c>
      <c r="AM62" s="153"/>
      <c r="AN62" s="153"/>
      <c r="AO62" s="153"/>
      <c r="AP62" s="153"/>
      <c r="AQ62" s="153"/>
      <c r="AR62" s="154"/>
      <c r="AS62" s="175" t="s">
        <v>162</v>
      </c>
      <c r="AT62" s="175"/>
      <c r="AU62" s="175"/>
      <c r="AV62" s="175"/>
      <c r="AW62" s="128"/>
    </row>
    <row r="63" spans="1:81" ht="20.100000000000001" customHeight="1" x14ac:dyDescent="0.45">
      <c r="A63" s="43"/>
      <c r="B63" s="113" t="s">
        <v>175</v>
      </c>
      <c r="C63" s="114"/>
      <c r="D63" s="114"/>
      <c r="E63" s="114"/>
      <c r="F63" s="114"/>
      <c r="G63" s="114"/>
      <c r="H63" s="114"/>
      <c r="I63" s="114"/>
      <c r="J63" s="115"/>
      <c r="K63" s="106" t="s">
        <v>164</v>
      </c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8"/>
      <c r="AE63" s="113" t="s">
        <v>166</v>
      </c>
      <c r="AF63" s="114"/>
      <c r="AG63" s="114"/>
      <c r="AH63" s="114"/>
      <c r="AI63" s="114"/>
      <c r="AJ63" s="114"/>
      <c r="AK63" s="115"/>
      <c r="AL63" s="106"/>
      <c r="AM63" s="107"/>
      <c r="AN63" s="107"/>
      <c r="AO63" s="107"/>
      <c r="AP63" s="107"/>
      <c r="AQ63" s="107"/>
      <c r="AR63" s="108"/>
      <c r="AS63" s="134"/>
      <c r="AT63" s="134"/>
      <c r="AU63" s="134"/>
      <c r="AV63" s="134"/>
      <c r="AW63" s="128"/>
    </row>
    <row r="64" spans="1:81" ht="20.100000000000001" customHeight="1" x14ac:dyDescent="0.45">
      <c r="A64" s="43"/>
      <c r="B64" s="113" t="s">
        <v>46</v>
      </c>
      <c r="C64" s="114"/>
      <c r="D64" s="114"/>
      <c r="E64" s="114"/>
      <c r="F64" s="114"/>
      <c r="G64" s="114"/>
      <c r="H64" s="114"/>
      <c r="I64" s="114"/>
      <c r="J64" s="115"/>
      <c r="K64" s="106" t="s">
        <v>164</v>
      </c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8"/>
      <c r="AE64" s="113" t="s">
        <v>176</v>
      </c>
      <c r="AF64" s="114"/>
      <c r="AG64" s="114"/>
      <c r="AH64" s="114"/>
      <c r="AI64" s="114"/>
      <c r="AJ64" s="114"/>
      <c r="AK64" s="115"/>
      <c r="AL64" s="106"/>
      <c r="AM64" s="107"/>
      <c r="AN64" s="107"/>
      <c r="AO64" s="107"/>
      <c r="AP64" s="107"/>
      <c r="AQ64" s="107"/>
      <c r="AR64" s="108"/>
      <c r="AS64" s="134"/>
      <c r="AT64" s="134"/>
      <c r="AU64" s="134"/>
      <c r="AV64" s="134"/>
      <c r="AW64" s="128"/>
    </row>
    <row r="65" spans="1:49" ht="20.100000000000001" customHeight="1" x14ac:dyDescent="0.45">
      <c r="A65" s="43"/>
      <c r="B65" s="113" t="s">
        <v>47</v>
      </c>
      <c r="C65" s="114"/>
      <c r="D65" s="114"/>
      <c r="E65" s="114"/>
      <c r="F65" s="114"/>
      <c r="G65" s="114"/>
      <c r="H65" s="114"/>
      <c r="I65" s="114"/>
      <c r="J65" s="115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  <c r="V65" s="134"/>
      <c r="W65" s="134"/>
      <c r="X65" s="134"/>
      <c r="Y65" s="134"/>
      <c r="Z65" s="134"/>
      <c r="AA65" s="134"/>
      <c r="AB65" s="134"/>
      <c r="AC65" s="134"/>
      <c r="AD65" s="134"/>
      <c r="AE65" s="113" t="s">
        <v>163</v>
      </c>
      <c r="AF65" s="114"/>
      <c r="AG65" s="114"/>
      <c r="AH65" s="114"/>
      <c r="AI65" s="114"/>
      <c r="AJ65" s="114"/>
      <c r="AK65" s="115"/>
      <c r="AL65" s="106"/>
      <c r="AM65" s="107"/>
      <c r="AN65" s="107"/>
      <c r="AO65" s="107"/>
      <c r="AP65" s="107"/>
      <c r="AQ65" s="107"/>
      <c r="AR65" s="108"/>
      <c r="AS65" s="176"/>
      <c r="AT65" s="176"/>
      <c r="AU65" s="176"/>
      <c r="AV65" s="176"/>
      <c r="AW65" s="128"/>
    </row>
    <row r="66" spans="1:49" ht="20.100000000000001" customHeight="1" x14ac:dyDescent="0.45">
      <c r="A66" s="43"/>
      <c r="B66" s="113" t="s">
        <v>167</v>
      </c>
      <c r="C66" s="114"/>
      <c r="D66" s="114"/>
      <c r="E66" s="114"/>
      <c r="F66" s="114"/>
      <c r="G66" s="114"/>
      <c r="H66" s="114"/>
      <c r="I66" s="114"/>
      <c r="J66" s="115"/>
      <c r="K66" s="106" t="s">
        <v>164</v>
      </c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8"/>
      <c r="AE66" s="113" t="s">
        <v>203</v>
      </c>
      <c r="AF66" s="114"/>
      <c r="AG66" s="114"/>
      <c r="AH66" s="114"/>
      <c r="AI66" s="114"/>
      <c r="AJ66" s="114"/>
      <c r="AK66" s="115"/>
      <c r="AL66" s="120"/>
      <c r="AM66" s="121"/>
      <c r="AN66" s="121"/>
      <c r="AO66" s="121"/>
      <c r="AP66" s="121"/>
      <c r="AQ66" s="121"/>
      <c r="AR66" s="122"/>
      <c r="AS66" s="106"/>
      <c r="AT66" s="107"/>
      <c r="AU66" s="107"/>
      <c r="AV66" s="108"/>
      <c r="AW66" s="128"/>
    </row>
    <row r="67" spans="1:49" s="12" customFormat="1" ht="20.100000000000001" customHeight="1" x14ac:dyDescent="0.2">
      <c r="A67" s="64"/>
      <c r="B67" s="113" t="s">
        <v>371</v>
      </c>
      <c r="C67" s="114"/>
      <c r="D67" s="114"/>
      <c r="E67" s="114"/>
      <c r="F67" s="114"/>
      <c r="G67" s="114"/>
      <c r="H67" s="114"/>
      <c r="I67" s="114"/>
      <c r="J67" s="115"/>
      <c r="K67" s="106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8"/>
      <c r="AE67" s="113" t="s">
        <v>204</v>
      </c>
      <c r="AF67" s="114"/>
      <c r="AG67" s="114"/>
      <c r="AH67" s="114"/>
      <c r="AI67" s="114"/>
      <c r="AJ67" s="114"/>
      <c r="AK67" s="115"/>
      <c r="AL67" s="120"/>
      <c r="AM67" s="121"/>
      <c r="AN67" s="121"/>
      <c r="AO67" s="121"/>
      <c r="AP67" s="121"/>
      <c r="AQ67" s="121"/>
      <c r="AR67" s="122"/>
      <c r="AS67" s="106"/>
      <c r="AT67" s="107"/>
      <c r="AU67" s="107"/>
      <c r="AV67" s="108"/>
      <c r="AW67" s="128"/>
    </row>
    <row r="68" spans="1:49" s="12" customFormat="1" ht="26.25" customHeight="1" x14ac:dyDescent="0.2">
      <c r="A68" s="64"/>
      <c r="B68" s="113" t="s">
        <v>303</v>
      </c>
      <c r="C68" s="114"/>
      <c r="D68" s="114"/>
      <c r="E68" s="114"/>
      <c r="F68" s="114"/>
      <c r="G68" s="114"/>
      <c r="H68" s="114"/>
      <c r="I68" s="114"/>
      <c r="J68" s="115"/>
      <c r="K68" s="106"/>
      <c r="L68" s="107"/>
      <c r="M68" s="107"/>
      <c r="N68" s="107"/>
      <c r="O68" s="107"/>
      <c r="P68" s="107"/>
      <c r="Q68" s="107"/>
      <c r="R68" s="107"/>
      <c r="S68" s="107"/>
      <c r="T68" s="107"/>
      <c r="U68" s="108"/>
      <c r="V68" s="106"/>
      <c r="W68" s="107"/>
      <c r="X68" s="107"/>
      <c r="Y68" s="107"/>
      <c r="Z68" s="107"/>
      <c r="AA68" s="107"/>
      <c r="AB68" s="107"/>
      <c r="AC68" s="107"/>
      <c r="AD68" s="108"/>
      <c r="AE68" s="117" t="s">
        <v>372</v>
      </c>
      <c r="AF68" s="118"/>
      <c r="AG68" s="118"/>
      <c r="AH68" s="118"/>
      <c r="AI68" s="118"/>
      <c r="AJ68" s="118"/>
      <c r="AK68" s="119"/>
      <c r="AL68" s="120"/>
      <c r="AM68" s="121"/>
      <c r="AN68" s="121"/>
      <c r="AO68" s="121"/>
      <c r="AP68" s="121"/>
      <c r="AQ68" s="121"/>
      <c r="AR68" s="122"/>
      <c r="AS68" s="106"/>
      <c r="AT68" s="107"/>
      <c r="AU68" s="107"/>
      <c r="AV68" s="108"/>
      <c r="AW68" s="128"/>
    </row>
    <row r="69" spans="1:49" ht="12.75" customHeight="1" x14ac:dyDescent="0.45">
      <c r="A69" s="43"/>
      <c r="B69" s="61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128"/>
    </row>
    <row r="70" spans="1:49" ht="12.75" customHeight="1" x14ac:dyDescent="0.45">
      <c r="A70" s="43"/>
      <c r="B70" s="130" t="s">
        <v>48</v>
      </c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2"/>
      <c r="AM70" s="47"/>
      <c r="AN70" s="47"/>
      <c r="AO70" s="65"/>
      <c r="AP70" s="66"/>
      <c r="AQ70" s="66"/>
      <c r="AR70" s="67" t="s">
        <v>49</v>
      </c>
      <c r="AS70" s="66"/>
      <c r="AT70" s="66"/>
      <c r="AU70" s="66"/>
      <c r="AV70" s="68"/>
      <c r="AW70" s="128"/>
    </row>
    <row r="71" spans="1:49" ht="12.75" customHeight="1" x14ac:dyDescent="0.45">
      <c r="A71" s="43"/>
      <c r="B71" s="123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  <c r="AG71" s="124"/>
      <c r="AH71" s="124"/>
      <c r="AI71" s="124"/>
      <c r="AJ71" s="124"/>
      <c r="AK71" s="124"/>
      <c r="AL71" s="125"/>
      <c r="AM71" s="47"/>
      <c r="AN71" s="47"/>
      <c r="AO71" s="69"/>
      <c r="AP71" s="47"/>
      <c r="AQ71" s="47"/>
      <c r="AR71" s="47"/>
      <c r="AS71" s="47"/>
      <c r="AT71" s="47"/>
      <c r="AU71" s="47"/>
      <c r="AV71" s="55"/>
      <c r="AW71" s="128"/>
    </row>
    <row r="72" spans="1:49" ht="12.75" customHeight="1" x14ac:dyDescent="0.45">
      <c r="A72" s="43"/>
      <c r="B72" s="123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  <c r="AI72" s="124"/>
      <c r="AJ72" s="124"/>
      <c r="AK72" s="124"/>
      <c r="AL72" s="125"/>
      <c r="AM72" s="47"/>
      <c r="AN72" s="47"/>
      <c r="AO72" s="69" t="s">
        <v>50</v>
      </c>
      <c r="AP72" s="47"/>
      <c r="AQ72" s="47"/>
      <c r="AR72" s="47"/>
      <c r="AS72" s="47"/>
      <c r="AT72" s="47"/>
      <c r="AU72" s="47"/>
      <c r="AV72" s="55"/>
      <c r="AW72" s="128"/>
    </row>
    <row r="73" spans="1:49" ht="12.75" customHeight="1" x14ac:dyDescent="0.45">
      <c r="A73" s="43"/>
      <c r="B73" s="123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  <c r="AH73" s="124"/>
      <c r="AI73" s="124"/>
      <c r="AJ73" s="124"/>
      <c r="AK73" s="124"/>
      <c r="AL73" s="125"/>
      <c r="AM73" s="47"/>
      <c r="AN73" s="47"/>
      <c r="AO73" s="69" t="s">
        <v>51</v>
      </c>
      <c r="AP73" s="47"/>
      <c r="AQ73" s="47"/>
      <c r="AR73" s="47"/>
      <c r="AS73" s="47"/>
      <c r="AT73" s="47"/>
      <c r="AU73" s="47"/>
      <c r="AV73" s="55"/>
      <c r="AW73" s="128"/>
    </row>
    <row r="74" spans="1:49" ht="12.75" customHeight="1" x14ac:dyDescent="0.45">
      <c r="A74" s="43"/>
      <c r="B74" s="123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  <c r="AH74" s="124"/>
      <c r="AI74" s="124"/>
      <c r="AJ74" s="124"/>
      <c r="AK74" s="124"/>
      <c r="AL74" s="125"/>
      <c r="AM74" s="47"/>
      <c r="AN74" s="47"/>
      <c r="AO74" s="69" t="s">
        <v>52</v>
      </c>
      <c r="AP74" s="47"/>
      <c r="AQ74" s="47"/>
      <c r="AR74" s="47"/>
      <c r="AS74" s="47"/>
      <c r="AT74" s="47"/>
      <c r="AU74" s="47"/>
      <c r="AV74" s="55"/>
      <c r="AW74" s="128"/>
    </row>
    <row r="75" spans="1:49" ht="12.75" customHeight="1" x14ac:dyDescent="0.45">
      <c r="A75" s="4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47"/>
      <c r="AN75" s="47"/>
      <c r="AO75" s="69" t="s">
        <v>53</v>
      </c>
      <c r="AP75" s="47"/>
      <c r="AQ75" s="47"/>
      <c r="AR75" s="47"/>
      <c r="AS75" s="47"/>
      <c r="AT75" s="47"/>
      <c r="AU75" s="47"/>
      <c r="AV75" s="55"/>
      <c r="AW75" s="128"/>
    </row>
    <row r="76" spans="1:49" ht="12.75" customHeight="1" x14ac:dyDescent="0.45">
      <c r="A76" s="43"/>
      <c r="B76" s="130" t="s">
        <v>177</v>
      </c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2"/>
      <c r="AM76" s="47"/>
      <c r="AN76" s="47"/>
      <c r="AO76" s="69" t="s">
        <v>54</v>
      </c>
      <c r="AP76" s="47"/>
      <c r="AQ76" s="47"/>
      <c r="AR76" s="47"/>
      <c r="AS76" s="47"/>
      <c r="AT76" s="47"/>
      <c r="AU76" s="47"/>
      <c r="AV76" s="55"/>
      <c r="AW76" s="128"/>
    </row>
    <row r="77" spans="1:49" ht="12.75" customHeight="1" x14ac:dyDescent="0.45">
      <c r="A77" s="43"/>
      <c r="B77" s="123" t="s">
        <v>178</v>
      </c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5"/>
      <c r="AM77" s="47"/>
      <c r="AN77" s="47"/>
      <c r="AO77" s="69" t="s">
        <v>55</v>
      </c>
      <c r="AP77" s="47"/>
      <c r="AQ77" s="47"/>
      <c r="AR77" s="47"/>
      <c r="AS77" s="47"/>
      <c r="AT77" s="47"/>
      <c r="AU77" s="47"/>
      <c r="AV77" s="55"/>
      <c r="AW77" s="128"/>
    </row>
    <row r="78" spans="1:49" ht="12.75" customHeight="1" x14ac:dyDescent="0.45">
      <c r="A78" s="43"/>
      <c r="B78" s="109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10"/>
      <c r="AI78" s="110"/>
      <c r="AJ78" s="110"/>
      <c r="AK78" s="110"/>
      <c r="AL78" s="111"/>
      <c r="AM78" s="47"/>
      <c r="AN78" s="47"/>
      <c r="AO78" s="69" t="s">
        <v>56</v>
      </c>
      <c r="AP78" s="47"/>
      <c r="AQ78" s="47"/>
      <c r="AR78" s="47"/>
      <c r="AS78" s="47"/>
      <c r="AT78" s="47"/>
      <c r="AU78" s="47"/>
      <c r="AV78" s="55"/>
      <c r="AW78" s="128"/>
    </row>
    <row r="79" spans="1:49" ht="12.75" customHeight="1" x14ac:dyDescent="0.45">
      <c r="A79" s="43"/>
      <c r="B79" s="109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1"/>
      <c r="AM79" s="47"/>
      <c r="AN79" s="47"/>
      <c r="AO79" s="69" t="s">
        <v>57</v>
      </c>
      <c r="AP79" s="47"/>
      <c r="AQ79" s="47"/>
      <c r="AR79" s="47"/>
      <c r="AS79" s="47"/>
      <c r="AT79" s="47"/>
      <c r="AU79" s="47"/>
      <c r="AV79" s="55"/>
      <c r="AW79" s="128"/>
    </row>
    <row r="80" spans="1:49" ht="12.75" customHeight="1" x14ac:dyDescent="0.45">
      <c r="A80" s="43"/>
      <c r="B80" s="109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10"/>
      <c r="AI80" s="110"/>
      <c r="AJ80" s="110"/>
      <c r="AK80" s="110"/>
      <c r="AL80" s="111"/>
      <c r="AM80" s="47"/>
      <c r="AN80" s="47"/>
      <c r="AO80" s="71"/>
      <c r="AP80" s="44"/>
      <c r="AQ80" s="44"/>
      <c r="AR80" s="44"/>
      <c r="AS80" s="44"/>
      <c r="AT80" s="44"/>
      <c r="AU80" s="44"/>
      <c r="AV80" s="72"/>
      <c r="AW80" s="128"/>
    </row>
    <row r="81" spans="1:49" ht="12.75" customHeight="1" x14ac:dyDescent="0.45">
      <c r="A81" s="43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128"/>
    </row>
    <row r="82" spans="1:49" ht="12.75" customHeight="1" x14ac:dyDescent="0.45">
      <c r="A82" s="43"/>
      <c r="B82" s="47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128"/>
    </row>
    <row r="83" spans="1:49" ht="12.75" customHeight="1" x14ac:dyDescent="0.45">
      <c r="A83" s="43"/>
      <c r="B83" s="47"/>
      <c r="C83" s="112" t="s">
        <v>376</v>
      </c>
      <c r="D83" s="112"/>
      <c r="E83" s="112"/>
      <c r="F83" s="112"/>
      <c r="G83" s="112"/>
      <c r="H83" s="112"/>
      <c r="I83" s="112"/>
      <c r="J83" s="112"/>
      <c r="K83" s="112"/>
      <c r="L83" s="112"/>
      <c r="M83" s="74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73"/>
      <c r="Y83" s="112" t="s">
        <v>382</v>
      </c>
      <c r="Z83" s="112"/>
      <c r="AA83" s="112"/>
      <c r="AB83" s="112"/>
      <c r="AC83" s="112"/>
      <c r="AD83" s="112"/>
      <c r="AE83" s="112"/>
      <c r="AF83" s="112"/>
      <c r="AG83" s="73"/>
      <c r="AH83" s="73"/>
      <c r="AI83" s="73"/>
      <c r="AJ83" s="73"/>
      <c r="AK83" s="73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3"/>
      <c r="AW83" s="128"/>
    </row>
    <row r="84" spans="1:49" ht="12.75" customHeight="1" x14ac:dyDescent="0.45">
      <c r="A84" s="43"/>
      <c r="B84" s="47"/>
      <c r="C84" s="116" t="s">
        <v>58</v>
      </c>
      <c r="D84" s="116"/>
      <c r="E84" s="116"/>
      <c r="F84" s="116"/>
      <c r="G84" s="116"/>
      <c r="H84" s="116"/>
      <c r="I84" s="116"/>
      <c r="J84" s="116"/>
      <c r="K84" s="116"/>
      <c r="L84" s="116"/>
      <c r="M84" s="74"/>
      <c r="N84" s="116" t="s">
        <v>348</v>
      </c>
      <c r="O84" s="116"/>
      <c r="P84" s="116"/>
      <c r="Q84" s="116"/>
      <c r="R84" s="116"/>
      <c r="S84" s="116"/>
      <c r="T84" s="116"/>
      <c r="U84" s="116"/>
      <c r="V84" s="116"/>
      <c r="W84" s="116"/>
      <c r="X84" s="76"/>
      <c r="Y84" s="116" t="s">
        <v>125</v>
      </c>
      <c r="Z84" s="116"/>
      <c r="AA84" s="116"/>
      <c r="AB84" s="116"/>
      <c r="AC84" s="116"/>
      <c r="AD84" s="116"/>
      <c r="AE84" s="116"/>
      <c r="AF84" s="116"/>
      <c r="AG84" s="73"/>
      <c r="AH84" s="73"/>
      <c r="AI84" s="73"/>
      <c r="AJ84" s="73"/>
      <c r="AK84" s="73"/>
      <c r="AL84" s="75"/>
      <c r="AM84" s="75"/>
      <c r="AN84" s="75"/>
      <c r="AO84" s="73" t="s">
        <v>59</v>
      </c>
      <c r="AP84" s="73"/>
      <c r="AQ84" s="73"/>
      <c r="AR84" s="73"/>
      <c r="AS84" s="77"/>
      <c r="AT84" s="77"/>
      <c r="AU84" s="77"/>
      <c r="AV84" s="73"/>
      <c r="AW84" s="128"/>
    </row>
    <row r="85" spans="1:49" ht="12.75" customHeight="1" x14ac:dyDescent="0.45">
      <c r="A85" s="43"/>
      <c r="B85" s="47"/>
      <c r="C85" s="75"/>
      <c r="D85" s="75"/>
      <c r="E85" s="75"/>
      <c r="F85" s="78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3"/>
      <c r="AW85" s="128"/>
    </row>
    <row r="86" spans="1:49" ht="16.5" customHeight="1" x14ac:dyDescent="0.45">
      <c r="A86" s="43"/>
      <c r="B86" s="104" t="s">
        <v>373</v>
      </c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3"/>
      <c r="AH86" s="103"/>
      <c r="AI86" s="103"/>
      <c r="AJ86" s="103"/>
      <c r="AK86" s="103"/>
      <c r="AL86" s="103"/>
      <c r="AM86" s="103"/>
      <c r="AN86" s="103"/>
      <c r="AO86" s="103"/>
      <c r="AP86" s="103"/>
      <c r="AQ86" s="103"/>
      <c r="AR86" s="103"/>
      <c r="AS86" s="103"/>
      <c r="AT86" s="103"/>
      <c r="AU86" s="103"/>
      <c r="AV86" s="79" t="s">
        <v>363</v>
      </c>
      <c r="AW86" s="128"/>
    </row>
    <row r="87" spans="1:49" ht="20.100000000000001" customHeight="1" x14ac:dyDescent="0.45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127"/>
      <c r="AO87" s="127"/>
      <c r="AP87" s="127"/>
      <c r="AQ87" s="127"/>
      <c r="AR87" s="127"/>
      <c r="AS87" s="127"/>
      <c r="AT87" s="127"/>
      <c r="AU87" s="127"/>
      <c r="AV87" s="127"/>
      <c r="AW87" s="127"/>
    </row>
  </sheetData>
  <mergeCells count="179">
    <mergeCell ref="AS64:AV64"/>
    <mergeCell ref="AL62:AR62"/>
    <mergeCell ref="AS62:AV62"/>
    <mergeCell ref="AS65:AV65"/>
    <mergeCell ref="AL65:AR65"/>
    <mergeCell ref="AL64:AR64"/>
    <mergeCell ref="AL63:AR63"/>
    <mergeCell ref="AS63:AV63"/>
    <mergeCell ref="AT6:AV6"/>
    <mergeCell ref="AR60:AV60"/>
    <mergeCell ref="AP60:AQ60"/>
    <mergeCell ref="B7:D7"/>
    <mergeCell ref="E7:T7"/>
    <mergeCell ref="U7:AD7"/>
    <mergeCell ref="AE7:AN7"/>
    <mergeCell ref="AR7:AV7"/>
    <mergeCell ref="AO7:AQ7"/>
    <mergeCell ref="B8:D8"/>
    <mergeCell ref="E8:T8"/>
    <mergeCell ref="U8:AD8"/>
    <mergeCell ref="AE8:AN8"/>
    <mergeCell ref="AR8:AV8"/>
    <mergeCell ref="AO8:AQ8"/>
    <mergeCell ref="B9:D9"/>
    <mergeCell ref="E9:T9"/>
    <mergeCell ref="U9:AD9"/>
    <mergeCell ref="AE9:AN9"/>
    <mergeCell ref="AR9:AV9"/>
    <mergeCell ref="AO9:AQ9"/>
    <mergeCell ref="B48:D48"/>
    <mergeCell ref="E48:G48"/>
    <mergeCell ref="H48:J48"/>
    <mergeCell ref="K48:AJ48"/>
    <mergeCell ref="AK48:AO48"/>
    <mergeCell ref="AR48:AV48"/>
    <mergeCell ref="AP48:AQ48"/>
    <mergeCell ref="AO10:AS10"/>
    <mergeCell ref="I45:T45"/>
    <mergeCell ref="U45:AE45"/>
    <mergeCell ref="B11:AV43"/>
    <mergeCell ref="B44:AV44"/>
    <mergeCell ref="B46:AV46"/>
    <mergeCell ref="B50:D50"/>
    <mergeCell ref="E50:G50"/>
    <mergeCell ref="H50:J50"/>
    <mergeCell ref="K50:AJ50"/>
    <mergeCell ref="AK50:AO50"/>
    <mergeCell ref="AR50:AV50"/>
    <mergeCell ref="AP50:AQ50"/>
    <mergeCell ref="B49:D49"/>
    <mergeCell ref="E49:G49"/>
    <mergeCell ref="H49:J49"/>
    <mergeCell ref="K49:AJ49"/>
    <mergeCell ref="AK49:AO49"/>
    <mergeCell ref="AR49:AV49"/>
    <mergeCell ref="AP49:AQ49"/>
    <mergeCell ref="B52:D52"/>
    <mergeCell ref="E52:G52"/>
    <mergeCell ref="H52:J52"/>
    <mergeCell ref="K52:AJ52"/>
    <mergeCell ref="AK52:AO52"/>
    <mergeCell ref="AR52:AV52"/>
    <mergeCell ref="AP52:AQ52"/>
    <mergeCell ref="B51:D51"/>
    <mergeCell ref="E51:G51"/>
    <mergeCell ref="H51:J51"/>
    <mergeCell ref="K51:AJ51"/>
    <mergeCell ref="AK51:AO51"/>
    <mergeCell ref="AR51:AV51"/>
    <mergeCell ref="AP51:AQ51"/>
    <mergeCell ref="B54:D54"/>
    <mergeCell ref="E54:G54"/>
    <mergeCell ref="H54:J54"/>
    <mergeCell ref="K54:AJ54"/>
    <mergeCell ref="AK54:AO54"/>
    <mergeCell ref="AR54:AV54"/>
    <mergeCell ref="AP54:AQ54"/>
    <mergeCell ref="B53:D53"/>
    <mergeCell ref="E53:G53"/>
    <mergeCell ref="H53:J53"/>
    <mergeCell ref="K53:AJ53"/>
    <mergeCell ref="AK53:AO53"/>
    <mergeCell ref="AR53:AV53"/>
    <mergeCell ref="AP53:AQ53"/>
    <mergeCell ref="B56:D56"/>
    <mergeCell ref="E56:G56"/>
    <mergeCell ref="H56:J56"/>
    <mergeCell ref="K56:AJ56"/>
    <mergeCell ref="AK56:AO56"/>
    <mergeCell ref="AR56:AV56"/>
    <mergeCell ref="AP56:AQ56"/>
    <mergeCell ref="B55:D55"/>
    <mergeCell ref="E55:G55"/>
    <mergeCell ref="H55:J55"/>
    <mergeCell ref="K55:AJ55"/>
    <mergeCell ref="AK55:AO55"/>
    <mergeCell ref="AR55:AV55"/>
    <mergeCell ref="AP55:AQ55"/>
    <mergeCell ref="B58:D58"/>
    <mergeCell ref="E58:G58"/>
    <mergeCell ref="H58:J58"/>
    <mergeCell ref="K58:AJ58"/>
    <mergeCell ref="AK58:AO58"/>
    <mergeCell ref="AR58:AV58"/>
    <mergeCell ref="AP58:AQ58"/>
    <mergeCell ref="B57:D57"/>
    <mergeCell ref="E57:G57"/>
    <mergeCell ref="H57:J57"/>
    <mergeCell ref="K57:AJ57"/>
    <mergeCell ref="AK57:AO57"/>
    <mergeCell ref="AR57:AV57"/>
    <mergeCell ref="AP57:AQ57"/>
    <mergeCell ref="B59:D59"/>
    <mergeCell ref="E59:G59"/>
    <mergeCell ref="H59:J59"/>
    <mergeCell ref="K59:AJ59"/>
    <mergeCell ref="AK59:AO59"/>
    <mergeCell ref="AR59:AV59"/>
    <mergeCell ref="AP59:AQ59"/>
    <mergeCell ref="B60:D60"/>
    <mergeCell ref="B63:J63"/>
    <mergeCell ref="K63:AD63"/>
    <mergeCell ref="AE65:AK65"/>
    <mergeCell ref="E60:G60"/>
    <mergeCell ref="H60:J60"/>
    <mergeCell ref="K60:AJ60"/>
    <mergeCell ref="AE63:AK63"/>
    <mergeCell ref="AK60:AO60"/>
    <mergeCell ref="B64:J64"/>
    <mergeCell ref="AE64:AK64"/>
    <mergeCell ref="B65:J65"/>
    <mergeCell ref="K65:U65"/>
    <mergeCell ref="A87:AW87"/>
    <mergeCell ref="AW1:AW86"/>
    <mergeCell ref="AT2:AU2"/>
    <mergeCell ref="AT3:AU3"/>
    <mergeCell ref="AT4:AU4"/>
    <mergeCell ref="N84:W84"/>
    <mergeCell ref="B70:AL70"/>
    <mergeCell ref="B71:AL71"/>
    <mergeCell ref="B72:AL72"/>
    <mergeCell ref="B73:AL73"/>
    <mergeCell ref="B75:AL75"/>
    <mergeCell ref="Y84:AF84"/>
    <mergeCell ref="B76:AL76"/>
    <mergeCell ref="B77:AL77"/>
    <mergeCell ref="B66:J66"/>
    <mergeCell ref="K66:AD66"/>
    <mergeCell ref="AE66:AK66"/>
    <mergeCell ref="B67:J67"/>
    <mergeCell ref="K67:AD67"/>
    <mergeCell ref="AE67:AK67"/>
    <mergeCell ref="V65:AD65"/>
    <mergeCell ref="K64:AD64"/>
    <mergeCell ref="K62:U62"/>
    <mergeCell ref="V62:AD62"/>
    <mergeCell ref="AS66:AV66"/>
    <mergeCell ref="B68:J68"/>
    <mergeCell ref="C84:L84"/>
    <mergeCell ref="K68:U68"/>
    <mergeCell ref="V68:AD68"/>
    <mergeCell ref="AE68:AK68"/>
    <mergeCell ref="AS68:AV68"/>
    <mergeCell ref="AL68:AR68"/>
    <mergeCell ref="B78:AL78"/>
    <mergeCell ref="B74:AL74"/>
    <mergeCell ref="AL67:AR67"/>
    <mergeCell ref="N83:W83"/>
    <mergeCell ref="AL66:AR66"/>
    <mergeCell ref="AP86:AU86"/>
    <mergeCell ref="B86:P86"/>
    <mergeCell ref="Q86:X86"/>
    <mergeCell ref="Y86:AF86"/>
    <mergeCell ref="AG86:AO86"/>
    <mergeCell ref="AS67:AV67"/>
    <mergeCell ref="B79:AL79"/>
    <mergeCell ref="B80:AL80"/>
    <mergeCell ref="C83:L83"/>
    <mergeCell ref="Y83:AF8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0" orientation="portrait" r:id="rId1"/>
  <rowBreaks count="1" manualBreakCount="1">
    <brk id="87" max="4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67"/>
  <sheetViews>
    <sheetView view="pageBreakPreview" topLeftCell="A53" zoomScale="86" zoomScaleNormal="100" zoomScaleSheetLayoutView="86" workbookViewId="0">
      <selection activeCell="H63" sqref="H63:I63"/>
    </sheetView>
  </sheetViews>
  <sheetFormatPr baseColWidth="10" defaultRowHeight="18.75" x14ac:dyDescent="0.45"/>
  <cols>
    <col min="1" max="1" width="4.7109375" style="5" customWidth="1"/>
    <col min="2" max="2" width="13.7109375" style="5" customWidth="1"/>
    <col min="3" max="8" width="14.28515625" style="5" customWidth="1"/>
    <col min="9" max="9" width="13.7109375" style="5" customWidth="1"/>
    <col min="10" max="10" width="4.7109375" style="5" customWidth="1"/>
    <col min="11" max="13" width="11.42578125" style="5"/>
    <col min="14" max="14" width="13.7109375" style="5" customWidth="1"/>
    <col min="15" max="16384" width="11.42578125" style="5"/>
  </cols>
  <sheetData>
    <row r="1" spans="2:9" ht="15" customHeight="1" x14ac:dyDescent="0.45"/>
    <row r="2" spans="2:9" ht="12.75" customHeight="1" x14ac:dyDescent="0.45">
      <c r="B2" s="183"/>
      <c r="C2" s="184"/>
      <c r="D2" s="189" t="s">
        <v>377</v>
      </c>
      <c r="E2" s="189"/>
      <c r="F2" s="189"/>
      <c r="G2" s="190"/>
      <c r="H2" s="195" t="s">
        <v>138</v>
      </c>
      <c r="I2" s="196"/>
    </row>
    <row r="3" spans="2:9" ht="12.75" customHeight="1" x14ac:dyDescent="0.45">
      <c r="B3" s="185"/>
      <c r="C3" s="186"/>
      <c r="D3" s="191"/>
      <c r="E3" s="191"/>
      <c r="F3" s="191"/>
      <c r="G3" s="192"/>
      <c r="H3" s="197"/>
      <c r="I3" s="198"/>
    </row>
    <row r="4" spans="2:9" ht="12.75" customHeight="1" x14ac:dyDescent="0.45">
      <c r="B4" s="185"/>
      <c r="C4" s="186"/>
      <c r="D4" s="191"/>
      <c r="E4" s="191"/>
      <c r="F4" s="191"/>
      <c r="G4" s="192"/>
      <c r="H4" s="197"/>
      <c r="I4" s="198"/>
    </row>
    <row r="5" spans="2:9" ht="12.75" customHeight="1" x14ac:dyDescent="0.45">
      <c r="B5" s="187"/>
      <c r="C5" s="188"/>
      <c r="D5" s="193"/>
      <c r="E5" s="193"/>
      <c r="F5" s="193"/>
      <c r="G5" s="194"/>
      <c r="H5" s="199"/>
      <c r="I5" s="200"/>
    </row>
    <row r="6" spans="2:9" x14ac:dyDescent="0.45">
      <c r="B6" s="179" t="s">
        <v>168</v>
      </c>
      <c r="C6" s="180"/>
      <c r="D6" s="82">
        <f>DATOS!AE7</f>
        <v>0</v>
      </c>
      <c r="E6" s="83"/>
      <c r="F6" s="83"/>
      <c r="G6" s="7" t="s">
        <v>59</v>
      </c>
      <c r="H6" s="201" t="s">
        <v>375</v>
      </c>
      <c r="I6" s="202"/>
    </row>
    <row r="7" spans="2:9" x14ac:dyDescent="0.45">
      <c r="B7" s="203" t="s">
        <v>139</v>
      </c>
      <c r="C7" s="204"/>
      <c r="D7" s="29" t="s">
        <v>374</v>
      </c>
      <c r="E7" s="85"/>
      <c r="F7" s="85"/>
      <c r="G7" s="84" t="s">
        <v>132</v>
      </c>
      <c r="H7" s="205" t="s">
        <v>165</v>
      </c>
      <c r="I7" s="206"/>
    </row>
    <row r="8" spans="2:9" x14ac:dyDescent="0.45">
      <c r="B8" s="86" t="s">
        <v>349</v>
      </c>
      <c r="C8" s="87"/>
      <c r="D8" s="83"/>
      <c r="E8" s="83"/>
      <c r="F8" s="83"/>
      <c r="G8" s="83"/>
      <c r="H8" s="83"/>
      <c r="I8" s="88"/>
    </row>
    <row r="9" spans="2:9" ht="4.5" customHeight="1" x14ac:dyDescent="0.45">
      <c r="B9" s="89"/>
      <c r="C9" s="31"/>
      <c r="I9" s="90"/>
    </row>
    <row r="10" spans="2:9" x14ac:dyDescent="0.45">
      <c r="B10" s="91"/>
      <c r="D10" s="12" t="s">
        <v>134</v>
      </c>
      <c r="G10" s="12" t="s">
        <v>140</v>
      </c>
      <c r="I10" s="90"/>
    </row>
    <row r="11" spans="2:9" x14ac:dyDescent="0.45">
      <c r="B11" s="91"/>
      <c r="D11" s="12" t="s">
        <v>135</v>
      </c>
      <c r="G11" s="12" t="s">
        <v>141</v>
      </c>
      <c r="I11" s="90"/>
    </row>
    <row r="12" spans="2:9" x14ac:dyDescent="0.45">
      <c r="B12" s="91"/>
      <c r="D12" s="12" t="s">
        <v>142</v>
      </c>
      <c r="G12" s="12" t="s">
        <v>143</v>
      </c>
      <c r="I12" s="90"/>
    </row>
    <row r="13" spans="2:9" x14ac:dyDescent="0.45">
      <c r="B13" s="92"/>
      <c r="C13" s="85"/>
      <c r="D13" s="29" t="s">
        <v>144</v>
      </c>
      <c r="E13" s="85"/>
      <c r="F13" s="85"/>
      <c r="G13" s="85"/>
      <c r="H13" s="85"/>
      <c r="I13" s="93"/>
    </row>
    <row r="14" spans="2:9" x14ac:dyDescent="0.45">
      <c r="B14" s="179" t="s">
        <v>136</v>
      </c>
      <c r="C14" s="180"/>
      <c r="D14" s="180"/>
      <c r="E14" s="83" t="s">
        <v>145</v>
      </c>
      <c r="F14" s="83"/>
      <c r="G14" s="21" t="s">
        <v>146</v>
      </c>
      <c r="H14" s="22" t="s">
        <v>179</v>
      </c>
      <c r="I14" s="88"/>
    </row>
    <row r="15" spans="2:9" ht="4.5" customHeight="1" x14ac:dyDescent="0.45">
      <c r="B15" s="92"/>
      <c r="C15" s="85"/>
      <c r="D15" s="85"/>
      <c r="E15" s="85"/>
      <c r="F15" s="85"/>
      <c r="G15" s="29"/>
      <c r="H15" s="85"/>
      <c r="I15" s="93"/>
    </row>
    <row r="16" spans="2:9" x14ac:dyDescent="0.45">
      <c r="B16" s="86" t="s">
        <v>147</v>
      </c>
      <c r="C16" s="87"/>
      <c r="D16" s="83"/>
      <c r="E16" s="83"/>
      <c r="F16" s="83"/>
      <c r="G16" s="83"/>
      <c r="H16" s="83"/>
      <c r="I16" s="88"/>
    </row>
    <row r="17" spans="2:9" x14ac:dyDescent="0.45">
      <c r="B17" s="181" t="s">
        <v>350</v>
      </c>
      <c r="C17" s="182"/>
      <c r="D17" s="182"/>
      <c r="E17" s="182"/>
      <c r="F17" s="182"/>
      <c r="G17" s="182"/>
      <c r="H17" s="182"/>
      <c r="I17" s="90"/>
    </row>
    <row r="18" spans="2:9" ht="4.5" customHeight="1" x14ac:dyDescent="0.45">
      <c r="B18" s="92"/>
      <c r="C18" s="85"/>
      <c r="D18" s="85"/>
      <c r="E18" s="85"/>
      <c r="F18" s="85"/>
      <c r="G18" s="85"/>
      <c r="H18" s="85"/>
      <c r="I18" s="93"/>
    </row>
    <row r="20" spans="2:9" x14ac:dyDescent="0.45">
      <c r="B20" s="31" t="s">
        <v>148</v>
      </c>
      <c r="C20" s="31"/>
      <c r="D20" s="94"/>
      <c r="E20" s="94"/>
    </row>
    <row r="21" spans="2:9" x14ac:dyDescent="0.45">
      <c r="D21" s="94" t="s">
        <v>378</v>
      </c>
      <c r="E21" s="94" t="s">
        <v>379</v>
      </c>
    </row>
    <row r="23" spans="2:9" x14ac:dyDescent="0.45">
      <c r="B23" s="31" t="s">
        <v>351</v>
      </c>
      <c r="C23" s="31"/>
    </row>
    <row r="24" spans="2:9" x14ac:dyDescent="0.45">
      <c r="B24" s="95"/>
      <c r="C24" s="95"/>
      <c r="D24" s="39"/>
    </row>
    <row r="26" spans="2:9" ht="12.75" customHeight="1" x14ac:dyDescent="0.45">
      <c r="B26" s="36"/>
      <c r="C26" s="36"/>
      <c r="D26" s="211" t="s">
        <v>180</v>
      </c>
      <c r="E26" s="211"/>
      <c r="F26" s="211"/>
      <c r="G26" s="211"/>
      <c r="H26" s="36"/>
      <c r="I26" s="36"/>
    </row>
    <row r="27" spans="2:9" x14ac:dyDescent="0.45">
      <c r="D27" s="209"/>
      <c r="E27" s="209"/>
      <c r="F27" s="209"/>
      <c r="G27" s="209"/>
    </row>
    <row r="28" spans="2:9" x14ac:dyDescent="0.45">
      <c r="D28" s="209"/>
      <c r="E28" s="209"/>
      <c r="F28" s="209"/>
      <c r="G28" s="209"/>
    </row>
    <row r="29" spans="2:9" x14ac:dyDescent="0.45">
      <c r="D29" s="209"/>
      <c r="E29" s="209"/>
      <c r="F29" s="209"/>
      <c r="G29" s="209"/>
    </row>
    <row r="30" spans="2:9" x14ac:dyDescent="0.45">
      <c r="D30" s="209"/>
      <c r="E30" s="209"/>
      <c r="F30" s="209"/>
      <c r="G30" s="209"/>
    </row>
    <row r="31" spans="2:9" x14ac:dyDescent="0.45">
      <c r="D31" s="209"/>
      <c r="E31" s="209"/>
      <c r="F31" s="209"/>
      <c r="G31" s="209"/>
    </row>
    <row r="32" spans="2:9" x14ac:dyDescent="0.45">
      <c r="D32" s="209"/>
      <c r="E32" s="209"/>
      <c r="F32" s="209"/>
      <c r="G32" s="209"/>
    </row>
    <row r="33" spans="2:9" x14ac:dyDescent="0.45">
      <c r="D33" s="209"/>
      <c r="E33" s="209"/>
      <c r="F33" s="209"/>
      <c r="G33" s="209"/>
    </row>
    <row r="34" spans="2:9" x14ac:dyDescent="0.45">
      <c r="D34" s="209"/>
      <c r="E34" s="209"/>
      <c r="F34" s="209"/>
      <c r="G34" s="209"/>
    </row>
    <row r="35" spans="2:9" x14ac:dyDescent="0.45">
      <c r="D35" s="209"/>
      <c r="E35" s="209"/>
      <c r="F35" s="209"/>
      <c r="G35" s="209"/>
    </row>
    <row r="36" spans="2:9" x14ac:dyDescent="0.45">
      <c r="D36" s="209"/>
      <c r="E36" s="209"/>
      <c r="F36" s="209"/>
      <c r="G36" s="209"/>
    </row>
    <row r="37" spans="2:9" x14ac:dyDescent="0.45">
      <c r="D37" s="209"/>
      <c r="E37" s="209"/>
      <c r="F37" s="209"/>
      <c r="G37" s="209"/>
    </row>
    <row r="38" spans="2:9" x14ac:dyDescent="0.45">
      <c r="D38" s="209"/>
      <c r="E38" s="209"/>
      <c r="F38" s="209"/>
      <c r="G38" s="209"/>
    </row>
    <row r="39" spans="2:9" x14ac:dyDescent="0.45">
      <c r="D39" s="212" t="s">
        <v>181</v>
      </c>
      <c r="E39" s="212"/>
      <c r="F39" s="212"/>
      <c r="G39" s="212"/>
    </row>
    <row r="42" spans="2:9" ht="12.75" customHeight="1" x14ac:dyDescent="0.45">
      <c r="B42" s="36"/>
      <c r="C42" s="36"/>
      <c r="D42" s="211" t="s">
        <v>182</v>
      </c>
      <c r="E42" s="211"/>
      <c r="F42" s="211"/>
      <c r="G42" s="211"/>
      <c r="H42" s="36"/>
      <c r="I42" s="36"/>
    </row>
    <row r="43" spans="2:9" x14ac:dyDescent="0.45">
      <c r="D43" s="209"/>
      <c r="E43" s="209"/>
      <c r="F43" s="209"/>
      <c r="G43" s="209"/>
    </row>
    <row r="44" spans="2:9" x14ac:dyDescent="0.45">
      <c r="D44" s="209"/>
      <c r="E44" s="209"/>
      <c r="F44" s="209"/>
      <c r="G44" s="209"/>
    </row>
    <row r="45" spans="2:9" x14ac:dyDescent="0.45">
      <c r="D45" s="209"/>
      <c r="E45" s="209"/>
      <c r="F45" s="209"/>
      <c r="G45" s="209"/>
    </row>
    <row r="46" spans="2:9" x14ac:dyDescent="0.45">
      <c r="D46" s="209"/>
      <c r="E46" s="209"/>
      <c r="F46" s="209"/>
      <c r="G46" s="209"/>
    </row>
    <row r="47" spans="2:9" x14ac:dyDescent="0.45">
      <c r="D47" s="209"/>
      <c r="E47" s="209"/>
      <c r="F47" s="209"/>
      <c r="G47" s="209"/>
    </row>
    <row r="48" spans="2:9" x14ac:dyDescent="0.45">
      <c r="D48" s="209"/>
      <c r="E48" s="209"/>
      <c r="F48" s="209"/>
      <c r="G48" s="209"/>
    </row>
    <row r="49" spans="2:9" x14ac:dyDescent="0.45">
      <c r="D49" s="209"/>
      <c r="E49" s="209"/>
      <c r="F49" s="209"/>
      <c r="G49" s="209"/>
    </row>
    <row r="50" spans="2:9" x14ac:dyDescent="0.45">
      <c r="D50" s="209"/>
      <c r="E50" s="209"/>
      <c r="F50" s="209"/>
      <c r="G50" s="209"/>
    </row>
    <row r="51" spans="2:9" x14ac:dyDescent="0.45">
      <c r="D51" s="209"/>
      <c r="E51" s="209"/>
      <c r="F51" s="209"/>
      <c r="G51" s="209"/>
    </row>
    <row r="52" spans="2:9" x14ac:dyDescent="0.45">
      <c r="D52" s="209"/>
      <c r="E52" s="209"/>
      <c r="F52" s="209"/>
      <c r="G52" s="209"/>
    </row>
    <row r="53" spans="2:9" x14ac:dyDescent="0.45">
      <c r="D53" s="209"/>
      <c r="E53" s="209"/>
      <c r="F53" s="209"/>
      <c r="G53" s="209"/>
    </row>
    <row r="54" spans="2:9" x14ac:dyDescent="0.45">
      <c r="D54" s="209"/>
      <c r="E54" s="209"/>
      <c r="F54" s="209"/>
      <c r="G54" s="209"/>
    </row>
    <row r="55" spans="2:9" x14ac:dyDescent="0.45">
      <c r="D55" s="212" t="s">
        <v>181</v>
      </c>
      <c r="E55" s="212"/>
      <c r="F55" s="212"/>
      <c r="G55" s="212"/>
    </row>
    <row r="58" spans="2:9" x14ac:dyDescent="0.45">
      <c r="B58" s="31" t="s">
        <v>137</v>
      </c>
    </row>
    <row r="59" spans="2:9" x14ac:dyDescent="0.45">
      <c r="B59" s="210" t="s">
        <v>188</v>
      </c>
      <c r="C59" s="210"/>
      <c r="D59" s="210"/>
      <c r="E59" s="210"/>
      <c r="F59" s="210"/>
      <c r="G59" s="210"/>
      <c r="H59" s="210"/>
      <c r="I59" s="210"/>
    </row>
    <row r="62" spans="2:9" x14ac:dyDescent="0.45">
      <c r="B62" s="213" t="s">
        <v>376</v>
      </c>
      <c r="C62" s="213"/>
      <c r="E62" s="214"/>
      <c r="F62" s="214"/>
      <c r="H62" s="213" t="s">
        <v>382</v>
      </c>
      <c r="I62" s="213"/>
    </row>
    <row r="63" spans="2:9" x14ac:dyDescent="0.45">
      <c r="B63" s="215" t="s">
        <v>58</v>
      </c>
      <c r="C63" s="215"/>
      <c r="E63" s="215" t="s">
        <v>348</v>
      </c>
      <c r="F63" s="215"/>
      <c r="H63" s="215" t="s">
        <v>189</v>
      </c>
      <c r="I63" s="215"/>
    </row>
    <row r="66" spans="2:9" x14ac:dyDescent="0.45">
      <c r="B66" s="207" t="s">
        <v>373</v>
      </c>
      <c r="C66" s="207"/>
      <c r="H66" s="208" t="s">
        <v>364</v>
      </c>
      <c r="I66" s="208"/>
    </row>
    <row r="67" spans="2:9" ht="15" customHeight="1" x14ac:dyDescent="0.45"/>
  </sheetData>
  <mergeCells count="24">
    <mergeCell ref="B66:C66"/>
    <mergeCell ref="H66:I66"/>
    <mergeCell ref="D43:G54"/>
    <mergeCell ref="B59:I59"/>
    <mergeCell ref="D26:G26"/>
    <mergeCell ref="D27:G38"/>
    <mergeCell ref="D42:G42"/>
    <mergeCell ref="D39:G39"/>
    <mergeCell ref="D55:G55"/>
    <mergeCell ref="B62:C62"/>
    <mergeCell ref="E62:F62"/>
    <mergeCell ref="H62:I62"/>
    <mergeCell ref="B63:C63"/>
    <mergeCell ref="E63:F63"/>
    <mergeCell ref="H63:I63"/>
    <mergeCell ref="B14:D14"/>
    <mergeCell ref="B17:H17"/>
    <mergeCell ref="B2:C5"/>
    <mergeCell ref="D2:G5"/>
    <mergeCell ref="H2:I5"/>
    <mergeCell ref="B6:C6"/>
    <mergeCell ref="H6:I6"/>
    <mergeCell ref="B7:C7"/>
    <mergeCell ref="H7:I7"/>
  </mergeCells>
  <pageMargins left="0.7" right="0.7" top="0.75" bottom="0.75" header="0.3" footer="0.3"/>
  <pageSetup paperSize="9" scale="7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4264" r:id="rId4" name="Check Box 8">
              <controlPr defaultSize="0" autoFill="0" autoLine="0" autoPict="0">
                <anchor moveWithCells="1">
                  <from>
                    <xdr:col>5</xdr:col>
                    <xdr:colOff>781050</xdr:colOff>
                    <xdr:row>8</xdr:row>
                    <xdr:rowOff>47625</xdr:rowOff>
                  </from>
                  <to>
                    <xdr:col>6</xdr:col>
                    <xdr:colOff>0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5" r:id="rId5" name="Check Box 9">
              <controlPr defaultSize="0" autoFill="0" autoLine="0" autoPict="0">
                <anchor moveWithCells="1">
                  <from>
                    <xdr:col>5</xdr:col>
                    <xdr:colOff>781050</xdr:colOff>
                    <xdr:row>10</xdr:row>
                    <xdr:rowOff>19050</xdr:rowOff>
                  </from>
                  <to>
                    <xdr:col>6</xdr:col>
                    <xdr:colOff>0</xdr:colOff>
                    <xdr:row>10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6" r:id="rId6" name="Check Box 10">
              <controlPr defaultSize="0" autoFill="0" autoLine="0" autoPict="0">
                <anchor moveWithCells="1">
                  <from>
                    <xdr:col>5</xdr:col>
                    <xdr:colOff>781050</xdr:colOff>
                    <xdr:row>11</xdr:row>
                    <xdr:rowOff>28575</xdr:rowOff>
                  </from>
                  <to>
                    <xdr:col>6</xdr:col>
                    <xdr:colOff>0</xdr:colOff>
                    <xdr:row>11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7" r:id="rId7" name="Check Box 11">
              <controlPr defaultSize="0" autoFill="0" autoLine="0" autoPict="0">
                <anchor moveWithCells="1">
                  <from>
                    <xdr:col>2</xdr:col>
                    <xdr:colOff>742950</xdr:colOff>
                    <xdr:row>8</xdr:row>
                    <xdr:rowOff>38100</xdr:rowOff>
                  </from>
                  <to>
                    <xdr:col>2</xdr:col>
                    <xdr:colOff>942975</xdr:colOff>
                    <xdr:row>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8" r:id="rId8" name="Check Box 12">
              <controlPr defaultSize="0" autoFill="0" autoLine="0" autoPict="0">
                <anchor moveWithCells="1">
                  <from>
                    <xdr:col>2</xdr:col>
                    <xdr:colOff>742950</xdr:colOff>
                    <xdr:row>9</xdr:row>
                    <xdr:rowOff>171450</xdr:rowOff>
                  </from>
                  <to>
                    <xdr:col>2</xdr:col>
                    <xdr:colOff>942975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69" r:id="rId9" name="Check Box 13">
              <controlPr defaultSize="0" autoFill="0" autoLine="0" autoPict="0">
                <anchor moveWithCells="1">
                  <from>
                    <xdr:col>2</xdr:col>
                    <xdr:colOff>742950</xdr:colOff>
                    <xdr:row>10</xdr:row>
                    <xdr:rowOff>161925</xdr:rowOff>
                  </from>
                  <to>
                    <xdr:col>2</xdr:col>
                    <xdr:colOff>942975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70" r:id="rId10" name="Check Box 14">
              <controlPr defaultSize="0" autoFill="0" autoLine="0" autoPict="0">
                <anchor moveWithCells="1">
                  <from>
                    <xdr:col>2</xdr:col>
                    <xdr:colOff>742950</xdr:colOff>
                    <xdr:row>12</xdr:row>
                    <xdr:rowOff>0</xdr:rowOff>
                  </from>
                  <to>
                    <xdr:col>2</xdr:col>
                    <xdr:colOff>942975</xdr:colOff>
                    <xdr:row>12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P56"/>
  <sheetViews>
    <sheetView view="pageBreakPreview" topLeftCell="A33" zoomScale="77" zoomScaleNormal="100" zoomScaleSheetLayoutView="77" workbookViewId="0">
      <selection activeCell="M49" sqref="M49:O49"/>
    </sheetView>
  </sheetViews>
  <sheetFormatPr baseColWidth="10" defaultRowHeight="18.75" x14ac:dyDescent="0.45"/>
  <cols>
    <col min="1" max="1" width="3.28515625" style="5" customWidth="1"/>
    <col min="2" max="2" width="19.28515625" style="5" customWidth="1"/>
    <col min="3" max="3" width="9.140625" style="5" customWidth="1"/>
    <col min="4" max="4" width="6.140625" style="5" customWidth="1"/>
    <col min="5" max="5" width="7.7109375" style="5" customWidth="1"/>
    <col min="6" max="6" width="4.28515625" style="5" customWidth="1"/>
    <col min="7" max="7" width="5.140625" style="5" customWidth="1"/>
    <col min="8" max="8" width="4.5703125" style="5" customWidth="1"/>
    <col min="9" max="9" width="4.85546875" style="5" customWidth="1"/>
    <col min="10" max="10" width="4.28515625" style="5" customWidth="1"/>
    <col min="11" max="11" width="7" style="5" customWidth="1"/>
    <col min="12" max="12" width="12.42578125" style="5" customWidth="1"/>
    <col min="13" max="13" width="13.42578125" style="5" customWidth="1"/>
    <col min="14" max="14" width="7.85546875" style="5" customWidth="1"/>
    <col min="15" max="15" width="7.5703125" style="5" customWidth="1"/>
    <col min="16" max="16" width="3.28515625" style="5" customWidth="1"/>
    <col min="17" max="16384" width="11.42578125" style="5"/>
  </cols>
  <sheetData>
    <row r="1" spans="2:25" ht="20.100000000000001" customHeight="1" x14ac:dyDescent="0.45"/>
    <row r="2" spans="2:25" ht="27.75" customHeight="1" x14ac:dyDescent="0.45">
      <c r="B2" s="221"/>
      <c r="C2" s="223" t="s">
        <v>183</v>
      </c>
      <c r="D2" s="189"/>
      <c r="E2" s="189"/>
      <c r="F2" s="189"/>
      <c r="G2" s="189"/>
      <c r="H2" s="189"/>
      <c r="I2" s="189"/>
      <c r="J2" s="189"/>
      <c r="K2" s="189"/>
      <c r="L2" s="189"/>
      <c r="M2" s="225" t="s">
        <v>184</v>
      </c>
      <c r="N2" s="226"/>
      <c r="O2" s="227"/>
    </row>
    <row r="3" spans="2:25" ht="27.75" customHeight="1" x14ac:dyDescent="0.45">
      <c r="B3" s="222"/>
      <c r="C3" s="224"/>
      <c r="D3" s="193"/>
      <c r="E3" s="193"/>
      <c r="F3" s="193"/>
      <c r="G3" s="193"/>
      <c r="H3" s="193"/>
      <c r="I3" s="193"/>
      <c r="J3" s="193"/>
      <c r="K3" s="193"/>
      <c r="L3" s="193"/>
      <c r="M3" s="228"/>
      <c r="N3" s="229"/>
      <c r="O3" s="230"/>
    </row>
    <row r="4" spans="2:25" x14ac:dyDescent="0.45">
      <c r="B4" s="6" t="s">
        <v>168</v>
      </c>
      <c r="C4" s="231">
        <f>DATOS!AE7</f>
        <v>0</v>
      </c>
      <c r="D4" s="232"/>
      <c r="E4" s="232"/>
      <c r="F4" s="233"/>
      <c r="G4" s="233"/>
      <c r="H4" s="233"/>
      <c r="I4" s="233"/>
      <c r="J4" s="233"/>
      <c r="K4" s="233"/>
      <c r="L4" s="7" t="s">
        <v>59</v>
      </c>
      <c r="M4" s="8" t="str">
        <f>REFLEXION!H6</f>
        <v>02/02/2020</v>
      </c>
      <c r="N4" s="8"/>
      <c r="O4" s="9"/>
    </row>
    <row r="5" spans="2:25" x14ac:dyDescent="0.45">
      <c r="B5" s="10" t="s">
        <v>169</v>
      </c>
      <c r="C5" s="11">
        <f>DATOS!E9</f>
        <v>0</v>
      </c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4"/>
      <c r="P5" s="15"/>
      <c r="Q5" s="15"/>
      <c r="R5" s="15"/>
      <c r="S5" s="16"/>
    </row>
    <row r="6" spans="2:25" x14ac:dyDescent="0.45">
      <c r="B6" s="17" t="s">
        <v>132</v>
      </c>
      <c r="C6" s="236" t="s">
        <v>170</v>
      </c>
      <c r="D6" s="236"/>
      <c r="E6" s="236"/>
      <c r="F6" s="236"/>
      <c r="G6" s="236"/>
      <c r="H6" s="236"/>
      <c r="I6" s="236"/>
      <c r="J6" s="236"/>
      <c r="K6" s="18"/>
      <c r="L6" s="19"/>
      <c r="M6" s="18"/>
      <c r="N6" s="18"/>
      <c r="O6" s="96"/>
      <c r="S6" s="12"/>
      <c r="T6" s="12"/>
      <c r="U6" s="12"/>
      <c r="V6" s="12"/>
      <c r="W6" s="12"/>
    </row>
    <row r="7" spans="2:25" ht="15" customHeight="1" x14ac:dyDescent="0.45">
      <c r="B7" s="237" t="s">
        <v>133</v>
      </c>
      <c r="C7" s="233"/>
      <c r="D7" s="21"/>
      <c r="E7" s="22" t="s">
        <v>134</v>
      </c>
      <c r="F7" s="21"/>
      <c r="G7" s="21"/>
      <c r="H7" s="22"/>
      <c r="I7" s="22"/>
      <c r="J7" s="22"/>
      <c r="K7" s="22"/>
      <c r="L7" s="22"/>
      <c r="M7" s="22" t="s">
        <v>140</v>
      </c>
      <c r="N7" s="22"/>
      <c r="O7" s="23"/>
      <c r="S7" s="12"/>
      <c r="T7" s="12"/>
      <c r="U7" s="12"/>
      <c r="V7" s="12"/>
      <c r="W7" s="12"/>
    </row>
    <row r="8" spans="2:25" ht="15" customHeight="1" x14ac:dyDescent="0.45">
      <c r="B8" s="24"/>
      <c r="C8" s="25"/>
      <c r="D8" s="25"/>
      <c r="E8" s="12" t="s">
        <v>135</v>
      </c>
      <c r="F8" s="25"/>
      <c r="G8" s="25"/>
      <c r="H8" s="12"/>
      <c r="I8" s="12"/>
      <c r="J8" s="12"/>
      <c r="K8" s="12"/>
      <c r="L8" s="12"/>
      <c r="M8" s="12" t="s">
        <v>141</v>
      </c>
      <c r="N8" s="12"/>
      <c r="O8" s="26"/>
      <c r="S8" s="12"/>
      <c r="T8" s="12"/>
      <c r="U8" s="12"/>
      <c r="V8" s="12"/>
      <c r="W8" s="12"/>
    </row>
    <row r="9" spans="2:25" ht="15" customHeight="1" x14ac:dyDescent="0.45">
      <c r="B9" s="27"/>
      <c r="C9" s="12"/>
      <c r="D9" s="12"/>
      <c r="E9" s="12" t="s">
        <v>142</v>
      </c>
      <c r="F9" s="12"/>
      <c r="G9" s="12"/>
      <c r="H9" s="12"/>
      <c r="I9" s="12"/>
      <c r="J9" s="12"/>
      <c r="K9" s="12"/>
      <c r="L9" s="12"/>
      <c r="M9" s="12" t="s">
        <v>143</v>
      </c>
      <c r="N9" s="12"/>
      <c r="O9" s="26"/>
      <c r="S9" s="12"/>
      <c r="T9" s="12"/>
      <c r="U9" s="12"/>
      <c r="V9" s="12"/>
      <c r="W9" s="12"/>
    </row>
    <row r="10" spans="2:25" ht="15" customHeight="1" x14ac:dyDescent="0.45">
      <c r="B10" s="28"/>
      <c r="C10" s="29"/>
      <c r="D10" s="29"/>
      <c r="E10" s="29" t="s">
        <v>144</v>
      </c>
      <c r="F10" s="29"/>
      <c r="G10" s="29"/>
      <c r="H10" s="29"/>
      <c r="I10" s="29"/>
      <c r="J10" s="29"/>
      <c r="K10" s="29"/>
      <c r="L10" s="29"/>
      <c r="M10" s="29"/>
      <c r="N10" s="29"/>
      <c r="O10" s="30"/>
      <c r="S10" s="12"/>
      <c r="T10" s="12"/>
      <c r="U10" s="12"/>
      <c r="V10" s="12"/>
      <c r="W10" s="12"/>
    </row>
    <row r="11" spans="2:25" ht="15" customHeight="1" x14ac:dyDescent="0.4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S11" s="12"/>
      <c r="T11" s="12"/>
      <c r="U11" s="12"/>
      <c r="V11" s="12"/>
      <c r="W11" s="12"/>
    </row>
    <row r="12" spans="2:25" ht="15" customHeight="1" x14ac:dyDescent="0.45">
      <c r="B12" s="12"/>
      <c r="C12" s="12"/>
      <c r="D12" s="12"/>
      <c r="E12" s="234" t="s">
        <v>185</v>
      </c>
      <c r="F12" s="234"/>
      <c r="G12" s="234"/>
      <c r="H12" s="234"/>
      <c r="I12" s="234"/>
      <c r="J12" s="234"/>
      <c r="K12" s="234"/>
      <c r="L12" s="234"/>
      <c r="M12" s="12"/>
      <c r="N12" s="12"/>
      <c r="O12" s="12"/>
      <c r="S12" s="12"/>
      <c r="T12" s="12"/>
      <c r="U12" s="12"/>
      <c r="V12" s="12"/>
      <c r="W12" s="12"/>
    </row>
    <row r="13" spans="2:25" ht="15" customHeight="1" x14ac:dyDescent="0.45">
      <c r="B13" s="31"/>
      <c r="C13" s="31"/>
      <c r="D13" s="31"/>
      <c r="E13" s="218"/>
      <c r="F13" s="218"/>
      <c r="G13" s="218"/>
      <c r="H13" s="218"/>
      <c r="I13" s="218"/>
      <c r="J13" s="218"/>
      <c r="K13" s="218"/>
      <c r="L13" s="218"/>
      <c r="M13" s="31"/>
      <c r="N13" s="31"/>
      <c r="O13" s="31"/>
    </row>
    <row r="14" spans="2:25" ht="15" customHeight="1" x14ac:dyDescent="0.45">
      <c r="B14" s="25"/>
      <c r="C14" s="25"/>
      <c r="D14" s="25"/>
      <c r="E14" s="218"/>
      <c r="F14" s="218"/>
      <c r="G14" s="218"/>
      <c r="H14" s="218"/>
      <c r="I14" s="218"/>
      <c r="J14" s="218"/>
      <c r="K14" s="218"/>
      <c r="L14" s="218"/>
      <c r="M14" s="25"/>
      <c r="N14" s="25"/>
      <c r="O14" s="25"/>
      <c r="S14" s="216"/>
      <c r="T14" s="216"/>
      <c r="U14" s="216"/>
      <c r="V14" s="216"/>
      <c r="W14" s="216"/>
      <c r="X14" s="216"/>
      <c r="Y14" s="216"/>
    </row>
    <row r="15" spans="2:25" ht="13.5" customHeight="1" x14ac:dyDescent="0.45">
      <c r="B15" s="25"/>
      <c r="C15" s="25"/>
      <c r="D15" s="25"/>
      <c r="E15" s="218"/>
      <c r="F15" s="218"/>
      <c r="G15" s="218"/>
      <c r="H15" s="218"/>
      <c r="I15" s="218"/>
      <c r="J15" s="218"/>
      <c r="K15" s="218"/>
      <c r="L15" s="218"/>
      <c r="M15" s="25"/>
      <c r="N15" s="25"/>
      <c r="O15" s="25"/>
      <c r="S15" s="217"/>
      <c r="T15" s="217"/>
      <c r="U15" s="217"/>
      <c r="V15" s="217"/>
      <c r="W15" s="217"/>
      <c r="X15" s="217"/>
      <c r="Y15" s="217"/>
    </row>
    <row r="16" spans="2:25" ht="13.5" customHeight="1" x14ac:dyDescent="0.45">
      <c r="B16" s="25"/>
      <c r="C16" s="25"/>
      <c r="D16" s="25"/>
      <c r="E16" s="218"/>
      <c r="F16" s="218"/>
      <c r="G16" s="218"/>
      <c r="H16" s="218"/>
      <c r="I16" s="218"/>
      <c r="J16" s="218"/>
      <c r="K16" s="218"/>
      <c r="L16" s="218"/>
      <c r="M16" s="25"/>
      <c r="N16" s="25"/>
      <c r="O16" s="25"/>
      <c r="S16" s="217"/>
      <c r="T16" s="217"/>
      <c r="U16" s="217"/>
      <c r="V16" s="217"/>
      <c r="W16" s="217"/>
      <c r="X16" s="217"/>
      <c r="Y16" s="217"/>
    </row>
    <row r="17" spans="2:25" ht="13.5" customHeight="1" x14ac:dyDescent="0.45">
      <c r="B17" s="25"/>
      <c r="C17" s="25"/>
      <c r="D17" s="25"/>
      <c r="E17" s="218"/>
      <c r="F17" s="218"/>
      <c r="G17" s="218"/>
      <c r="H17" s="218"/>
      <c r="I17" s="218"/>
      <c r="J17" s="218"/>
      <c r="K17" s="218"/>
      <c r="L17" s="218"/>
      <c r="M17" s="25"/>
      <c r="N17" s="25"/>
      <c r="O17" s="25"/>
      <c r="S17" s="217"/>
      <c r="T17" s="217"/>
      <c r="U17" s="217"/>
      <c r="V17" s="217"/>
      <c r="W17" s="217"/>
      <c r="X17" s="217"/>
      <c r="Y17" s="217"/>
    </row>
    <row r="18" spans="2:25" ht="13.5" customHeight="1" x14ac:dyDescent="0.45">
      <c r="B18" s="25"/>
      <c r="C18" s="25"/>
      <c r="D18" s="25"/>
      <c r="E18" s="218"/>
      <c r="F18" s="218"/>
      <c r="G18" s="218"/>
      <c r="H18" s="218"/>
      <c r="I18" s="218"/>
      <c r="J18" s="218"/>
      <c r="K18" s="218"/>
      <c r="L18" s="218"/>
      <c r="M18" s="25"/>
      <c r="N18" s="25"/>
      <c r="O18" s="25"/>
      <c r="S18" s="217"/>
      <c r="T18" s="217"/>
      <c r="U18" s="217"/>
      <c r="V18" s="217"/>
      <c r="W18" s="217"/>
      <c r="X18" s="217"/>
      <c r="Y18" s="217"/>
    </row>
    <row r="19" spans="2:25" ht="13.5" customHeight="1" x14ac:dyDescent="0.45">
      <c r="B19" s="25"/>
      <c r="C19" s="25"/>
      <c r="D19" s="25"/>
      <c r="E19" s="218"/>
      <c r="F19" s="218"/>
      <c r="G19" s="218"/>
      <c r="H19" s="218"/>
      <c r="I19" s="218"/>
      <c r="J19" s="218"/>
      <c r="K19" s="218"/>
      <c r="L19" s="218"/>
      <c r="M19" s="25"/>
      <c r="N19" s="25"/>
      <c r="O19" s="25"/>
      <c r="S19" s="217"/>
      <c r="T19" s="217"/>
      <c r="U19" s="217"/>
      <c r="V19" s="217"/>
      <c r="W19" s="217"/>
      <c r="X19" s="217"/>
      <c r="Y19" s="217"/>
    </row>
    <row r="20" spans="2:25" ht="13.5" customHeight="1" x14ac:dyDescent="0.45">
      <c r="B20" s="25"/>
      <c r="C20" s="25"/>
      <c r="D20" s="25"/>
      <c r="E20" s="218"/>
      <c r="F20" s="218"/>
      <c r="G20" s="218"/>
      <c r="H20" s="218"/>
      <c r="I20" s="218"/>
      <c r="J20" s="218"/>
      <c r="K20" s="218"/>
      <c r="L20" s="218"/>
      <c r="M20" s="25"/>
      <c r="N20" s="25"/>
      <c r="O20" s="25"/>
      <c r="S20" s="217"/>
      <c r="T20" s="217"/>
      <c r="U20" s="217"/>
      <c r="V20" s="217"/>
      <c r="W20" s="217"/>
      <c r="X20" s="217"/>
      <c r="Y20" s="217"/>
    </row>
    <row r="21" spans="2:25" ht="13.5" customHeight="1" x14ac:dyDescent="0.45">
      <c r="B21" s="25"/>
      <c r="C21" s="25"/>
      <c r="D21" s="25"/>
      <c r="E21" s="218"/>
      <c r="F21" s="218"/>
      <c r="G21" s="218"/>
      <c r="H21" s="218"/>
      <c r="I21" s="218"/>
      <c r="J21" s="218"/>
      <c r="K21" s="218"/>
      <c r="L21" s="218"/>
      <c r="M21" s="25"/>
      <c r="N21" s="25"/>
      <c r="O21" s="25"/>
      <c r="S21" s="217"/>
      <c r="T21" s="217"/>
      <c r="U21" s="217"/>
      <c r="V21" s="217"/>
      <c r="W21" s="217"/>
      <c r="X21" s="217"/>
      <c r="Y21" s="217"/>
    </row>
    <row r="22" spans="2:25" ht="13.5" customHeight="1" x14ac:dyDescent="0.45">
      <c r="B22" s="25"/>
      <c r="C22" s="25"/>
      <c r="D22" s="25"/>
      <c r="E22" s="218"/>
      <c r="F22" s="218"/>
      <c r="G22" s="218"/>
      <c r="H22" s="218"/>
      <c r="I22" s="218"/>
      <c r="J22" s="218"/>
      <c r="K22" s="218"/>
      <c r="L22" s="218"/>
      <c r="M22" s="25"/>
      <c r="N22" s="25"/>
      <c r="O22" s="25"/>
      <c r="S22" s="217"/>
      <c r="T22" s="217"/>
      <c r="U22" s="217"/>
      <c r="V22" s="217"/>
      <c r="W22" s="217"/>
      <c r="X22" s="217"/>
      <c r="Y22" s="217"/>
    </row>
    <row r="23" spans="2:25" ht="13.5" customHeight="1" x14ac:dyDescent="0.45">
      <c r="B23" s="25"/>
      <c r="C23" s="25"/>
      <c r="D23" s="25"/>
      <c r="E23" s="218"/>
      <c r="F23" s="218"/>
      <c r="G23" s="218"/>
      <c r="H23" s="218"/>
      <c r="I23" s="218"/>
      <c r="J23" s="218"/>
      <c r="K23" s="218"/>
      <c r="L23" s="218"/>
      <c r="M23" s="25"/>
      <c r="N23" s="25"/>
      <c r="O23" s="25"/>
      <c r="S23" s="217"/>
      <c r="T23" s="217"/>
      <c r="U23" s="217"/>
      <c r="V23" s="217"/>
      <c r="W23" s="217"/>
      <c r="X23" s="217"/>
      <c r="Y23" s="217"/>
    </row>
    <row r="24" spans="2:25" ht="13.5" customHeight="1" x14ac:dyDescent="0.45">
      <c r="B24" s="25"/>
      <c r="C24" s="25"/>
      <c r="D24" s="25"/>
      <c r="E24" s="218"/>
      <c r="F24" s="218"/>
      <c r="G24" s="218"/>
      <c r="H24" s="218"/>
      <c r="I24" s="218"/>
      <c r="J24" s="218"/>
      <c r="K24" s="218"/>
      <c r="L24" s="218"/>
      <c r="M24" s="25"/>
      <c r="N24" s="25"/>
      <c r="O24" s="25"/>
      <c r="S24" s="217"/>
      <c r="T24" s="217"/>
      <c r="U24" s="217"/>
      <c r="V24" s="217"/>
      <c r="W24" s="217"/>
      <c r="X24" s="217"/>
      <c r="Y24" s="217"/>
    </row>
    <row r="25" spans="2:25" ht="13.5" customHeight="1" x14ac:dyDescent="0.45">
      <c r="B25" s="25"/>
      <c r="C25" s="25"/>
      <c r="D25" s="25"/>
      <c r="E25" s="218"/>
      <c r="F25" s="218"/>
      <c r="G25" s="218"/>
      <c r="H25" s="218"/>
      <c r="I25" s="218"/>
      <c r="J25" s="218"/>
      <c r="K25" s="218"/>
      <c r="L25" s="218"/>
      <c r="M25" s="25"/>
      <c r="N25" s="25"/>
      <c r="O25" s="25"/>
      <c r="S25" s="217"/>
      <c r="T25" s="217"/>
      <c r="U25" s="217"/>
      <c r="V25" s="217"/>
      <c r="W25" s="217"/>
      <c r="X25" s="217"/>
      <c r="Y25" s="217"/>
    </row>
    <row r="26" spans="2:25" ht="13.5" customHeight="1" x14ac:dyDescent="0.45">
      <c r="B26" s="25"/>
      <c r="C26" s="25"/>
      <c r="D26" s="25"/>
      <c r="E26" s="218"/>
      <c r="F26" s="218"/>
      <c r="G26" s="218"/>
      <c r="H26" s="218"/>
      <c r="I26" s="218"/>
      <c r="J26" s="218"/>
      <c r="K26" s="218"/>
      <c r="L26" s="218"/>
      <c r="M26" s="25"/>
      <c r="N26" s="25"/>
      <c r="O26" s="25"/>
      <c r="S26" s="217"/>
      <c r="T26" s="217"/>
      <c r="U26" s="217"/>
      <c r="V26" s="217"/>
      <c r="W26" s="217"/>
      <c r="X26" s="217"/>
      <c r="Y26" s="217"/>
    </row>
    <row r="27" spans="2:25" ht="13.5" customHeight="1" x14ac:dyDescent="0.45">
      <c r="B27" s="25"/>
      <c r="C27" s="25"/>
      <c r="D27" s="25"/>
      <c r="E27" s="218"/>
      <c r="F27" s="218"/>
      <c r="G27" s="218"/>
      <c r="H27" s="218"/>
      <c r="I27" s="218"/>
      <c r="J27" s="218"/>
      <c r="K27" s="218"/>
      <c r="L27" s="218"/>
      <c r="M27" s="25"/>
      <c r="N27" s="25"/>
      <c r="O27" s="25"/>
      <c r="S27" s="217"/>
      <c r="T27" s="217"/>
      <c r="U27" s="217"/>
      <c r="V27" s="217"/>
      <c r="W27" s="217"/>
      <c r="X27" s="217"/>
      <c r="Y27" s="217"/>
    </row>
    <row r="28" spans="2:25" ht="13.5" customHeight="1" x14ac:dyDescent="0.45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S28" s="217"/>
      <c r="T28" s="217"/>
      <c r="U28" s="217"/>
      <c r="V28" s="217"/>
      <c r="W28" s="217"/>
      <c r="X28" s="217"/>
      <c r="Y28" s="217"/>
    </row>
    <row r="29" spans="2:25" ht="13.5" customHeight="1" x14ac:dyDescent="0.45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S29" s="217"/>
      <c r="T29" s="217"/>
      <c r="U29" s="217"/>
      <c r="V29" s="217"/>
      <c r="W29" s="217"/>
      <c r="X29" s="217"/>
      <c r="Y29" s="217"/>
    </row>
    <row r="30" spans="2:25" ht="15" customHeight="1" x14ac:dyDescent="0.45">
      <c r="B30" s="25"/>
      <c r="C30" s="25"/>
      <c r="D30" s="25"/>
      <c r="E30" s="234" t="s">
        <v>186</v>
      </c>
      <c r="F30" s="234"/>
      <c r="G30" s="234"/>
      <c r="H30" s="234"/>
      <c r="I30" s="234"/>
      <c r="J30" s="234"/>
      <c r="K30" s="234"/>
      <c r="L30" s="234"/>
      <c r="M30" s="25"/>
      <c r="N30" s="25"/>
      <c r="O30" s="25"/>
      <c r="S30" s="217"/>
      <c r="T30" s="217"/>
      <c r="U30" s="217"/>
      <c r="V30" s="217"/>
      <c r="W30" s="217"/>
      <c r="X30" s="217"/>
      <c r="Y30" s="217"/>
    </row>
    <row r="31" spans="2:25" ht="13.5" customHeight="1" x14ac:dyDescent="0.45">
      <c r="B31" s="25"/>
      <c r="C31" s="25"/>
      <c r="D31" s="25"/>
      <c r="E31" s="235"/>
      <c r="F31" s="235"/>
      <c r="G31" s="235"/>
      <c r="H31" s="235"/>
      <c r="I31" s="235"/>
      <c r="J31" s="235"/>
      <c r="K31" s="235"/>
      <c r="L31" s="235"/>
      <c r="M31" s="25"/>
      <c r="N31" s="25"/>
      <c r="O31" s="25"/>
      <c r="S31" s="217"/>
      <c r="T31" s="217"/>
      <c r="U31" s="217"/>
      <c r="V31" s="217"/>
      <c r="W31" s="217"/>
      <c r="X31" s="217"/>
      <c r="Y31" s="217"/>
    </row>
    <row r="32" spans="2:25" ht="13.5" customHeight="1" x14ac:dyDescent="0.45">
      <c r="B32" s="25"/>
      <c r="C32" s="25"/>
      <c r="D32" s="25"/>
      <c r="E32" s="235"/>
      <c r="F32" s="235"/>
      <c r="G32" s="235"/>
      <c r="H32" s="235"/>
      <c r="I32" s="235"/>
      <c r="J32" s="235"/>
      <c r="K32" s="235"/>
      <c r="L32" s="235"/>
      <c r="M32" s="25"/>
      <c r="N32" s="25"/>
      <c r="O32" s="25"/>
      <c r="S32" s="217"/>
      <c r="T32" s="217"/>
      <c r="U32" s="217"/>
      <c r="V32" s="217"/>
      <c r="W32" s="217"/>
      <c r="X32" s="217"/>
      <c r="Y32" s="217"/>
    </row>
    <row r="33" spans="2:33" ht="13.5" customHeight="1" x14ac:dyDescent="0.45">
      <c r="B33" s="25"/>
      <c r="C33" s="25"/>
      <c r="D33" s="25"/>
      <c r="E33" s="235"/>
      <c r="F33" s="235"/>
      <c r="G33" s="235"/>
      <c r="H33" s="235"/>
      <c r="I33" s="235"/>
      <c r="J33" s="235"/>
      <c r="K33" s="235"/>
      <c r="L33" s="235"/>
      <c r="M33" s="25"/>
      <c r="N33" s="25"/>
      <c r="O33" s="25"/>
      <c r="S33" s="217"/>
      <c r="T33" s="217"/>
      <c r="U33" s="217"/>
      <c r="V33" s="217"/>
      <c r="W33" s="217"/>
      <c r="X33" s="217"/>
      <c r="Y33" s="217"/>
    </row>
    <row r="34" spans="2:33" ht="13.5" customHeight="1" x14ac:dyDescent="0.45">
      <c r="B34" s="25"/>
      <c r="C34" s="25"/>
      <c r="D34" s="25"/>
      <c r="E34" s="235"/>
      <c r="F34" s="235"/>
      <c r="G34" s="235"/>
      <c r="H34" s="235"/>
      <c r="I34" s="235"/>
      <c r="J34" s="235"/>
      <c r="K34" s="235"/>
      <c r="L34" s="235"/>
      <c r="M34" s="25"/>
      <c r="N34" s="25"/>
      <c r="O34" s="25"/>
      <c r="S34" s="217"/>
      <c r="T34" s="217"/>
      <c r="U34" s="217"/>
      <c r="V34" s="217"/>
      <c r="W34" s="217"/>
      <c r="X34" s="217"/>
      <c r="Y34" s="217"/>
    </row>
    <row r="35" spans="2:33" ht="13.5" customHeight="1" x14ac:dyDescent="0.45">
      <c r="B35" s="25"/>
      <c r="C35" s="25"/>
      <c r="D35" s="25"/>
      <c r="E35" s="235"/>
      <c r="F35" s="235"/>
      <c r="G35" s="235"/>
      <c r="H35" s="235"/>
      <c r="I35" s="235"/>
      <c r="J35" s="235"/>
      <c r="K35" s="235"/>
      <c r="L35" s="235"/>
      <c r="M35" s="25"/>
      <c r="N35" s="25"/>
      <c r="O35" s="25"/>
      <c r="S35" s="217"/>
      <c r="T35" s="217"/>
      <c r="U35" s="217"/>
      <c r="V35" s="217"/>
      <c r="W35" s="217"/>
      <c r="X35" s="217"/>
      <c r="Y35" s="217"/>
    </row>
    <row r="36" spans="2:33" ht="15" customHeight="1" x14ac:dyDescent="0.45">
      <c r="B36" s="25"/>
      <c r="C36" s="25"/>
      <c r="D36" s="25"/>
      <c r="E36" s="235"/>
      <c r="F36" s="235"/>
      <c r="G36" s="235"/>
      <c r="H36" s="235"/>
      <c r="I36" s="235"/>
      <c r="J36" s="235"/>
      <c r="K36" s="235"/>
      <c r="L36" s="235"/>
      <c r="M36" s="25"/>
      <c r="N36" s="25"/>
      <c r="O36" s="25"/>
      <c r="S36" s="217"/>
      <c r="T36" s="217"/>
      <c r="U36" s="217"/>
      <c r="V36" s="217"/>
      <c r="W36" s="217"/>
      <c r="X36" s="217"/>
      <c r="Y36" s="217"/>
    </row>
    <row r="37" spans="2:33" ht="15" customHeight="1" x14ac:dyDescent="0.45">
      <c r="B37" s="25"/>
      <c r="C37" s="25"/>
      <c r="D37" s="25"/>
      <c r="E37" s="235"/>
      <c r="F37" s="235"/>
      <c r="G37" s="235"/>
      <c r="H37" s="235"/>
      <c r="I37" s="235"/>
      <c r="J37" s="235"/>
      <c r="K37" s="235"/>
      <c r="L37" s="235"/>
      <c r="M37" s="25"/>
      <c r="N37" s="25"/>
      <c r="O37" s="25"/>
      <c r="S37" s="217"/>
      <c r="T37" s="217"/>
      <c r="U37" s="217"/>
      <c r="V37" s="217"/>
      <c r="W37" s="217"/>
      <c r="X37" s="217"/>
      <c r="Y37" s="217"/>
    </row>
    <row r="38" spans="2:33" ht="15" customHeight="1" x14ac:dyDescent="0.45">
      <c r="B38" s="25"/>
      <c r="C38" s="25"/>
      <c r="D38" s="25"/>
      <c r="E38" s="235"/>
      <c r="F38" s="235"/>
      <c r="G38" s="235"/>
      <c r="H38" s="235"/>
      <c r="I38" s="235"/>
      <c r="J38" s="235"/>
      <c r="K38" s="235"/>
      <c r="L38" s="235"/>
      <c r="M38" s="25"/>
      <c r="N38" s="25"/>
      <c r="O38" s="25"/>
      <c r="S38" s="217"/>
      <c r="T38" s="217"/>
      <c r="U38" s="217"/>
      <c r="V38" s="217"/>
      <c r="W38" s="217"/>
      <c r="X38" s="217"/>
      <c r="Y38" s="217"/>
    </row>
    <row r="39" spans="2:33" ht="15" customHeight="1" x14ac:dyDescent="0.45">
      <c r="B39" s="25"/>
      <c r="C39" s="25"/>
      <c r="D39" s="25"/>
      <c r="E39" s="235"/>
      <c r="F39" s="235"/>
      <c r="G39" s="235"/>
      <c r="H39" s="235"/>
      <c r="I39" s="235"/>
      <c r="J39" s="235"/>
      <c r="K39" s="235"/>
      <c r="L39" s="235"/>
      <c r="M39" s="25"/>
      <c r="N39" s="25"/>
      <c r="O39" s="25"/>
      <c r="S39" s="217"/>
      <c r="T39" s="217"/>
      <c r="U39" s="217"/>
      <c r="V39" s="217"/>
      <c r="W39" s="217"/>
      <c r="X39" s="217"/>
      <c r="Y39" s="217"/>
    </row>
    <row r="40" spans="2:33" ht="15" customHeight="1" x14ac:dyDescent="0.45">
      <c r="B40" s="25"/>
      <c r="C40" s="25"/>
      <c r="D40" s="25"/>
      <c r="E40" s="235"/>
      <c r="F40" s="235"/>
      <c r="G40" s="235"/>
      <c r="H40" s="235"/>
      <c r="I40" s="235"/>
      <c r="J40" s="235"/>
      <c r="K40" s="235"/>
      <c r="L40" s="235"/>
      <c r="M40" s="25"/>
      <c r="N40" s="25"/>
      <c r="O40" s="25"/>
      <c r="S40" s="217"/>
      <c r="T40" s="217"/>
      <c r="U40" s="217"/>
      <c r="V40" s="217"/>
      <c r="W40" s="217"/>
      <c r="X40" s="217"/>
      <c r="Y40" s="217"/>
    </row>
    <row r="41" spans="2:33" ht="15" customHeight="1" x14ac:dyDescent="0.45">
      <c r="B41" s="25"/>
      <c r="C41" s="25"/>
      <c r="D41" s="25"/>
      <c r="E41" s="235"/>
      <c r="F41" s="235"/>
      <c r="G41" s="235"/>
      <c r="H41" s="235"/>
      <c r="I41" s="235"/>
      <c r="J41" s="235"/>
      <c r="K41" s="235"/>
      <c r="L41" s="235"/>
      <c r="M41" s="25"/>
      <c r="N41" s="25"/>
      <c r="O41" s="25"/>
      <c r="S41" s="217"/>
      <c r="T41" s="217"/>
      <c r="U41" s="217"/>
      <c r="V41" s="217"/>
      <c r="W41" s="217"/>
      <c r="X41" s="217"/>
      <c r="Y41" s="217"/>
    </row>
    <row r="42" spans="2:33" ht="15" customHeight="1" x14ac:dyDescent="0.45">
      <c r="B42" s="25"/>
      <c r="C42" s="25"/>
      <c r="D42" s="25"/>
      <c r="E42" s="235"/>
      <c r="F42" s="235"/>
      <c r="G42" s="235"/>
      <c r="H42" s="235"/>
      <c r="I42" s="235"/>
      <c r="J42" s="235"/>
      <c r="K42" s="235"/>
      <c r="L42" s="235"/>
      <c r="M42" s="25"/>
      <c r="N42" s="25"/>
      <c r="O42" s="25"/>
      <c r="S42" s="217"/>
      <c r="T42" s="217"/>
      <c r="U42" s="217"/>
      <c r="V42" s="217"/>
      <c r="W42" s="217"/>
      <c r="X42" s="217"/>
      <c r="Y42" s="217"/>
    </row>
    <row r="43" spans="2:33" ht="15" customHeight="1" x14ac:dyDescent="0.45">
      <c r="B43" s="25"/>
      <c r="C43" s="25"/>
      <c r="D43" s="25"/>
      <c r="E43" s="235"/>
      <c r="F43" s="235"/>
      <c r="G43" s="235"/>
      <c r="H43" s="235"/>
      <c r="I43" s="235"/>
      <c r="J43" s="235"/>
      <c r="K43" s="235"/>
      <c r="L43" s="235"/>
      <c r="M43" s="25"/>
      <c r="N43" s="25"/>
      <c r="O43" s="25"/>
      <c r="S43" s="217"/>
      <c r="T43" s="217"/>
      <c r="U43" s="217"/>
      <c r="V43" s="217"/>
      <c r="W43" s="217"/>
      <c r="X43" s="217"/>
      <c r="Y43" s="217"/>
    </row>
    <row r="44" spans="2:33" ht="15" customHeight="1" x14ac:dyDescent="0.45">
      <c r="B44" s="25"/>
      <c r="C44" s="25"/>
      <c r="D44" s="25"/>
      <c r="E44" s="235"/>
      <c r="F44" s="235"/>
      <c r="G44" s="235"/>
      <c r="H44" s="235"/>
      <c r="I44" s="235"/>
      <c r="J44" s="235"/>
      <c r="K44" s="235"/>
      <c r="L44" s="235"/>
      <c r="M44" s="25"/>
      <c r="N44" s="25"/>
      <c r="O44" s="25"/>
      <c r="S44" s="217"/>
      <c r="T44" s="217"/>
      <c r="U44" s="217"/>
      <c r="V44" s="217"/>
      <c r="W44" s="217"/>
      <c r="X44" s="217"/>
      <c r="Y44" s="217"/>
    </row>
    <row r="45" spans="2:33" ht="15" customHeight="1" x14ac:dyDescent="0.45">
      <c r="B45" s="25"/>
      <c r="C45" s="25"/>
      <c r="D45" s="25"/>
      <c r="E45" s="235"/>
      <c r="F45" s="235"/>
      <c r="G45" s="235"/>
      <c r="H45" s="235"/>
      <c r="I45" s="235"/>
      <c r="J45" s="235"/>
      <c r="K45" s="235"/>
      <c r="L45" s="235"/>
      <c r="M45" s="25"/>
      <c r="N45" s="25"/>
      <c r="O45" s="25"/>
      <c r="S45" s="217"/>
      <c r="T45" s="217"/>
      <c r="U45" s="217"/>
      <c r="V45" s="217"/>
      <c r="W45" s="217"/>
      <c r="X45" s="217"/>
      <c r="Y45" s="217"/>
    </row>
    <row r="46" spans="2:33" ht="15" customHeight="1" x14ac:dyDescent="0.45">
      <c r="B46" s="34"/>
      <c r="C46" s="34"/>
      <c r="D46" s="34"/>
      <c r="E46" s="34"/>
      <c r="F46" s="34"/>
      <c r="G46" s="34"/>
      <c r="H46" s="35"/>
      <c r="I46" s="35"/>
      <c r="J46" s="35"/>
      <c r="K46" s="34"/>
      <c r="L46" s="34"/>
      <c r="M46" s="34"/>
      <c r="N46" s="34"/>
      <c r="O46" s="34"/>
    </row>
    <row r="47" spans="2:33" ht="15" customHeight="1" x14ac:dyDescent="0.45"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V47" s="219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</row>
    <row r="48" spans="2:33" ht="15" customHeight="1" x14ac:dyDescent="0.45">
      <c r="B48" s="238" t="s">
        <v>376</v>
      </c>
      <c r="C48" s="238"/>
      <c r="D48" s="37"/>
      <c r="E48" s="37"/>
      <c r="F48" s="239"/>
      <c r="G48" s="239"/>
      <c r="H48" s="239"/>
      <c r="I48" s="239"/>
      <c r="J48" s="239"/>
      <c r="K48" s="239"/>
      <c r="L48" s="37"/>
      <c r="M48" s="238" t="s">
        <v>382</v>
      </c>
      <c r="N48" s="238"/>
      <c r="O48" s="238"/>
    </row>
    <row r="49" spans="2:42" ht="15" customHeight="1" x14ac:dyDescent="0.45">
      <c r="B49" s="240" t="s">
        <v>58</v>
      </c>
      <c r="C49" s="240"/>
      <c r="D49" s="37"/>
      <c r="E49" s="34"/>
      <c r="F49" s="240" t="s">
        <v>348</v>
      </c>
      <c r="G49" s="240"/>
      <c r="H49" s="240"/>
      <c r="I49" s="240"/>
      <c r="J49" s="240"/>
      <c r="K49" s="240"/>
      <c r="L49" s="34"/>
      <c r="M49" s="240" t="s">
        <v>125</v>
      </c>
      <c r="N49" s="240"/>
      <c r="O49" s="240"/>
    </row>
    <row r="50" spans="2:42" ht="15" customHeight="1" x14ac:dyDescent="0.45">
      <c r="B50" s="35"/>
      <c r="C50" s="38"/>
      <c r="D50" s="38"/>
      <c r="E50" s="38"/>
      <c r="F50" s="38"/>
      <c r="G50" s="35"/>
      <c r="H50" s="35"/>
      <c r="I50" s="38"/>
      <c r="J50" s="38"/>
      <c r="K50" s="38"/>
      <c r="L50" s="38"/>
      <c r="M50" s="35"/>
      <c r="N50" s="35"/>
      <c r="O50" s="35"/>
    </row>
    <row r="51" spans="2:42" x14ac:dyDescent="0.45">
      <c r="B51" s="34"/>
      <c r="C51" s="25"/>
      <c r="D51" s="25"/>
      <c r="E51" s="25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2:42" ht="15.75" customHeight="1" x14ac:dyDescent="0.45">
      <c r="B52" s="207" t="s">
        <v>373</v>
      </c>
      <c r="C52" s="207"/>
      <c r="D52" s="12"/>
      <c r="E52" s="12"/>
      <c r="F52" s="241"/>
      <c r="G52" s="241"/>
      <c r="H52" s="241"/>
      <c r="I52" s="241"/>
      <c r="J52" s="241"/>
      <c r="K52" s="242"/>
      <c r="L52" s="242"/>
      <c r="M52" s="12"/>
      <c r="N52" s="208" t="s">
        <v>365</v>
      </c>
      <c r="O52" s="208"/>
    </row>
    <row r="53" spans="2:42" ht="20.100000000000001" customHeight="1" x14ac:dyDescent="0.45"/>
    <row r="54" spans="2:42" x14ac:dyDescent="0.45">
      <c r="S54" s="240"/>
      <c r="T54" s="240"/>
      <c r="U54" s="240"/>
      <c r="V54" s="240"/>
      <c r="W54" s="240"/>
      <c r="X54" s="240"/>
      <c r="Y54" s="240"/>
      <c r="Z54" s="240"/>
      <c r="AA54" s="240"/>
      <c r="AB54" s="240"/>
      <c r="AC54" s="240"/>
      <c r="AD54" s="240"/>
      <c r="AE54" s="240"/>
      <c r="AF54" s="240"/>
      <c r="AP54" s="41"/>
    </row>
    <row r="55" spans="2:42" x14ac:dyDescent="0.45">
      <c r="S55" s="240"/>
      <c r="T55" s="240"/>
      <c r="U55" s="240"/>
      <c r="V55" s="240"/>
      <c r="W55" s="240"/>
      <c r="X55" s="240"/>
      <c r="Y55" s="240"/>
      <c r="Z55" s="240"/>
      <c r="AA55" s="240"/>
      <c r="AB55" s="240"/>
      <c r="AC55" s="240"/>
      <c r="AD55" s="240"/>
      <c r="AE55" s="240"/>
      <c r="AF55" s="240"/>
    </row>
    <row r="56" spans="2:42" x14ac:dyDescent="0.45">
      <c r="S56" s="240"/>
      <c r="T56" s="240"/>
      <c r="U56" s="240"/>
      <c r="V56" s="240"/>
      <c r="W56" s="240"/>
      <c r="X56" s="240"/>
      <c r="Y56" s="240"/>
      <c r="Z56" s="240"/>
      <c r="AA56" s="240"/>
      <c r="AB56" s="240"/>
      <c r="AC56" s="240"/>
      <c r="AD56" s="243"/>
      <c r="AE56" s="243"/>
      <c r="AF56" s="243"/>
    </row>
  </sheetData>
  <mergeCells count="33">
    <mergeCell ref="AD56:AF56"/>
    <mergeCell ref="S54:T55"/>
    <mergeCell ref="U54:AF54"/>
    <mergeCell ref="S56:T56"/>
    <mergeCell ref="AD55:AF55"/>
    <mergeCell ref="Z55:AC55"/>
    <mergeCell ref="U56:Y56"/>
    <mergeCell ref="U55:Y55"/>
    <mergeCell ref="Z56:AC56"/>
    <mergeCell ref="B48:C48"/>
    <mergeCell ref="F48:K48"/>
    <mergeCell ref="M48:O48"/>
    <mergeCell ref="B49:C49"/>
    <mergeCell ref="F52:J52"/>
    <mergeCell ref="K52:L52"/>
    <mergeCell ref="N52:O52"/>
    <mergeCell ref="F49:K49"/>
    <mergeCell ref="M49:O49"/>
    <mergeCell ref="B52:C52"/>
    <mergeCell ref="S14:Y14"/>
    <mergeCell ref="S15:Y45"/>
    <mergeCell ref="E13:L27"/>
    <mergeCell ref="V47:AG47"/>
    <mergeCell ref="B2:B3"/>
    <mergeCell ref="C2:L3"/>
    <mergeCell ref="M2:O3"/>
    <mergeCell ref="C4:E4"/>
    <mergeCell ref="F4:K4"/>
    <mergeCell ref="E30:L30"/>
    <mergeCell ref="E31:L45"/>
    <mergeCell ref="C6:J6"/>
    <mergeCell ref="B7:C7"/>
    <mergeCell ref="E12:L1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rowBreaks count="1" manualBreakCount="1">
    <brk id="53" max="16383" man="1"/>
  </rowBreaks>
  <colBreaks count="1" manualBreakCount="1">
    <brk id="1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8113" r:id="rId4" name="Check Box 1">
              <controlPr defaultSize="0" autoFill="0" autoLine="0" autoPict="0">
                <anchor moveWithCells="1">
                  <from>
                    <xdr:col>1</xdr:col>
                    <xdr:colOff>781050</xdr:colOff>
                    <xdr:row>0</xdr:row>
                    <xdr:rowOff>123825</xdr:rowOff>
                  </from>
                  <to>
                    <xdr:col>1</xdr:col>
                    <xdr:colOff>781050</xdr:colOff>
                    <xdr:row>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4" r:id="rId5" name="Check Box 2">
              <controlPr defaultSize="0" autoFill="0" autoLine="0" autoPict="0">
                <anchor moveWithCells="1">
                  <from>
                    <xdr:col>1</xdr:col>
                    <xdr:colOff>781050</xdr:colOff>
                    <xdr:row>0</xdr:row>
                    <xdr:rowOff>152400</xdr:rowOff>
                  </from>
                  <to>
                    <xdr:col>1</xdr:col>
                    <xdr:colOff>781050</xdr:colOff>
                    <xdr:row>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5" r:id="rId6" name="Check Box 3">
              <controlPr defaultSize="0" autoFill="0" autoLine="0" autoPict="0">
                <anchor moveWithCells="1">
                  <from>
                    <xdr:col>1</xdr:col>
                    <xdr:colOff>781050</xdr:colOff>
                    <xdr:row>0</xdr:row>
                    <xdr:rowOff>190500</xdr:rowOff>
                  </from>
                  <to>
                    <xdr:col>1</xdr:col>
                    <xdr:colOff>781050</xdr:colOff>
                    <xdr:row>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6" r:id="rId7" name="Check Box 4">
              <controlPr defaultSize="0" autoFill="0" autoLine="0" autoPict="0">
                <anchor moveWithCells="1">
                  <from>
                    <xdr:col>1</xdr:col>
                    <xdr:colOff>781050</xdr:colOff>
                    <xdr:row>0</xdr:row>
                    <xdr:rowOff>209550</xdr:rowOff>
                  </from>
                  <to>
                    <xdr:col>1</xdr:col>
                    <xdr:colOff>781050</xdr:colOff>
                    <xdr:row>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7" r:id="rId8" name="Check Box 5">
              <controlPr defaultSize="0" autoFill="0" autoLine="0" autoPict="0">
                <anchor moveWithCells="1">
                  <from>
                    <xdr:col>1</xdr:col>
                    <xdr:colOff>1009650</xdr:colOff>
                    <xdr:row>0</xdr:row>
                    <xdr:rowOff>123825</xdr:rowOff>
                  </from>
                  <to>
                    <xdr:col>1</xdr:col>
                    <xdr:colOff>1009650</xdr:colOff>
                    <xdr:row>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8" r:id="rId9" name="Check Box 6">
              <controlPr defaultSize="0" autoFill="0" autoLine="0" autoPict="0">
                <anchor moveWithCells="1">
                  <from>
                    <xdr:col>1</xdr:col>
                    <xdr:colOff>1009650</xdr:colOff>
                    <xdr:row>0</xdr:row>
                    <xdr:rowOff>152400</xdr:rowOff>
                  </from>
                  <to>
                    <xdr:col>1</xdr:col>
                    <xdr:colOff>1009650</xdr:colOff>
                    <xdr:row>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9" r:id="rId10" name="Check Box 7">
              <controlPr defaultSize="0" autoFill="0" autoLine="0" autoPict="0">
                <anchor moveWithCells="1">
                  <from>
                    <xdr:col>1</xdr:col>
                    <xdr:colOff>1009650</xdr:colOff>
                    <xdr:row>0</xdr:row>
                    <xdr:rowOff>161925</xdr:rowOff>
                  </from>
                  <to>
                    <xdr:col>1</xdr:col>
                    <xdr:colOff>1009650</xdr:colOff>
                    <xdr:row>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4" r:id="rId11" name="Check Box 42">
              <controlPr defaultSize="0" autoFill="0" autoLine="0" autoPict="0">
                <anchor moveWithCells="1">
                  <from>
                    <xdr:col>3</xdr:col>
                    <xdr:colOff>219075</xdr:colOff>
                    <xdr:row>6</xdr:row>
                    <xdr:rowOff>9525</xdr:rowOff>
                  </from>
                  <to>
                    <xdr:col>3</xdr:col>
                    <xdr:colOff>400050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5" r:id="rId12" name="Check Box 43">
              <controlPr defaultSize="0" autoFill="0" autoLine="0" autoPict="0">
                <anchor moveWithCells="1">
                  <from>
                    <xdr:col>3</xdr:col>
                    <xdr:colOff>219075</xdr:colOff>
                    <xdr:row>7</xdr:row>
                    <xdr:rowOff>9525</xdr:rowOff>
                  </from>
                  <to>
                    <xdr:col>3</xdr:col>
                    <xdr:colOff>400050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6" r:id="rId13" name="Check Box 44">
              <controlPr defaultSize="0" autoFill="0" autoLine="0" autoPict="0">
                <anchor moveWithCells="1">
                  <from>
                    <xdr:col>3</xdr:col>
                    <xdr:colOff>219075</xdr:colOff>
                    <xdr:row>8</xdr:row>
                    <xdr:rowOff>9525</xdr:rowOff>
                  </from>
                  <to>
                    <xdr:col>3</xdr:col>
                    <xdr:colOff>400050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7" r:id="rId14" name="Check Box 45">
              <controlPr defaultSize="0" autoFill="0" autoLine="0" autoPict="0">
                <anchor moveWithCells="1">
                  <from>
                    <xdr:col>3</xdr:col>
                    <xdr:colOff>219075</xdr:colOff>
                    <xdr:row>9</xdr:row>
                    <xdr:rowOff>9525</xdr:rowOff>
                  </from>
                  <to>
                    <xdr:col>3</xdr:col>
                    <xdr:colOff>400050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8" r:id="rId15" name="Check Box 46">
              <controlPr defaultSize="0" autoFill="0" autoLine="0" autoPict="0">
                <anchor moveWithCells="1">
                  <from>
                    <xdr:col>11</xdr:col>
                    <xdr:colOff>638175</xdr:colOff>
                    <xdr:row>6</xdr:row>
                    <xdr:rowOff>9525</xdr:rowOff>
                  </from>
                  <to>
                    <xdr:col>12</xdr:col>
                    <xdr:colOff>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59" r:id="rId16" name="Check Box 47">
              <controlPr defaultSize="0" autoFill="0" autoLine="0" autoPict="0">
                <anchor moveWithCells="1">
                  <from>
                    <xdr:col>11</xdr:col>
                    <xdr:colOff>638175</xdr:colOff>
                    <xdr:row>7</xdr:row>
                    <xdr:rowOff>9525</xdr:rowOff>
                  </from>
                  <to>
                    <xdr:col>12</xdr:col>
                    <xdr:colOff>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60" r:id="rId17" name="Check Box 48">
              <controlPr defaultSize="0" autoFill="0" autoLine="0" autoPict="0">
                <anchor moveWithCells="1">
                  <from>
                    <xdr:col>11</xdr:col>
                    <xdr:colOff>638175</xdr:colOff>
                    <xdr:row>8</xdr:row>
                    <xdr:rowOff>9525</xdr:rowOff>
                  </from>
                  <to>
                    <xdr:col>12</xdr:col>
                    <xdr:colOff>0</xdr:colOff>
                    <xdr:row>8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P56"/>
  <sheetViews>
    <sheetView view="pageBreakPreview" topLeftCell="A41" zoomScaleNormal="100" zoomScaleSheetLayoutView="100" workbookViewId="0">
      <selection activeCell="M49" sqref="M49:O49"/>
    </sheetView>
  </sheetViews>
  <sheetFormatPr baseColWidth="10" defaultRowHeight="18.75" x14ac:dyDescent="0.45"/>
  <cols>
    <col min="1" max="1" width="3.28515625" style="5" customWidth="1"/>
    <col min="2" max="2" width="19.28515625" style="5" customWidth="1"/>
    <col min="3" max="3" width="9.140625" style="5" customWidth="1"/>
    <col min="4" max="4" width="6.140625" style="5" customWidth="1"/>
    <col min="5" max="5" width="7.7109375" style="5" customWidth="1"/>
    <col min="6" max="6" width="4.28515625" style="5" customWidth="1"/>
    <col min="7" max="7" width="5.140625" style="5" customWidth="1"/>
    <col min="8" max="8" width="4.5703125" style="5" customWidth="1"/>
    <col min="9" max="9" width="4.85546875" style="5" customWidth="1"/>
    <col min="10" max="10" width="4.28515625" style="5" customWidth="1"/>
    <col min="11" max="11" width="7" style="5" customWidth="1"/>
    <col min="12" max="12" width="12.42578125" style="5" customWidth="1"/>
    <col min="13" max="13" width="13.42578125" style="5" customWidth="1"/>
    <col min="14" max="14" width="9.85546875" style="5" customWidth="1"/>
    <col min="15" max="15" width="8.5703125" style="5" customWidth="1"/>
    <col min="16" max="16" width="3.28515625" style="5" customWidth="1"/>
    <col min="17" max="16384" width="11.42578125" style="5"/>
  </cols>
  <sheetData>
    <row r="1" spans="2:25" ht="20.100000000000001" customHeight="1" x14ac:dyDescent="0.45"/>
    <row r="2" spans="2:25" ht="27.75" customHeight="1" x14ac:dyDescent="0.45">
      <c r="B2" s="221"/>
      <c r="C2" s="223" t="s">
        <v>274</v>
      </c>
      <c r="D2" s="189"/>
      <c r="E2" s="189"/>
      <c r="F2" s="189"/>
      <c r="G2" s="189"/>
      <c r="H2" s="189"/>
      <c r="I2" s="189"/>
      <c r="J2" s="189"/>
      <c r="K2" s="189"/>
      <c r="L2" s="189"/>
      <c r="M2" s="225" t="s">
        <v>184</v>
      </c>
      <c r="N2" s="226"/>
      <c r="O2" s="227"/>
    </row>
    <row r="3" spans="2:25" ht="27.75" customHeight="1" x14ac:dyDescent="0.45">
      <c r="B3" s="222"/>
      <c r="C3" s="224"/>
      <c r="D3" s="193"/>
      <c r="E3" s="193"/>
      <c r="F3" s="193"/>
      <c r="G3" s="193"/>
      <c r="H3" s="193"/>
      <c r="I3" s="193"/>
      <c r="J3" s="193"/>
      <c r="K3" s="193"/>
      <c r="L3" s="193"/>
      <c r="M3" s="228"/>
      <c r="N3" s="229"/>
      <c r="O3" s="230"/>
    </row>
    <row r="4" spans="2:25" x14ac:dyDescent="0.45">
      <c r="B4" s="6" t="s">
        <v>168</v>
      </c>
      <c r="C4" s="231">
        <f>ACCESORIOS!C4</f>
        <v>0</v>
      </c>
      <c r="D4" s="232"/>
      <c r="E4" s="232"/>
      <c r="F4" s="233"/>
      <c r="G4" s="233"/>
      <c r="H4" s="233"/>
      <c r="I4" s="233"/>
      <c r="J4" s="233"/>
      <c r="K4" s="233"/>
      <c r="L4" s="7" t="s">
        <v>59</v>
      </c>
      <c r="M4" s="8" t="str">
        <f>REFLEXION!H6</f>
        <v>02/02/2020</v>
      </c>
      <c r="N4" s="8"/>
      <c r="O4" s="9"/>
    </row>
    <row r="5" spans="2:25" x14ac:dyDescent="0.45">
      <c r="B5" s="10" t="s">
        <v>169</v>
      </c>
      <c r="C5" s="11">
        <f>DATOS!E9</f>
        <v>0</v>
      </c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4"/>
      <c r="P5" s="15"/>
      <c r="Q5" s="16"/>
      <c r="R5" s="16"/>
      <c r="S5" s="16"/>
    </row>
    <row r="6" spans="2:25" x14ac:dyDescent="0.45">
      <c r="B6" s="17" t="s">
        <v>132</v>
      </c>
      <c r="C6" s="236" t="s">
        <v>170</v>
      </c>
      <c r="D6" s="236"/>
      <c r="E6" s="236"/>
      <c r="F6" s="236"/>
      <c r="G6" s="236"/>
      <c r="H6" s="236"/>
      <c r="I6" s="236"/>
      <c r="J6" s="236"/>
      <c r="K6" s="18"/>
      <c r="L6" s="19"/>
      <c r="M6" s="18"/>
      <c r="N6" s="18"/>
      <c r="O6" s="96"/>
      <c r="S6" s="12"/>
      <c r="T6" s="12"/>
      <c r="U6" s="12"/>
      <c r="V6" s="12"/>
      <c r="W6" s="12"/>
    </row>
    <row r="7" spans="2:25" ht="15" customHeight="1" x14ac:dyDescent="0.45">
      <c r="B7" s="237" t="s">
        <v>133</v>
      </c>
      <c r="C7" s="233"/>
      <c r="D7" s="21"/>
      <c r="E7" s="22" t="s">
        <v>134</v>
      </c>
      <c r="F7" s="21"/>
      <c r="G7" s="21"/>
      <c r="H7" s="22"/>
      <c r="I7" s="22"/>
      <c r="J7" s="22"/>
      <c r="K7" s="22"/>
      <c r="L7" s="22"/>
      <c r="M7" s="22" t="s">
        <v>140</v>
      </c>
      <c r="N7" s="22"/>
      <c r="O7" s="23"/>
      <c r="S7" s="12"/>
      <c r="T7" s="12"/>
      <c r="U7" s="12"/>
      <c r="V7" s="12"/>
      <c r="W7" s="12"/>
    </row>
    <row r="8" spans="2:25" ht="15" customHeight="1" x14ac:dyDescent="0.45">
      <c r="B8" s="24"/>
      <c r="C8" s="25"/>
      <c r="D8" s="25"/>
      <c r="E8" s="12" t="s">
        <v>135</v>
      </c>
      <c r="F8" s="25"/>
      <c r="G8" s="25"/>
      <c r="H8" s="12"/>
      <c r="I8" s="12"/>
      <c r="J8" s="12"/>
      <c r="K8" s="12"/>
      <c r="L8" s="12"/>
      <c r="M8" s="12" t="s">
        <v>141</v>
      </c>
      <c r="N8" s="12"/>
      <c r="O8" s="26"/>
      <c r="S8" s="12"/>
      <c r="T8" s="12"/>
      <c r="U8" s="12"/>
      <c r="V8" s="12"/>
      <c r="W8" s="12"/>
    </row>
    <row r="9" spans="2:25" ht="15" customHeight="1" x14ac:dyDescent="0.45">
      <c r="B9" s="27"/>
      <c r="C9" s="12"/>
      <c r="D9" s="12"/>
      <c r="E9" s="12" t="s">
        <v>142</v>
      </c>
      <c r="F9" s="12"/>
      <c r="G9" s="12"/>
      <c r="H9" s="12"/>
      <c r="I9" s="12"/>
      <c r="J9" s="12"/>
      <c r="K9" s="12"/>
      <c r="L9" s="12"/>
      <c r="M9" s="12" t="s">
        <v>143</v>
      </c>
      <c r="N9" s="12"/>
      <c r="O9" s="26"/>
      <c r="S9" s="12"/>
      <c r="T9" s="12"/>
      <c r="U9" s="12"/>
      <c r="V9" s="12"/>
      <c r="W9" s="12"/>
    </row>
    <row r="10" spans="2:25" ht="15" customHeight="1" x14ac:dyDescent="0.45">
      <c r="B10" s="28"/>
      <c r="C10" s="29"/>
      <c r="D10" s="29"/>
      <c r="E10" s="29" t="s">
        <v>144</v>
      </c>
      <c r="F10" s="29"/>
      <c r="G10" s="29"/>
      <c r="H10" s="29"/>
      <c r="I10" s="29"/>
      <c r="J10" s="29"/>
      <c r="K10" s="29"/>
      <c r="L10" s="29"/>
      <c r="M10" s="29"/>
      <c r="N10" s="29"/>
      <c r="O10" s="30"/>
      <c r="S10" s="12"/>
      <c r="T10" s="12"/>
      <c r="U10" s="12"/>
      <c r="V10" s="12"/>
      <c r="W10" s="12"/>
    </row>
    <row r="11" spans="2:25" ht="15" customHeight="1" x14ac:dyDescent="0.4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S11" s="12"/>
      <c r="T11" s="12"/>
      <c r="U11" s="12"/>
      <c r="V11" s="12"/>
      <c r="W11" s="12"/>
    </row>
    <row r="12" spans="2:25" ht="15" customHeight="1" x14ac:dyDescent="0.45">
      <c r="B12" s="12"/>
      <c r="C12" s="244" t="s">
        <v>204</v>
      </c>
      <c r="D12" s="245"/>
      <c r="E12" s="245"/>
      <c r="F12" s="245"/>
      <c r="G12" s="245"/>
      <c r="H12" s="245"/>
      <c r="I12" s="245"/>
      <c r="J12" s="245"/>
      <c r="K12" s="245"/>
      <c r="L12" s="245"/>
      <c r="M12" s="246"/>
      <c r="N12" s="12"/>
      <c r="O12" s="12"/>
      <c r="S12" s="12"/>
      <c r="T12" s="12"/>
      <c r="U12" s="12"/>
      <c r="V12" s="12"/>
      <c r="W12" s="12"/>
    </row>
    <row r="13" spans="2:25" ht="15" customHeight="1" x14ac:dyDescent="0.45">
      <c r="B13" s="31"/>
      <c r="C13" s="247"/>
      <c r="D13" s="248"/>
      <c r="E13" s="248"/>
      <c r="F13" s="248"/>
      <c r="G13" s="248"/>
      <c r="H13" s="248"/>
      <c r="I13" s="248"/>
      <c r="J13" s="248"/>
      <c r="K13" s="248"/>
      <c r="L13" s="248"/>
      <c r="M13" s="249"/>
      <c r="N13" s="31"/>
      <c r="O13" s="31"/>
    </row>
    <row r="14" spans="2:25" ht="15" customHeight="1" x14ac:dyDescent="0.45">
      <c r="B14" s="25"/>
      <c r="C14" s="250"/>
      <c r="D14" s="215"/>
      <c r="E14" s="215"/>
      <c r="F14" s="215"/>
      <c r="G14" s="215"/>
      <c r="H14" s="215"/>
      <c r="I14" s="215"/>
      <c r="J14" s="215"/>
      <c r="K14" s="215"/>
      <c r="L14" s="215"/>
      <c r="M14" s="251"/>
      <c r="N14" s="25"/>
      <c r="O14" s="25"/>
      <c r="S14" s="32" t="s">
        <v>275</v>
      </c>
      <c r="T14" s="32"/>
      <c r="U14" s="32"/>
      <c r="V14" s="32"/>
      <c r="W14" s="32"/>
      <c r="X14" s="32"/>
      <c r="Y14" s="32"/>
    </row>
    <row r="15" spans="2:25" ht="13.5" customHeight="1" x14ac:dyDescent="0.45">
      <c r="B15" s="25"/>
      <c r="C15" s="250"/>
      <c r="D15" s="215"/>
      <c r="E15" s="215"/>
      <c r="F15" s="215"/>
      <c r="G15" s="215"/>
      <c r="H15" s="215"/>
      <c r="I15" s="215"/>
      <c r="J15" s="215"/>
      <c r="K15" s="215"/>
      <c r="L15" s="215"/>
      <c r="M15" s="251"/>
      <c r="N15" s="25"/>
      <c r="O15" s="25"/>
      <c r="S15" s="33"/>
      <c r="T15" s="33"/>
      <c r="U15" s="33"/>
      <c r="V15" s="33"/>
      <c r="W15" s="33"/>
      <c r="X15" s="33"/>
      <c r="Y15" s="33"/>
    </row>
    <row r="16" spans="2:25" ht="13.5" customHeight="1" x14ac:dyDescent="0.45">
      <c r="B16" s="25"/>
      <c r="C16" s="250"/>
      <c r="D16" s="215"/>
      <c r="E16" s="215"/>
      <c r="F16" s="215"/>
      <c r="G16" s="215"/>
      <c r="H16" s="215"/>
      <c r="I16" s="215"/>
      <c r="J16" s="215"/>
      <c r="K16" s="215"/>
      <c r="L16" s="215"/>
      <c r="M16" s="251"/>
      <c r="N16" s="25"/>
      <c r="O16" s="25"/>
      <c r="S16" s="33"/>
      <c r="T16" s="33"/>
      <c r="U16" s="33"/>
      <c r="V16" s="33"/>
      <c r="W16" s="33"/>
      <c r="X16" s="33"/>
      <c r="Y16" s="33"/>
    </row>
    <row r="17" spans="2:25" ht="13.5" customHeight="1" x14ac:dyDescent="0.45">
      <c r="B17" s="25"/>
      <c r="C17" s="250"/>
      <c r="D17" s="215"/>
      <c r="E17" s="215"/>
      <c r="F17" s="215"/>
      <c r="G17" s="215"/>
      <c r="H17" s="215"/>
      <c r="I17" s="215"/>
      <c r="J17" s="215"/>
      <c r="K17" s="215"/>
      <c r="L17" s="215"/>
      <c r="M17" s="251"/>
      <c r="N17" s="25"/>
      <c r="O17" s="25"/>
      <c r="S17" s="33"/>
      <c r="T17" s="33"/>
      <c r="U17" s="33"/>
      <c r="V17" s="33"/>
      <c r="W17" s="33"/>
      <c r="X17" s="33"/>
      <c r="Y17" s="33"/>
    </row>
    <row r="18" spans="2:25" ht="13.5" customHeight="1" x14ac:dyDescent="0.45">
      <c r="B18" s="25"/>
      <c r="C18" s="250"/>
      <c r="D18" s="215"/>
      <c r="E18" s="215"/>
      <c r="F18" s="215"/>
      <c r="G18" s="215"/>
      <c r="H18" s="215"/>
      <c r="I18" s="215"/>
      <c r="J18" s="215"/>
      <c r="K18" s="215"/>
      <c r="L18" s="215"/>
      <c r="M18" s="251"/>
      <c r="N18" s="25"/>
      <c r="O18" s="25"/>
      <c r="S18" s="33"/>
      <c r="T18" s="33"/>
      <c r="U18" s="33"/>
      <c r="V18" s="33"/>
      <c r="W18" s="33"/>
      <c r="X18" s="33"/>
      <c r="Y18" s="33"/>
    </row>
    <row r="19" spans="2:25" ht="13.5" customHeight="1" x14ac:dyDescent="0.45">
      <c r="B19" s="25"/>
      <c r="C19" s="250"/>
      <c r="D19" s="215"/>
      <c r="E19" s="215"/>
      <c r="F19" s="215"/>
      <c r="G19" s="215"/>
      <c r="H19" s="215"/>
      <c r="I19" s="215"/>
      <c r="J19" s="215"/>
      <c r="K19" s="215"/>
      <c r="L19" s="215"/>
      <c r="M19" s="251"/>
      <c r="N19" s="25"/>
      <c r="O19" s="25"/>
      <c r="S19" s="33"/>
      <c r="T19" s="33"/>
      <c r="U19" s="33"/>
      <c r="V19" s="33"/>
      <c r="W19" s="33"/>
      <c r="X19" s="33"/>
      <c r="Y19" s="33"/>
    </row>
    <row r="20" spans="2:25" ht="13.5" customHeight="1" x14ac:dyDescent="0.45">
      <c r="B20" s="25"/>
      <c r="C20" s="250"/>
      <c r="D20" s="215"/>
      <c r="E20" s="215"/>
      <c r="F20" s="215"/>
      <c r="G20" s="215"/>
      <c r="H20" s="215"/>
      <c r="I20" s="215"/>
      <c r="J20" s="215"/>
      <c r="K20" s="215"/>
      <c r="L20" s="215"/>
      <c r="M20" s="251"/>
      <c r="N20" s="25"/>
      <c r="O20" s="25"/>
      <c r="S20" s="33"/>
      <c r="T20" s="33"/>
      <c r="U20" s="33"/>
      <c r="V20" s="33"/>
      <c r="W20" s="33"/>
      <c r="X20" s="33"/>
      <c r="Y20" s="33"/>
    </row>
    <row r="21" spans="2:25" ht="13.5" customHeight="1" x14ac:dyDescent="0.45">
      <c r="B21" s="25"/>
      <c r="C21" s="250"/>
      <c r="D21" s="215"/>
      <c r="E21" s="215"/>
      <c r="F21" s="215"/>
      <c r="G21" s="215"/>
      <c r="H21" s="215"/>
      <c r="I21" s="215"/>
      <c r="J21" s="215"/>
      <c r="K21" s="215"/>
      <c r="L21" s="215"/>
      <c r="M21" s="251"/>
      <c r="N21" s="25"/>
      <c r="O21" s="25"/>
      <c r="S21" s="33"/>
      <c r="T21" s="33"/>
      <c r="U21" s="33"/>
      <c r="V21" s="33"/>
      <c r="W21" s="33"/>
      <c r="X21" s="33"/>
      <c r="Y21" s="33"/>
    </row>
    <row r="22" spans="2:25" ht="13.5" customHeight="1" x14ac:dyDescent="0.45">
      <c r="B22" s="25"/>
      <c r="C22" s="250"/>
      <c r="D22" s="215"/>
      <c r="E22" s="215"/>
      <c r="F22" s="215"/>
      <c r="G22" s="215"/>
      <c r="H22" s="215"/>
      <c r="I22" s="215"/>
      <c r="J22" s="215"/>
      <c r="K22" s="215"/>
      <c r="L22" s="215"/>
      <c r="M22" s="251"/>
      <c r="N22" s="25"/>
      <c r="O22" s="25"/>
      <c r="S22" s="33"/>
      <c r="T22" s="33"/>
      <c r="U22" s="33"/>
      <c r="V22" s="33"/>
      <c r="W22" s="33"/>
      <c r="X22" s="33"/>
      <c r="Y22" s="33"/>
    </row>
    <row r="23" spans="2:25" ht="13.5" customHeight="1" x14ac:dyDescent="0.45">
      <c r="B23" s="25"/>
      <c r="C23" s="250"/>
      <c r="D23" s="215"/>
      <c r="E23" s="215"/>
      <c r="F23" s="215"/>
      <c r="G23" s="215"/>
      <c r="H23" s="215"/>
      <c r="I23" s="215"/>
      <c r="J23" s="215"/>
      <c r="K23" s="215"/>
      <c r="L23" s="215"/>
      <c r="M23" s="251"/>
      <c r="N23" s="25"/>
      <c r="O23" s="25"/>
      <c r="S23" s="33"/>
      <c r="T23" s="33"/>
      <c r="U23" s="33"/>
      <c r="V23" s="33"/>
      <c r="W23" s="33"/>
      <c r="X23" s="33"/>
      <c r="Y23" s="33"/>
    </row>
    <row r="24" spans="2:25" ht="13.5" customHeight="1" x14ac:dyDescent="0.45">
      <c r="B24" s="25"/>
      <c r="C24" s="250"/>
      <c r="D24" s="215"/>
      <c r="E24" s="215"/>
      <c r="F24" s="215"/>
      <c r="G24" s="215"/>
      <c r="H24" s="215"/>
      <c r="I24" s="215"/>
      <c r="J24" s="215"/>
      <c r="K24" s="215"/>
      <c r="L24" s="215"/>
      <c r="M24" s="251"/>
      <c r="N24" s="25"/>
      <c r="O24" s="25"/>
      <c r="S24" s="33"/>
      <c r="T24" s="33"/>
      <c r="U24" s="33"/>
      <c r="V24" s="33"/>
      <c r="W24" s="33"/>
      <c r="X24" s="33"/>
      <c r="Y24" s="33"/>
    </row>
    <row r="25" spans="2:25" ht="13.5" customHeight="1" x14ac:dyDescent="0.45">
      <c r="B25" s="25"/>
      <c r="C25" s="250"/>
      <c r="D25" s="215"/>
      <c r="E25" s="215"/>
      <c r="F25" s="215"/>
      <c r="G25" s="215"/>
      <c r="H25" s="215"/>
      <c r="I25" s="215"/>
      <c r="J25" s="215"/>
      <c r="K25" s="215"/>
      <c r="L25" s="215"/>
      <c r="M25" s="251"/>
      <c r="N25" s="25"/>
      <c r="O25" s="25"/>
      <c r="S25" s="33"/>
      <c r="T25" s="33"/>
      <c r="U25" s="33"/>
      <c r="V25" s="33"/>
      <c r="W25" s="33"/>
      <c r="X25" s="33"/>
      <c r="Y25" s="33"/>
    </row>
    <row r="26" spans="2:25" ht="13.5" customHeight="1" x14ac:dyDescent="0.45">
      <c r="B26" s="25"/>
      <c r="C26" s="250"/>
      <c r="D26" s="215"/>
      <c r="E26" s="215"/>
      <c r="F26" s="215"/>
      <c r="G26" s="215"/>
      <c r="H26" s="215"/>
      <c r="I26" s="215"/>
      <c r="J26" s="215"/>
      <c r="K26" s="215"/>
      <c r="L26" s="215"/>
      <c r="M26" s="251"/>
      <c r="N26" s="25"/>
      <c r="O26" s="25"/>
      <c r="S26" s="33"/>
      <c r="T26" s="33"/>
      <c r="U26" s="33"/>
      <c r="V26" s="33"/>
      <c r="W26" s="33"/>
      <c r="X26" s="33"/>
      <c r="Y26" s="33"/>
    </row>
    <row r="27" spans="2:25" ht="13.5" customHeight="1" x14ac:dyDescent="0.45">
      <c r="B27" s="25"/>
      <c r="C27" s="252"/>
      <c r="D27" s="253"/>
      <c r="E27" s="253"/>
      <c r="F27" s="253"/>
      <c r="G27" s="253"/>
      <c r="H27" s="253"/>
      <c r="I27" s="253"/>
      <c r="J27" s="253"/>
      <c r="K27" s="253"/>
      <c r="L27" s="253"/>
      <c r="M27" s="254"/>
      <c r="N27" s="25"/>
      <c r="O27" s="25"/>
      <c r="S27" s="33"/>
      <c r="T27" s="33"/>
      <c r="U27" s="33"/>
      <c r="V27" s="33"/>
      <c r="W27" s="33"/>
      <c r="X27" s="33"/>
      <c r="Y27" s="33"/>
    </row>
    <row r="28" spans="2:25" ht="13.5" customHeight="1" x14ac:dyDescent="0.45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S28" s="33"/>
      <c r="T28" s="33"/>
      <c r="U28" s="33"/>
      <c r="V28" s="33"/>
      <c r="W28" s="33"/>
      <c r="X28" s="33"/>
      <c r="Y28" s="33"/>
    </row>
    <row r="29" spans="2:25" ht="13.5" customHeight="1" x14ac:dyDescent="0.45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S29" s="33"/>
      <c r="T29" s="33"/>
      <c r="U29" s="33"/>
      <c r="V29" s="33"/>
      <c r="W29" s="33"/>
      <c r="X29" s="33"/>
      <c r="Y29" s="33"/>
    </row>
    <row r="30" spans="2:25" ht="15" customHeight="1" x14ac:dyDescent="0.45">
      <c r="B30" s="25"/>
      <c r="C30" s="244" t="s">
        <v>203</v>
      </c>
      <c r="D30" s="245"/>
      <c r="E30" s="245"/>
      <c r="F30" s="245"/>
      <c r="G30" s="245"/>
      <c r="H30" s="245"/>
      <c r="I30" s="245"/>
      <c r="J30" s="245"/>
      <c r="K30" s="245"/>
      <c r="L30" s="245"/>
      <c r="M30" s="246"/>
      <c r="N30" s="25"/>
      <c r="O30" s="25"/>
      <c r="S30" s="33"/>
      <c r="T30" s="33"/>
      <c r="U30" s="33"/>
      <c r="V30" s="33"/>
      <c r="W30" s="33"/>
      <c r="X30" s="33"/>
      <c r="Y30" s="33"/>
    </row>
    <row r="31" spans="2:25" ht="13.5" customHeight="1" x14ac:dyDescent="0.45">
      <c r="B31" s="25"/>
      <c r="C31" s="255"/>
      <c r="D31" s="241"/>
      <c r="E31" s="241"/>
      <c r="F31" s="241"/>
      <c r="G31" s="241"/>
      <c r="H31" s="241"/>
      <c r="I31" s="241"/>
      <c r="J31" s="241"/>
      <c r="K31" s="241"/>
      <c r="L31" s="241"/>
      <c r="M31" s="256"/>
      <c r="N31" s="25"/>
      <c r="O31" s="25"/>
      <c r="S31" s="33"/>
      <c r="T31" s="33"/>
      <c r="U31" s="33"/>
      <c r="V31" s="33"/>
      <c r="W31" s="33"/>
      <c r="X31" s="33"/>
      <c r="Y31" s="33"/>
    </row>
    <row r="32" spans="2:25" ht="13.5" customHeight="1" x14ac:dyDescent="0.45">
      <c r="B32" s="25"/>
      <c r="C32" s="255"/>
      <c r="D32" s="241"/>
      <c r="E32" s="241"/>
      <c r="F32" s="241"/>
      <c r="G32" s="241"/>
      <c r="H32" s="241"/>
      <c r="I32" s="241"/>
      <c r="J32" s="241"/>
      <c r="K32" s="241"/>
      <c r="L32" s="241"/>
      <c r="M32" s="256"/>
      <c r="N32" s="25"/>
      <c r="O32" s="25"/>
      <c r="S32" s="33"/>
      <c r="T32" s="33"/>
      <c r="U32" s="33"/>
      <c r="V32" s="33"/>
      <c r="W32" s="33"/>
      <c r="X32" s="33"/>
      <c r="Y32" s="33"/>
    </row>
    <row r="33" spans="2:33" ht="13.5" customHeight="1" x14ac:dyDescent="0.45">
      <c r="B33" s="25"/>
      <c r="C33" s="255"/>
      <c r="D33" s="241"/>
      <c r="E33" s="241"/>
      <c r="F33" s="241"/>
      <c r="G33" s="241"/>
      <c r="H33" s="241"/>
      <c r="I33" s="241"/>
      <c r="J33" s="241"/>
      <c r="K33" s="241"/>
      <c r="L33" s="241"/>
      <c r="M33" s="256"/>
      <c r="N33" s="25"/>
      <c r="O33" s="25"/>
      <c r="S33" s="33"/>
      <c r="T33" s="33"/>
      <c r="U33" s="33"/>
      <c r="V33" s="33"/>
      <c r="W33" s="33"/>
      <c r="X33" s="33"/>
      <c r="Y33" s="33"/>
    </row>
    <row r="34" spans="2:33" ht="13.5" customHeight="1" x14ac:dyDescent="0.45">
      <c r="B34" s="25"/>
      <c r="C34" s="255"/>
      <c r="D34" s="241"/>
      <c r="E34" s="241"/>
      <c r="F34" s="241"/>
      <c r="G34" s="241"/>
      <c r="H34" s="241"/>
      <c r="I34" s="241"/>
      <c r="J34" s="241"/>
      <c r="K34" s="241"/>
      <c r="L34" s="241"/>
      <c r="M34" s="256"/>
      <c r="N34" s="25"/>
      <c r="O34" s="25"/>
      <c r="S34" s="33"/>
      <c r="T34" s="33"/>
      <c r="U34" s="33"/>
      <c r="V34" s="33"/>
      <c r="W34" s="33"/>
      <c r="X34" s="33"/>
      <c r="Y34" s="33"/>
    </row>
    <row r="35" spans="2:33" ht="13.5" customHeight="1" x14ac:dyDescent="0.45">
      <c r="B35" s="25"/>
      <c r="C35" s="255"/>
      <c r="D35" s="241"/>
      <c r="E35" s="241"/>
      <c r="F35" s="241"/>
      <c r="G35" s="241"/>
      <c r="H35" s="241"/>
      <c r="I35" s="241"/>
      <c r="J35" s="241"/>
      <c r="K35" s="241"/>
      <c r="L35" s="241"/>
      <c r="M35" s="256"/>
      <c r="N35" s="25"/>
      <c r="O35" s="25"/>
      <c r="S35" s="33"/>
      <c r="T35" s="33"/>
      <c r="U35" s="33"/>
      <c r="V35" s="33"/>
      <c r="W35" s="33"/>
      <c r="X35" s="33"/>
      <c r="Y35" s="33"/>
    </row>
    <row r="36" spans="2:33" ht="15" customHeight="1" x14ac:dyDescent="0.45">
      <c r="B36" s="25"/>
      <c r="C36" s="255"/>
      <c r="D36" s="241"/>
      <c r="E36" s="241"/>
      <c r="F36" s="241"/>
      <c r="G36" s="241"/>
      <c r="H36" s="241"/>
      <c r="I36" s="241"/>
      <c r="J36" s="241"/>
      <c r="K36" s="241"/>
      <c r="L36" s="241"/>
      <c r="M36" s="256"/>
      <c r="N36" s="25"/>
      <c r="O36" s="25"/>
      <c r="S36" s="33"/>
      <c r="T36" s="33"/>
      <c r="U36" s="33"/>
      <c r="V36" s="33"/>
      <c r="W36" s="33"/>
      <c r="X36" s="33"/>
      <c r="Y36" s="33"/>
    </row>
    <row r="37" spans="2:33" ht="15" customHeight="1" x14ac:dyDescent="0.45">
      <c r="B37" s="25"/>
      <c r="C37" s="255"/>
      <c r="D37" s="241"/>
      <c r="E37" s="241"/>
      <c r="F37" s="241"/>
      <c r="G37" s="241"/>
      <c r="H37" s="241"/>
      <c r="I37" s="241"/>
      <c r="J37" s="241"/>
      <c r="K37" s="241"/>
      <c r="L37" s="241"/>
      <c r="M37" s="256"/>
      <c r="N37" s="25"/>
      <c r="O37" s="25"/>
      <c r="S37" s="33"/>
      <c r="T37" s="33"/>
      <c r="U37" s="33"/>
      <c r="V37" s="33"/>
      <c r="W37" s="33"/>
      <c r="X37" s="33"/>
      <c r="Y37" s="33"/>
    </row>
    <row r="38" spans="2:33" ht="15" customHeight="1" x14ac:dyDescent="0.45">
      <c r="B38" s="25"/>
      <c r="C38" s="255"/>
      <c r="D38" s="241"/>
      <c r="E38" s="241"/>
      <c r="F38" s="241"/>
      <c r="G38" s="241"/>
      <c r="H38" s="241"/>
      <c r="I38" s="241"/>
      <c r="J38" s="241"/>
      <c r="K38" s="241"/>
      <c r="L38" s="241"/>
      <c r="M38" s="256"/>
      <c r="N38" s="25"/>
      <c r="O38" s="25"/>
      <c r="S38" s="33"/>
      <c r="T38" s="33"/>
      <c r="U38" s="33"/>
      <c r="V38" s="33"/>
      <c r="W38" s="33"/>
      <c r="X38" s="33"/>
      <c r="Y38" s="33"/>
    </row>
    <row r="39" spans="2:33" ht="15" customHeight="1" x14ac:dyDescent="0.45">
      <c r="B39" s="25"/>
      <c r="C39" s="255"/>
      <c r="D39" s="241"/>
      <c r="E39" s="241"/>
      <c r="F39" s="241"/>
      <c r="G39" s="241"/>
      <c r="H39" s="241"/>
      <c r="I39" s="241"/>
      <c r="J39" s="241"/>
      <c r="K39" s="241"/>
      <c r="L39" s="241"/>
      <c r="M39" s="256"/>
      <c r="N39" s="25"/>
      <c r="O39" s="25"/>
      <c r="S39" s="33"/>
      <c r="T39" s="33"/>
      <c r="U39" s="33"/>
      <c r="V39" s="33"/>
      <c r="W39" s="33"/>
      <c r="X39" s="33"/>
      <c r="Y39" s="33"/>
    </row>
    <row r="40" spans="2:33" ht="15" customHeight="1" x14ac:dyDescent="0.45">
      <c r="B40" s="25"/>
      <c r="C40" s="255"/>
      <c r="D40" s="241"/>
      <c r="E40" s="241"/>
      <c r="F40" s="241"/>
      <c r="G40" s="241"/>
      <c r="H40" s="241"/>
      <c r="I40" s="241"/>
      <c r="J40" s="241"/>
      <c r="K40" s="241"/>
      <c r="L40" s="241"/>
      <c r="M40" s="256"/>
      <c r="N40" s="25"/>
      <c r="O40" s="25"/>
      <c r="S40" s="33"/>
      <c r="T40" s="33"/>
      <c r="U40" s="33"/>
      <c r="V40" s="33"/>
      <c r="W40" s="33"/>
      <c r="X40" s="33"/>
      <c r="Y40" s="33"/>
    </row>
    <row r="41" spans="2:33" ht="15" customHeight="1" x14ac:dyDescent="0.45">
      <c r="B41" s="25"/>
      <c r="C41" s="255"/>
      <c r="D41" s="241"/>
      <c r="E41" s="241"/>
      <c r="F41" s="241"/>
      <c r="G41" s="241"/>
      <c r="H41" s="241"/>
      <c r="I41" s="241"/>
      <c r="J41" s="241"/>
      <c r="K41" s="241"/>
      <c r="L41" s="241"/>
      <c r="M41" s="256"/>
      <c r="N41" s="25"/>
      <c r="O41" s="25"/>
      <c r="S41" s="33"/>
      <c r="T41" s="33"/>
      <c r="U41" s="33"/>
      <c r="V41" s="33"/>
      <c r="W41" s="33"/>
      <c r="X41" s="33"/>
      <c r="Y41" s="33"/>
    </row>
    <row r="42" spans="2:33" ht="15" customHeight="1" x14ac:dyDescent="0.45">
      <c r="B42" s="25"/>
      <c r="C42" s="255"/>
      <c r="D42" s="241"/>
      <c r="E42" s="241"/>
      <c r="F42" s="241"/>
      <c r="G42" s="241"/>
      <c r="H42" s="241"/>
      <c r="I42" s="241"/>
      <c r="J42" s="241"/>
      <c r="K42" s="241"/>
      <c r="L42" s="241"/>
      <c r="M42" s="256"/>
      <c r="N42" s="25"/>
      <c r="O42" s="25"/>
      <c r="S42" s="33"/>
      <c r="T42" s="33"/>
      <c r="U42" s="33"/>
      <c r="V42" s="33"/>
      <c r="W42" s="33"/>
      <c r="X42" s="33"/>
      <c r="Y42" s="33"/>
    </row>
    <row r="43" spans="2:33" ht="15" customHeight="1" x14ac:dyDescent="0.45">
      <c r="B43" s="25"/>
      <c r="C43" s="255"/>
      <c r="D43" s="241"/>
      <c r="E43" s="241"/>
      <c r="F43" s="241"/>
      <c r="G43" s="241"/>
      <c r="H43" s="241"/>
      <c r="I43" s="241"/>
      <c r="J43" s="241"/>
      <c r="K43" s="241"/>
      <c r="L43" s="241"/>
      <c r="M43" s="256"/>
      <c r="N43" s="25"/>
      <c r="O43" s="25"/>
      <c r="S43" s="33"/>
      <c r="T43" s="33"/>
      <c r="U43" s="33"/>
      <c r="V43" s="33"/>
      <c r="W43" s="33"/>
      <c r="X43" s="33"/>
      <c r="Y43" s="33"/>
    </row>
    <row r="44" spans="2:33" ht="15" customHeight="1" x14ac:dyDescent="0.45">
      <c r="B44" s="25"/>
      <c r="C44" s="255"/>
      <c r="D44" s="241"/>
      <c r="E44" s="241"/>
      <c r="F44" s="241"/>
      <c r="G44" s="241"/>
      <c r="H44" s="241"/>
      <c r="I44" s="241"/>
      <c r="J44" s="241"/>
      <c r="K44" s="241"/>
      <c r="L44" s="241"/>
      <c r="M44" s="256"/>
      <c r="N44" s="25"/>
      <c r="O44" s="25"/>
      <c r="S44" s="33"/>
      <c r="T44" s="33"/>
      <c r="U44" s="33"/>
      <c r="V44" s="33"/>
      <c r="W44" s="33"/>
      <c r="X44" s="33"/>
      <c r="Y44" s="33"/>
    </row>
    <row r="45" spans="2:33" ht="15" customHeight="1" x14ac:dyDescent="0.45">
      <c r="B45" s="25"/>
      <c r="C45" s="257"/>
      <c r="D45" s="258"/>
      <c r="E45" s="258"/>
      <c r="F45" s="258"/>
      <c r="G45" s="258"/>
      <c r="H45" s="258"/>
      <c r="I45" s="258"/>
      <c r="J45" s="258"/>
      <c r="K45" s="258"/>
      <c r="L45" s="258"/>
      <c r="M45" s="259"/>
      <c r="N45" s="25"/>
      <c r="O45" s="25"/>
      <c r="S45" s="33"/>
      <c r="T45" s="33"/>
      <c r="U45" s="33"/>
      <c r="V45" s="33"/>
      <c r="W45" s="33"/>
      <c r="X45" s="33"/>
      <c r="Y45" s="33"/>
    </row>
    <row r="46" spans="2:33" ht="15" customHeight="1" x14ac:dyDescent="0.45">
      <c r="B46" s="34"/>
      <c r="C46" s="34"/>
      <c r="D46" s="34"/>
      <c r="E46" s="34"/>
      <c r="F46" s="34"/>
      <c r="G46" s="34"/>
      <c r="H46" s="35"/>
      <c r="I46" s="35"/>
      <c r="J46" s="35"/>
      <c r="K46" s="34"/>
      <c r="L46" s="34"/>
      <c r="M46" s="34"/>
      <c r="N46" s="34"/>
      <c r="O46" s="34"/>
    </row>
    <row r="47" spans="2:33" ht="15" customHeight="1" x14ac:dyDescent="0.45"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V47" s="36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</row>
    <row r="48" spans="2:33" ht="15" customHeight="1" x14ac:dyDescent="0.45">
      <c r="B48" s="238" t="s">
        <v>376</v>
      </c>
      <c r="C48" s="238"/>
      <c r="D48" s="37"/>
      <c r="E48" s="37"/>
      <c r="F48" s="239"/>
      <c r="G48" s="239"/>
      <c r="H48" s="239"/>
      <c r="I48" s="239"/>
      <c r="J48" s="239"/>
      <c r="K48" s="239"/>
      <c r="L48" s="37"/>
      <c r="M48" s="238" t="s">
        <v>382</v>
      </c>
      <c r="N48" s="238"/>
      <c r="O48" s="238"/>
    </row>
    <row r="49" spans="2:42" ht="15" customHeight="1" x14ac:dyDescent="0.45">
      <c r="B49" s="240" t="s">
        <v>58</v>
      </c>
      <c r="C49" s="240"/>
      <c r="D49" s="34"/>
      <c r="E49" s="34"/>
      <c r="F49" s="240" t="s">
        <v>348</v>
      </c>
      <c r="G49" s="240"/>
      <c r="H49" s="240"/>
      <c r="I49" s="240"/>
      <c r="J49" s="240"/>
      <c r="K49" s="240"/>
      <c r="L49" s="34"/>
      <c r="M49" s="240" t="s">
        <v>125</v>
      </c>
      <c r="N49" s="240"/>
      <c r="O49" s="240"/>
    </row>
    <row r="50" spans="2:42" ht="15" customHeight="1" x14ac:dyDescent="0.45">
      <c r="B50" s="35"/>
      <c r="C50" s="38"/>
      <c r="D50" s="38"/>
      <c r="E50" s="38"/>
      <c r="F50" s="38"/>
      <c r="G50" s="35"/>
      <c r="H50" s="35"/>
      <c r="I50" s="38"/>
      <c r="J50" s="38"/>
      <c r="K50" s="38"/>
      <c r="L50" s="38"/>
      <c r="M50" s="35"/>
      <c r="N50" s="35"/>
      <c r="O50" s="35"/>
    </row>
    <row r="51" spans="2:42" x14ac:dyDescent="0.45">
      <c r="B51" s="34"/>
      <c r="C51" s="25"/>
      <c r="D51" s="25"/>
      <c r="E51" s="25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2:42" ht="15.75" customHeight="1" x14ac:dyDescent="0.45">
      <c r="B52" s="207" t="s">
        <v>373</v>
      </c>
      <c r="C52" s="207"/>
      <c r="D52" s="12"/>
      <c r="E52" s="12"/>
      <c r="F52" s="241"/>
      <c r="G52" s="241"/>
      <c r="H52" s="241"/>
      <c r="I52" s="241"/>
      <c r="J52" s="241"/>
      <c r="K52" s="242"/>
      <c r="L52" s="242"/>
      <c r="M52" s="12"/>
      <c r="N52" s="208" t="s">
        <v>366</v>
      </c>
      <c r="O52" s="208"/>
    </row>
    <row r="53" spans="2:42" ht="20.100000000000001" customHeight="1" x14ac:dyDescent="0.45"/>
    <row r="54" spans="2:42" x14ac:dyDescent="0.45"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P54" s="41"/>
    </row>
    <row r="55" spans="2:42" x14ac:dyDescent="0.45"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spans="2:42" x14ac:dyDescent="0.45"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7"/>
      <c r="AE56" s="37"/>
      <c r="AF56" s="37"/>
    </row>
  </sheetData>
  <mergeCells count="21">
    <mergeCell ref="B48:C48"/>
    <mergeCell ref="F48:K48"/>
    <mergeCell ref="M48:O48"/>
    <mergeCell ref="B2:B3"/>
    <mergeCell ref="C2:L3"/>
    <mergeCell ref="M2:O3"/>
    <mergeCell ref="C4:E4"/>
    <mergeCell ref="F4:K4"/>
    <mergeCell ref="C6:J6"/>
    <mergeCell ref="B7:C7"/>
    <mergeCell ref="C12:M12"/>
    <mergeCell ref="C13:M27"/>
    <mergeCell ref="C30:M30"/>
    <mergeCell ref="C31:M45"/>
    <mergeCell ref="B52:C52"/>
    <mergeCell ref="F52:J52"/>
    <mergeCell ref="K52:L52"/>
    <mergeCell ref="N52:O52"/>
    <mergeCell ref="B49:C49"/>
    <mergeCell ref="F49:K49"/>
    <mergeCell ref="M49:O4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9144" r:id="rId4" name="Check Box 8">
              <controlPr defaultSize="0" autoFill="0" autoLine="0" autoPict="0">
                <anchor moveWithCells="1">
                  <from>
                    <xdr:col>3</xdr:col>
                    <xdr:colOff>238125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5" r:id="rId5" name="Check Box 9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6" r:id="rId6" name="Check Box 10">
              <controlPr defaultSize="0" autoFill="0" autoLine="0" autoPict="0">
                <anchor moveWithCells="1">
                  <from>
                    <xdr:col>3</xdr:col>
                    <xdr:colOff>238125</xdr:colOff>
                    <xdr:row>8</xdr:row>
                    <xdr:rowOff>9525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7" r:id="rId7" name="Check Box 11">
              <controlPr defaultSize="0" autoFill="0" autoLine="0" autoPict="0">
                <anchor moveWithCells="1">
                  <from>
                    <xdr:col>3</xdr:col>
                    <xdr:colOff>238125</xdr:colOff>
                    <xdr:row>9</xdr:row>
                    <xdr:rowOff>9525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8" r:id="rId8" name="Check Box 12">
              <controlPr defaultSize="0" autoFill="0" autoLine="0" autoPict="0">
                <anchor moveWithCells="1">
                  <from>
                    <xdr:col>11</xdr:col>
                    <xdr:colOff>238125</xdr:colOff>
                    <xdr:row>6</xdr:row>
                    <xdr:rowOff>9525</xdr:rowOff>
                  </from>
                  <to>
                    <xdr:col>11</xdr:col>
                    <xdr:colOff>419100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49" r:id="rId9" name="Check Box 13">
              <controlPr defaultSize="0" autoFill="0" autoLine="0" autoPict="0">
                <anchor moveWithCells="1">
                  <from>
                    <xdr:col>11</xdr:col>
                    <xdr:colOff>238125</xdr:colOff>
                    <xdr:row>7</xdr:row>
                    <xdr:rowOff>9525</xdr:rowOff>
                  </from>
                  <to>
                    <xdr:col>11</xdr:col>
                    <xdr:colOff>419100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50" r:id="rId10" name="Check Box 14">
              <controlPr defaultSize="0" autoFill="0" autoLine="0" autoPict="0">
                <anchor moveWithCells="1">
                  <from>
                    <xdr:col>11</xdr:col>
                    <xdr:colOff>238125</xdr:colOff>
                    <xdr:row>8</xdr:row>
                    <xdr:rowOff>9525</xdr:rowOff>
                  </from>
                  <to>
                    <xdr:col>11</xdr:col>
                    <xdr:colOff>419100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P56"/>
  <sheetViews>
    <sheetView view="pageBreakPreview" topLeftCell="A38" zoomScale="95" zoomScaleNormal="100" zoomScaleSheetLayoutView="95" workbookViewId="0">
      <selection activeCell="M49" sqref="M49:O49"/>
    </sheetView>
  </sheetViews>
  <sheetFormatPr baseColWidth="10" defaultRowHeight="18.75" x14ac:dyDescent="0.45"/>
  <cols>
    <col min="1" max="1" width="3.28515625" style="5" customWidth="1"/>
    <col min="2" max="2" width="19.28515625" style="5" customWidth="1"/>
    <col min="3" max="3" width="9.140625" style="5" customWidth="1"/>
    <col min="4" max="4" width="6.140625" style="5" customWidth="1"/>
    <col min="5" max="5" width="7.7109375" style="5" customWidth="1"/>
    <col min="6" max="6" width="4.28515625" style="5" customWidth="1"/>
    <col min="7" max="7" width="5.140625" style="5" customWidth="1"/>
    <col min="8" max="8" width="4.5703125" style="5" customWidth="1"/>
    <col min="9" max="9" width="4.85546875" style="5" customWidth="1"/>
    <col min="10" max="10" width="4.28515625" style="5" customWidth="1"/>
    <col min="11" max="11" width="7" style="5" customWidth="1"/>
    <col min="12" max="12" width="12.42578125" style="5" customWidth="1"/>
    <col min="13" max="13" width="13.42578125" style="5" customWidth="1"/>
    <col min="14" max="14" width="9.85546875" style="5" customWidth="1"/>
    <col min="15" max="15" width="8.5703125" style="5" customWidth="1"/>
    <col min="16" max="16" width="3.28515625" style="5" customWidth="1"/>
    <col min="17" max="16384" width="11.42578125" style="5"/>
  </cols>
  <sheetData>
    <row r="1" spans="2:25" ht="20.100000000000001" customHeight="1" x14ac:dyDescent="0.45"/>
    <row r="2" spans="2:25" ht="27.75" customHeight="1" x14ac:dyDescent="0.45">
      <c r="B2" s="221"/>
      <c r="C2" s="223" t="s">
        <v>303</v>
      </c>
      <c r="D2" s="189"/>
      <c r="E2" s="189"/>
      <c r="F2" s="189"/>
      <c r="G2" s="189"/>
      <c r="H2" s="189"/>
      <c r="I2" s="189"/>
      <c r="J2" s="189"/>
      <c r="K2" s="189"/>
      <c r="L2" s="189"/>
      <c r="M2" s="225" t="s">
        <v>184</v>
      </c>
      <c r="N2" s="226"/>
      <c r="O2" s="227"/>
    </row>
    <row r="3" spans="2:25" ht="27.75" customHeight="1" x14ac:dyDescent="0.45">
      <c r="B3" s="222"/>
      <c r="C3" s="224"/>
      <c r="D3" s="193"/>
      <c r="E3" s="193"/>
      <c r="F3" s="193"/>
      <c r="G3" s="193"/>
      <c r="H3" s="193"/>
      <c r="I3" s="193"/>
      <c r="J3" s="193"/>
      <c r="K3" s="193"/>
      <c r="L3" s="193"/>
      <c r="M3" s="228"/>
      <c r="N3" s="229"/>
      <c r="O3" s="230"/>
    </row>
    <row r="4" spans="2:25" x14ac:dyDescent="0.45">
      <c r="B4" s="6" t="s">
        <v>168</v>
      </c>
      <c r="C4" s="231">
        <f>BN!C4</f>
        <v>0</v>
      </c>
      <c r="D4" s="232"/>
      <c r="E4" s="232"/>
      <c r="F4" s="233"/>
      <c r="G4" s="233"/>
      <c r="H4" s="233"/>
      <c r="I4" s="233"/>
      <c r="J4" s="233"/>
      <c r="K4" s="233"/>
      <c r="L4" s="7" t="s">
        <v>59</v>
      </c>
      <c r="M4" s="8" t="str">
        <f>REFLEXION!H6</f>
        <v>02/02/2020</v>
      </c>
      <c r="N4" s="8"/>
      <c r="O4" s="9"/>
    </row>
    <row r="5" spans="2:25" x14ac:dyDescent="0.45">
      <c r="B5" s="10" t="s">
        <v>169</v>
      </c>
      <c r="C5" s="11">
        <f>DATOS!E9</f>
        <v>0</v>
      </c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4"/>
      <c r="P5" s="15"/>
      <c r="Q5" s="16"/>
      <c r="R5" s="16"/>
      <c r="S5" s="16"/>
    </row>
    <row r="6" spans="2:25" x14ac:dyDescent="0.45">
      <c r="B6" s="17" t="s">
        <v>132</v>
      </c>
      <c r="C6" s="236" t="s">
        <v>170</v>
      </c>
      <c r="D6" s="236"/>
      <c r="E6" s="236"/>
      <c r="F6" s="236"/>
      <c r="G6" s="236"/>
      <c r="H6" s="236"/>
      <c r="I6" s="236"/>
      <c r="J6" s="236"/>
      <c r="K6" s="18"/>
      <c r="L6" s="19"/>
      <c r="M6" s="18"/>
      <c r="N6" s="18"/>
      <c r="O6" s="96"/>
      <c r="S6" s="12"/>
      <c r="T6" s="12"/>
      <c r="U6" s="12"/>
      <c r="V6" s="12"/>
      <c r="W6" s="12"/>
    </row>
    <row r="7" spans="2:25" ht="15" customHeight="1" x14ac:dyDescent="0.45">
      <c r="B7" s="237" t="s">
        <v>133</v>
      </c>
      <c r="C7" s="233"/>
      <c r="D7" s="21"/>
      <c r="E7" s="22" t="s">
        <v>134</v>
      </c>
      <c r="F7" s="21"/>
      <c r="G7" s="21"/>
      <c r="H7" s="22"/>
      <c r="I7" s="22"/>
      <c r="J7" s="22"/>
      <c r="K7" s="22"/>
      <c r="L7" s="22"/>
      <c r="M7" s="22" t="s">
        <v>140</v>
      </c>
      <c r="N7" s="22"/>
      <c r="O7" s="23"/>
      <c r="S7" s="12"/>
      <c r="T7" s="12"/>
      <c r="U7" s="12"/>
      <c r="V7" s="12"/>
      <c r="W7" s="12"/>
    </row>
    <row r="8" spans="2:25" ht="15" customHeight="1" x14ac:dyDescent="0.45">
      <c r="B8" s="24"/>
      <c r="C8" s="25"/>
      <c r="D8" s="25"/>
      <c r="E8" s="12" t="s">
        <v>135</v>
      </c>
      <c r="F8" s="25"/>
      <c r="G8" s="25"/>
      <c r="H8" s="12"/>
      <c r="I8" s="12"/>
      <c r="J8" s="12"/>
      <c r="K8" s="12"/>
      <c r="L8" s="12"/>
      <c r="M8" s="12" t="s">
        <v>141</v>
      </c>
      <c r="N8" s="12"/>
      <c r="O8" s="26"/>
      <c r="S8" s="12"/>
      <c r="T8" s="12"/>
      <c r="U8" s="12"/>
      <c r="V8" s="12"/>
      <c r="W8" s="12"/>
    </row>
    <row r="9" spans="2:25" ht="15" customHeight="1" x14ac:dyDescent="0.45">
      <c r="B9" s="27"/>
      <c r="C9" s="12"/>
      <c r="D9" s="12"/>
      <c r="E9" s="12" t="s">
        <v>142</v>
      </c>
      <c r="F9" s="12"/>
      <c r="G9" s="12"/>
      <c r="H9" s="12"/>
      <c r="I9" s="12"/>
      <c r="J9" s="12"/>
      <c r="K9" s="12"/>
      <c r="L9" s="12"/>
      <c r="M9" s="12" t="s">
        <v>143</v>
      </c>
      <c r="N9" s="12"/>
      <c r="O9" s="26"/>
      <c r="S9" s="12"/>
      <c r="T9" s="12"/>
      <c r="U9" s="12"/>
      <c r="V9" s="12"/>
      <c r="W9" s="12"/>
    </row>
    <row r="10" spans="2:25" ht="15" customHeight="1" x14ac:dyDescent="0.45">
      <c r="B10" s="28"/>
      <c r="C10" s="29"/>
      <c r="D10" s="29"/>
      <c r="E10" s="29" t="s">
        <v>144</v>
      </c>
      <c r="F10" s="29"/>
      <c r="G10" s="29"/>
      <c r="H10" s="29"/>
      <c r="I10" s="29"/>
      <c r="J10" s="29"/>
      <c r="K10" s="29"/>
      <c r="L10" s="29"/>
      <c r="M10" s="29"/>
      <c r="N10" s="29"/>
      <c r="O10" s="30"/>
      <c r="S10" s="12"/>
      <c r="T10" s="12"/>
      <c r="U10" s="12"/>
      <c r="V10" s="12"/>
      <c r="W10" s="12"/>
    </row>
    <row r="11" spans="2:25" ht="15" customHeight="1" x14ac:dyDescent="0.4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S11" s="12"/>
      <c r="T11" s="12"/>
      <c r="U11" s="12"/>
      <c r="V11" s="12"/>
      <c r="W11" s="12"/>
    </row>
    <row r="12" spans="2:25" ht="15" customHeight="1" x14ac:dyDescent="0.45">
      <c r="B12" s="234" t="s">
        <v>304</v>
      </c>
      <c r="C12" s="234"/>
      <c r="D12" s="234"/>
      <c r="E12" s="234"/>
      <c r="F12" s="234"/>
      <c r="G12" s="234"/>
      <c r="H12" s="25"/>
      <c r="I12" s="25"/>
      <c r="J12" s="25"/>
      <c r="K12" s="234" t="s">
        <v>305</v>
      </c>
      <c r="L12" s="234"/>
      <c r="M12" s="234"/>
      <c r="N12" s="234"/>
      <c r="O12" s="234"/>
      <c r="S12" s="12"/>
      <c r="T12" s="12"/>
      <c r="U12" s="12"/>
      <c r="V12" s="12"/>
      <c r="W12" s="12"/>
    </row>
    <row r="13" spans="2:25" ht="15" customHeight="1" x14ac:dyDescent="0.45">
      <c r="B13" s="218"/>
      <c r="C13" s="218"/>
      <c r="D13" s="218"/>
      <c r="E13" s="218"/>
      <c r="F13" s="218"/>
      <c r="G13" s="218"/>
      <c r="H13" s="31"/>
      <c r="I13" s="31"/>
      <c r="J13" s="31"/>
      <c r="K13" s="218"/>
      <c r="L13" s="218"/>
      <c r="M13" s="218"/>
      <c r="N13" s="218"/>
      <c r="O13" s="218"/>
    </row>
    <row r="14" spans="2:25" ht="15" customHeight="1" x14ac:dyDescent="0.45">
      <c r="B14" s="218"/>
      <c r="C14" s="218"/>
      <c r="D14" s="218"/>
      <c r="E14" s="218"/>
      <c r="F14" s="218"/>
      <c r="G14" s="218"/>
      <c r="H14" s="31"/>
      <c r="I14" s="31"/>
      <c r="J14" s="31"/>
      <c r="K14" s="218"/>
      <c r="L14" s="218"/>
      <c r="M14" s="218"/>
      <c r="N14" s="218"/>
      <c r="O14" s="218"/>
      <c r="S14" s="32" t="s">
        <v>275</v>
      </c>
      <c r="T14" s="32"/>
      <c r="U14" s="32"/>
      <c r="V14" s="32"/>
      <c r="W14" s="32"/>
      <c r="X14" s="32"/>
      <c r="Y14" s="32"/>
    </row>
    <row r="15" spans="2:25" ht="13.5" customHeight="1" x14ac:dyDescent="0.45">
      <c r="B15" s="218"/>
      <c r="C15" s="218"/>
      <c r="D15" s="218"/>
      <c r="E15" s="218"/>
      <c r="F15" s="218"/>
      <c r="G15" s="218"/>
      <c r="H15" s="31"/>
      <c r="I15" s="31"/>
      <c r="J15" s="31"/>
      <c r="K15" s="218"/>
      <c r="L15" s="218"/>
      <c r="M15" s="218"/>
      <c r="N15" s="218"/>
      <c r="O15" s="218"/>
      <c r="S15" s="33"/>
      <c r="T15" s="33"/>
      <c r="U15" s="33"/>
      <c r="V15" s="33"/>
      <c r="W15" s="33"/>
      <c r="X15" s="33"/>
      <c r="Y15" s="33"/>
    </row>
    <row r="16" spans="2:25" ht="13.5" customHeight="1" x14ac:dyDescent="0.45">
      <c r="B16" s="218"/>
      <c r="C16" s="218"/>
      <c r="D16" s="218"/>
      <c r="E16" s="218"/>
      <c r="F16" s="218"/>
      <c r="G16" s="218"/>
      <c r="H16" s="31"/>
      <c r="I16" s="31"/>
      <c r="J16" s="31"/>
      <c r="K16" s="218"/>
      <c r="L16" s="218"/>
      <c r="M16" s="218"/>
      <c r="N16" s="218"/>
      <c r="O16" s="218"/>
      <c r="S16" s="33"/>
      <c r="T16" s="33"/>
      <c r="U16" s="33"/>
      <c r="V16" s="33"/>
      <c r="W16" s="33"/>
      <c r="X16" s="33"/>
      <c r="Y16" s="33"/>
    </row>
    <row r="17" spans="2:25" ht="13.5" customHeight="1" x14ac:dyDescent="0.45">
      <c r="B17" s="218"/>
      <c r="C17" s="218"/>
      <c r="D17" s="218"/>
      <c r="E17" s="218"/>
      <c r="F17" s="218"/>
      <c r="G17" s="218"/>
      <c r="H17" s="31"/>
      <c r="I17" s="31"/>
      <c r="J17" s="31"/>
      <c r="K17" s="218"/>
      <c r="L17" s="218"/>
      <c r="M17" s="218"/>
      <c r="N17" s="218"/>
      <c r="O17" s="218"/>
      <c r="S17" s="33"/>
      <c r="T17" s="33"/>
      <c r="U17" s="33"/>
      <c r="V17" s="33"/>
      <c r="W17" s="33"/>
      <c r="X17" s="33"/>
      <c r="Y17" s="33"/>
    </row>
    <row r="18" spans="2:25" ht="13.5" customHeight="1" x14ac:dyDescent="0.45">
      <c r="B18" s="218"/>
      <c r="C18" s="218"/>
      <c r="D18" s="218"/>
      <c r="E18" s="218"/>
      <c r="F18" s="218"/>
      <c r="G18" s="218"/>
      <c r="H18" s="31"/>
      <c r="I18" s="31"/>
      <c r="J18" s="31"/>
      <c r="K18" s="218"/>
      <c r="L18" s="218"/>
      <c r="M18" s="218"/>
      <c r="N18" s="218"/>
      <c r="O18" s="218"/>
      <c r="S18" s="33"/>
      <c r="T18" s="33"/>
      <c r="U18" s="33"/>
      <c r="V18" s="33"/>
      <c r="W18" s="33"/>
      <c r="X18" s="33"/>
      <c r="Y18" s="33"/>
    </row>
    <row r="19" spans="2:25" ht="13.5" customHeight="1" x14ac:dyDescent="0.45">
      <c r="B19" s="218"/>
      <c r="C19" s="218"/>
      <c r="D19" s="218"/>
      <c r="E19" s="218"/>
      <c r="F19" s="218"/>
      <c r="G19" s="218"/>
      <c r="H19" s="31"/>
      <c r="I19" s="31"/>
      <c r="J19" s="31"/>
      <c r="K19" s="218"/>
      <c r="L19" s="218"/>
      <c r="M19" s="218"/>
      <c r="N19" s="218"/>
      <c r="O19" s="218"/>
      <c r="S19" s="33"/>
      <c r="T19" s="33"/>
      <c r="U19" s="33"/>
      <c r="V19" s="33"/>
      <c r="W19" s="33"/>
      <c r="X19" s="33"/>
      <c r="Y19" s="33"/>
    </row>
    <row r="20" spans="2:25" ht="13.5" customHeight="1" x14ac:dyDescent="0.45">
      <c r="B20" s="218"/>
      <c r="C20" s="218"/>
      <c r="D20" s="218"/>
      <c r="E20" s="218"/>
      <c r="F20" s="218"/>
      <c r="G20" s="218"/>
      <c r="H20" s="31"/>
      <c r="I20" s="31"/>
      <c r="J20" s="31"/>
      <c r="K20" s="218"/>
      <c r="L20" s="218"/>
      <c r="M20" s="218"/>
      <c r="N20" s="218"/>
      <c r="O20" s="218"/>
      <c r="S20" s="33"/>
      <c r="T20" s="33"/>
      <c r="U20" s="33"/>
      <c r="V20" s="33"/>
      <c r="W20" s="33"/>
      <c r="X20" s="33"/>
      <c r="Y20" s="33"/>
    </row>
    <row r="21" spans="2:25" ht="13.5" customHeight="1" x14ac:dyDescent="0.45">
      <c r="B21" s="218"/>
      <c r="C21" s="218"/>
      <c r="D21" s="218"/>
      <c r="E21" s="218"/>
      <c r="F21" s="218"/>
      <c r="G21" s="218"/>
      <c r="H21" s="31"/>
      <c r="I21" s="31"/>
      <c r="J21" s="31"/>
      <c r="K21" s="218"/>
      <c r="L21" s="218"/>
      <c r="M21" s="218"/>
      <c r="N21" s="218"/>
      <c r="O21" s="218"/>
      <c r="S21" s="33"/>
      <c r="T21" s="33"/>
      <c r="U21" s="33"/>
      <c r="V21" s="33"/>
      <c r="W21" s="33"/>
      <c r="X21" s="33"/>
      <c r="Y21" s="33"/>
    </row>
    <row r="22" spans="2:25" ht="13.5" customHeight="1" x14ac:dyDescent="0.45">
      <c r="B22" s="218"/>
      <c r="C22" s="218"/>
      <c r="D22" s="218"/>
      <c r="E22" s="218"/>
      <c r="F22" s="218"/>
      <c r="G22" s="218"/>
      <c r="H22" s="31"/>
      <c r="I22" s="31"/>
      <c r="J22" s="31"/>
      <c r="K22" s="218"/>
      <c r="L22" s="218"/>
      <c r="M22" s="218"/>
      <c r="N22" s="218"/>
      <c r="O22" s="218"/>
      <c r="S22" s="33"/>
      <c r="T22" s="33"/>
      <c r="U22" s="33"/>
      <c r="V22" s="33"/>
      <c r="W22" s="33"/>
      <c r="X22" s="33"/>
      <c r="Y22" s="33"/>
    </row>
    <row r="23" spans="2:25" ht="13.5" customHeight="1" x14ac:dyDescent="0.45">
      <c r="B23" s="218"/>
      <c r="C23" s="218"/>
      <c r="D23" s="218"/>
      <c r="E23" s="218"/>
      <c r="F23" s="218"/>
      <c r="G23" s="218"/>
      <c r="H23" s="31"/>
      <c r="I23" s="31"/>
      <c r="J23" s="31"/>
      <c r="K23" s="218"/>
      <c r="L23" s="218"/>
      <c r="M23" s="218"/>
      <c r="N23" s="218"/>
      <c r="O23" s="218"/>
      <c r="S23" s="33"/>
      <c r="T23" s="33"/>
      <c r="U23" s="33"/>
      <c r="V23" s="33"/>
      <c r="W23" s="33"/>
      <c r="X23" s="33"/>
      <c r="Y23" s="33"/>
    </row>
    <row r="24" spans="2:25" ht="13.5" customHeight="1" x14ac:dyDescent="0.45">
      <c r="B24" s="218"/>
      <c r="C24" s="218"/>
      <c r="D24" s="218"/>
      <c r="E24" s="218"/>
      <c r="F24" s="218"/>
      <c r="G24" s="218"/>
      <c r="H24" s="31"/>
      <c r="I24" s="31"/>
      <c r="J24" s="31"/>
      <c r="K24" s="218"/>
      <c r="L24" s="218"/>
      <c r="M24" s="218"/>
      <c r="N24" s="218"/>
      <c r="O24" s="218"/>
      <c r="S24" s="33"/>
      <c r="T24" s="33"/>
      <c r="U24" s="33"/>
      <c r="V24" s="33"/>
      <c r="W24" s="33"/>
      <c r="X24" s="33"/>
      <c r="Y24" s="33"/>
    </row>
    <row r="25" spans="2:25" ht="13.5" customHeight="1" x14ac:dyDescent="0.45">
      <c r="B25" s="218"/>
      <c r="C25" s="218"/>
      <c r="D25" s="218"/>
      <c r="E25" s="218"/>
      <c r="F25" s="218"/>
      <c r="G25" s="218"/>
      <c r="H25" s="31"/>
      <c r="I25" s="31"/>
      <c r="J25" s="31"/>
      <c r="K25" s="218"/>
      <c r="L25" s="218"/>
      <c r="M25" s="218"/>
      <c r="N25" s="218"/>
      <c r="O25" s="218"/>
      <c r="S25" s="33"/>
      <c r="T25" s="33"/>
      <c r="U25" s="33"/>
      <c r="V25" s="33"/>
      <c r="W25" s="33"/>
      <c r="X25" s="33"/>
      <c r="Y25" s="33"/>
    </row>
    <row r="26" spans="2:25" ht="13.5" customHeight="1" x14ac:dyDescent="0.45">
      <c r="B26" s="218"/>
      <c r="C26" s="218"/>
      <c r="D26" s="218"/>
      <c r="E26" s="218"/>
      <c r="F26" s="218"/>
      <c r="G26" s="218"/>
      <c r="H26" s="31"/>
      <c r="I26" s="31"/>
      <c r="J26" s="31"/>
      <c r="K26" s="218"/>
      <c r="L26" s="218"/>
      <c r="M26" s="218"/>
      <c r="N26" s="218"/>
      <c r="O26" s="218"/>
      <c r="S26" s="33"/>
      <c r="T26" s="33"/>
      <c r="U26" s="33"/>
      <c r="V26" s="33"/>
      <c r="W26" s="33"/>
      <c r="X26" s="33"/>
      <c r="Y26" s="33"/>
    </row>
    <row r="27" spans="2:25" ht="13.5" customHeight="1" x14ac:dyDescent="0.45">
      <c r="B27" s="218"/>
      <c r="C27" s="218"/>
      <c r="D27" s="218"/>
      <c r="E27" s="218"/>
      <c r="F27" s="218"/>
      <c r="G27" s="218"/>
      <c r="H27" s="31"/>
      <c r="I27" s="31"/>
      <c r="J27" s="31"/>
      <c r="K27" s="218"/>
      <c r="L27" s="218"/>
      <c r="M27" s="218"/>
      <c r="N27" s="218"/>
      <c r="O27" s="218"/>
      <c r="S27" s="33"/>
      <c r="T27" s="33"/>
      <c r="U27" s="33"/>
      <c r="V27" s="33"/>
      <c r="W27" s="33"/>
      <c r="X27" s="33"/>
      <c r="Y27" s="33"/>
    </row>
    <row r="28" spans="2:25" ht="13.5" customHeight="1" x14ac:dyDescent="0.45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S28" s="33"/>
      <c r="T28" s="33"/>
      <c r="U28" s="33"/>
      <c r="V28" s="33"/>
      <c r="W28" s="33"/>
      <c r="X28" s="33"/>
      <c r="Y28" s="33"/>
    </row>
    <row r="29" spans="2:25" ht="13.5" customHeight="1" x14ac:dyDescent="0.45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S29" s="33"/>
      <c r="T29" s="33"/>
      <c r="U29" s="33"/>
      <c r="V29" s="33"/>
      <c r="W29" s="33"/>
      <c r="X29" s="33"/>
      <c r="Y29" s="33"/>
    </row>
    <row r="30" spans="2:25" ht="15" customHeight="1" x14ac:dyDescent="0.45">
      <c r="B30" s="234" t="s">
        <v>306</v>
      </c>
      <c r="C30" s="234"/>
      <c r="D30" s="234"/>
      <c r="E30" s="234"/>
      <c r="F30" s="234"/>
      <c r="G30" s="234"/>
      <c r="H30" s="25"/>
      <c r="I30" s="25"/>
      <c r="J30" s="25"/>
      <c r="K30" s="234" t="s">
        <v>307</v>
      </c>
      <c r="L30" s="234"/>
      <c r="M30" s="234"/>
      <c r="N30" s="234"/>
      <c r="O30" s="234"/>
      <c r="S30" s="33"/>
      <c r="T30" s="33"/>
      <c r="U30" s="33"/>
      <c r="V30" s="33"/>
      <c r="W30" s="33"/>
      <c r="X30" s="33"/>
      <c r="Y30" s="33"/>
    </row>
    <row r="31" spans="2:25" ht="13.5" customHeight="1" x14ac:dyDescent="0.45">
      <c r="B31" s="235"/>
      <c r="C31" s="235"/>
      <c r="D31" s="235"/>
      <c r="E31" s="235"/>
      <c r="F31" s="235"/>
      <c r="G31" s="235"/>
      <c r="H31" s="25"/>
      <c r="I31" s="25"/>
      <c r="J31" s="25"/>
      <c r="K31" s="235"/>
      <c r="L31" s="235"/>
      <c r="M31" s="235"/>
      <c r="N31" s="235"/>
      <c r="O31" s="235"/>
      <c r="S31" s="33"/>
      <c r="T31" s="33"/>
      <c r="U31" s="33"/>
      <c r="V31" s="33"/>
      <c r="W31" s="33"/>
      <c r="X31" s="33"/>
      <c r="Y31" s="33"/>
    </row>
    <row r="32" spans="2:25" ht="13.5" customHeight="1" x14ac:dyDescent="0.45">
      <c r="B32" s="235"/>
      <c r="C32" s="235"/>
      <c r="D32" s="235"/>
      <c r="E32" s="235"/>
      <c r="F32" s="235"/>
      <c r="G32" s="235"/>
      <c r="H32" s="25"/>
      <c r="I32" s="25"/>
      <c r="J32" s="25"/>
      <c r="K32" s="235"/>
      <c r="L32" s="235"/>
      <c r="M32" s="235"/>
      <c r="N32" s="235"/>
      <c r="O32" s="235"/>
      <c r="S32" s="33"/>
      <c r="T32" s="33"/>
      <c r="U32" s="33"/>
      <c r="V32" s="33"/>
      <c r="W32" s="33"/>
      <c r="X32" s="33"/>
      <c r="Y32" s="33"/>
    </row>
    <row r="33" spans="2:33" ht="13.5" customHeight="1" x14ac:dyDescent="0.45">
      <c r="B33" s="235"/>
      <c r="C33" s="235"/>
      <c r="D33" s="235"/>
      <c r="E33" s="235"/>
      <c r="F33" s="235"/>
      <c r="G33" s="235"/>
      <c r="H33" s="25"/>
      <c r="I33" s="25"/>
      <c r="J33" s="25"/>
      <c r="K33" s="235"/>
      <c r="L33" s="235"/>
      <c r="M33" s="235"/>
      <c r="N33" s="235"/>
      <c r="O33" s="235"/>
      <c r="S33" s="33"/>
      <c r="T33" s="33"/>
      <c r="U33" s="33"/>
      <c r="V33" s="33"/>
      <c r="W33" s="33"/>
      <c r="X33" s="33"/>
      <c r="Y33" s="33"/>
    </row>
    <row r="34" spans="2:33" ht="13.5" customHeight="1" x14ac:dyDescent="0.45">
      <c r="B34" s="235"/>
      <c r="C34" s="235"/>
      <c r="D34" s="235"/>
      <c r="E34" s="235"/>
      <c r="F34" s="235"/>
      <c r="G34" s="235"/>
      <c r="H34" s="25"/>
      <c r="I34" s="25"/>
      <c r="J34" s="25"/>
      <c r="K34" s="235"/>
      <c r="L34" s="235"/>
      <c r="M34" s="235"/>
      <c r="N34" s="235"/>
      <c r="O34" s="235"/>
      <c r="S34" s="33"/>
      <c r="T34" s="33"/>
      <c r="U34" s="33"/>
      <c r="V34" s="33"/>
      <c r="W34" s="33"/>
      <c r="X34" s="33"/>
      <c r="Y34" s="33"/>
    </row>
    <row r="35" spans="2:33" ht="13.5" customHeight="1" x14ac:dyDescent="0.45">
      <c r="B35" s="235"/>
      <c r="C35" s="235"/>
      <c r="D35" s="235"/>
      <c r="E35" s="235"/>
      <c r="F35" s="235"/>
      <c r="G35" s="235"/>
      <c r="H35" s="25"/>
      <c r="I35" s="25"/>
      <c r="J35" s="25"/>
      <c r="K35" s="235"/>
      <c r="L35" s="235"/>
      <c r="M35" s="235"/>
      <c r="N35" s="235"/>
      <c r="O35" s="235"/>
      <c r="S35" s="33"/>
      <c r="T35" s="33"/>
      <c r="U35" s="33"/>
      <c r="V35" s="33"/>
      <c r="W35" s="33"/>
      <c r="X35" s="33"/>
      <c r="Y35" s="33"/>
    </row>
    <row r="36" spans="2:33" ht="15" customHeight="1" x14ac:dyDescent="0.45">
      <c r="B36" s="235"/>
      <c r="C36" s="235"/>
      <c r="D36" s="235"/>
      <c r="E36" s="235"/>
      <c r="F36" s="235"/>
      <c r="G36" s="235"/>
      <c r="H36" s="25"/>
      <c r="I36" s="25"/>
      <c r="J36" s="25"/>
      <c r="K36" s="235"/>
      <c r="L36" s="235"/>
      <c r="M36" s="235"/>
      <c r="N36" s="235"/>
      <c r="O36" s="235"/>
      <c r="S36" s="33"/>
      <c r="T36" s="33"/>
      <c r="U36" s="33"/>
      <c r="V36" s="33"/>
      <c r="W36" s="33"/>
      <c r="X36" s="33"/>
      <c r="Y36" s="33"/>
    </row>
    <row r="37" spans="2:33" ht="15" customHeight="1" x14ac:dyDescent="0.45">
      <c r="B37" s="235"/>
      <c r="C37" s="235"/>
      <c r="D37" s="235"/>
      <c r="E37" s="235"/>
      <c r="F37" s="235"/>
      <c r="G37" s="235"/>
      <c r="H37" s="25"/>
      <c r="I37" s="25"/>
      <c r="J37" s="25"/>
      <c r="K37" s="235"/>
      <c r="L37" s="235"/>
      <c r="M37" s="235"/>
      <c r="N37" s="235"/>
      <c r="O37" s="235"/>
      <c r="S37" s="33"/>
      <c r="T37" s="33"/>
      <c r="U37" s="33"/>
      <c r="V37" s="33"/>
      <c r="W37" s="33"/>
      <c r="X37" s="33"/>
      <c r="Y37" s="33"/>
    </row>
    <row r="38" spans="2:33" ht="15" customHeight="1" x14ac:dyDescent="0.45">
      <c r="B38" s="235"/>
      <c r="C38" s="235"/>
      <c r="D38" s="235"/>
      <c r="E38" s="235"/>
      <c r="F38" s="235"/>
      <c r="G38" s="235"/>
      <c r="H38" s="25"/>
      <c r="I38" s="25"/>
      <c r="J38" s="25"/>
      <c r="K38" s="235"/>
      <c r="L38" s="235"/>
      <c r="M38" s="235"/>
      <c r="N38" s="235"/>
      <c r="O38" s="235"/>
      <c r="S38" s="33"/>
      <c r="T38" s="33"/>
      <c r="U38" s="33"/>
      <c r="V38" s="33"/>
      <c r="W38" s="33"/>
      <c r="X38" s="33"/>
      <c r="Y38" s="33"/>
    </row>
    <row r="39" spans="2:33" ht="15" customHeight="1" x14ac:dyDescent="0.45">
      <c r="B39" s="235"/>
      <c r="C39" s="235"/>
      <c r="D39" s="235"/>
      <c r="E39" s="235"/>
      <c r="F39" s="235"/>
      <c r="G39" s="235"/>
      <c r="H39" s="25"/>
      <c r="I39" s="25"/>
      <c r="J39" s="25"/>
      <c r="K39" s="235"/>
      <c r="L39" s="235"/>
      <c r="M39" s="235"/>
      <c r="N39" s="235"/>
      <c r="O39" s="235"/>
      <c r="S39" s="33"/>
      <c r="T39" s="33"/>
      <c r="U39" s="33"/>
      <c r="V39" s="33"/>
      <c r="W39" s="33"/>
      <c r="X39" s="33"/>
      <c r="Y39" s="33"/>
    </row>
    <row r="40" spans="2:33" ht="15" customHeight="1" x14ac:dyDescent="0.45">
      <c r="B40" s="235"/>
      <c r="C40" s="235"/>
      <c r="D40" s="235"/>
      <c r="E40" s="235"/>
      <c r="F40" s="235"/>
      <c r="G40" s="235"/>
      <c r="H40" s="25"/>
      <c r="I40" s="25"/>
      <c r="J40" s="25"/>
      <c r="K40" s="235"/>
      <c r="L40" s="235"/>
      <c r="M40" s="235"/>
      <c r="N40" s="235"/>
      <c r="O40" s="235"/>
      <c r="S40" s="33"/>
      <c r="T40" s="33"/>
      <c r="U40" s="33"/>
      <c r="V40" s="33"/>
      <c r="W40" s="33"/>
      <c r="X40" s="33"/>
      <c r="Y40" s="33"/>
    </row>
    <row r="41" spans="2:33" ht="15" customHeight="1" x14ac:dyDescent="0.45">
      <c r="B41" s="235"/>
      <c r="C41" s="235"/>
      <c r="D41" s="235"/>
      <c r="E41" s="235"/>
      <c r="F41" s="235"/>
      <c r="G41" s="235"/>
      <c r="H41" s="25"/>
      <c r="I41" s="25"/>
      <c r="J41" s="25"/>
      <c r="K41" s="235"/>
      <c r="L41" s="235"/>
      <c r="M41" s="235"/>
      <c r="N41" s="235"/>
      <c r="O41" s="235"/>
      <c r="S41" s="33"/>
      <c r="T41" s="33"/>
      <c r="U41" s="33"/>
      <c r="V41" s="33"/>
      <c r="W41" s="33"/>
      <c r="X41" s="33"/>
      <c r="Y41" s="33"/>
    </row>
    <row r="42" spans="2:33" ht="15" customHeight="1" x14ac:dyDescent="0.45">
      <c r="B42" s="235"/>
      <c r="C42" s="235"/>
      <c r="D42" s="235"/>
      <c r="E42" s="235"/>
      <c r="F42" s="235"/>
      <c r="G42" s="235"/>
      <c r="H42" s="25"/>
      <c r="I42" s="25"/>
      <c r="J42" s="25"/>
      <c r="K42" s="235"/>
      <c r="L42" s="235"/>
      <c r="M42" s="235"/>
      <c r="N42" s="235"/>
      <c r="O42" s="235"/>
      <c r="S42" s="33"/>
      <c r="T42" s="33"/>
      <c r="U42" s="33"/>
      <c r="V42" s="33"/>
      <c r="W42" s="33"/>
      <c r="X42" s="33"/>
      <c r="Y42" s="33"/>
    </row>
    <row r="43" spans="2:33" ht="15" customHeight="1" x14ac:dyDescent="0.45">
      <c r="B43" s="235"/>
      <c r="C43" s="235"/>
      <c r="D43" s="235"/>
      <c r="E43" s="235"/>
      <c r="F43" s="235"/>
      <c r="G43" s="235"/>
      <c r="H43" s="25"/>
      <c r="I43" s="25"/>
      <c r="J43" s="25"/>
      <c r="K43" s="235"/>
      <c r="L43" s="235"/>
      <c r="M43" s="235"/>
      <c r="N43" s="235"/>
      <c r="O43" s="235"/>
      <c r="S43" s="33"/>
      <c r="T43" s="33"/>
      <c r="U43" s="33"/>
      <c r="V43" s="33"/>
      <c r="W43" s="33"/>
      <c r="X43" s="33"/>
      <c r="Y43" s="33"/>
    </row>
    <row r="44" spans="2:33" ht="15" customHeight="1" x14ac:dyDescent="0.45">
      <c r="B44" s="235"/>
      <c r="C44" s="235"/>
      <c r="D44" s="235"/>
      <c r="E44" s="235"/>
      <c r="F44" s="235"/>
      <c r="G44" s="235"/>
      <c r="H44" s="25"/>
      <c r="I44" s="25"/>
      <c r="J44" s="25"/>
      <c r="K44" s="235"/>
      <c r="L44" s="235"/>
      <c r="M44" s="235"/>
      <c r="N44" s="235"/>
      <c r="O44" s="235"/>
      <c r="S44" s="33"/>
      <c r="T44" s="33"/>
      <c r="U44" s="33"/>
      <c r="V44" s="33"/>
      <c r="W44" s="33"/>
      <c r="X44" s="33"/>
      <c r="Y44" s="33"/>
    </row>
    <row r="45" spans="2:33" ht="15" customHeight="1" x14ac:dyDescent="0.45">
      <c r="B45" s="235"/>
      <c r="C45" s="235"/>
      <c r="D45" s="235"/>
      <c r="E45" s="235"/>
      <c r="F45" s="235"/>
      <c r="G45" s="235"/>
      <c r="H45" s="25"/>
      <c r="I45" s="25"/>
      <c r="J45" s="25"/>
      <c r="K45" s="235"/>
      <c r="L45" s="235"/>
      <c r="M45" s="235"/>
      <c r="N45" s="235"/>
      <c r="O45" s="235"/>
      <c r="S45" s="33"/>
      <c r="T45" s="33"/>
      <c r="U45" s="33"/>
      <c r="V45" s="33"/>
      <c r="W45" s="33"/>
      <c r="X45" s="33"/>
      <c r="Y45" s="33"/>
    </row>
    <row r="46" spans="2:33" ht="15" customHeight="1" x14ac:dyDescent="0.45">
      <c r="B46" s="34"/>
      <c r="C46" s="34"/>
      <c r="D46" s="34"/>
      <c r="E46" s="34"/>
      <c r="F46" s="34"/>
      <c r="G46" s="34"/>
      <c r="H46" s="35"/>
      <c r="I46" s="35"/>
      <c r="J46" s="35"/>
      <c r="K46" s="34"/>
      <c r="L46" s="34"/>
      <c r="M46" s="34"/>
      <c r="N46" s="34"/>
      <c r="O46" s="34"/>
    </row>
    <row r="47" spans="2:33" ht="15" customHeight="1" x14ac:dyDescent="0.45"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V47" s="36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</row>
    <row r="48" spans="2:33" ht="15" customHeight="1" x14ac:dyDescent="0.45">
      <c r="B48" s="238" t="s">
        <v>376</v>
      </c>
      <c r="C48" s="238"/>
      <c r="D48" s="37"/>
      <c r="E48" s="37"/>
      <c r="F48" s="239"/>
      <c r="G48" s="239"/>
      <c r="H48" s="239"/>
      <c r="I48" s="239"/>
      <c r="J48" s="239"/>
      <c r="K48" s="239"/>
      <c r="L48" s="37"/>
      <c r="M48" s="238" t="s">
        <v>382</v>
      </c>
      <c r="N48" s="238"/>
      <c r="O48" s="238"/>
    </row>
    <row r="49" spans="2:42" ht="15" customHeight="1" x14ac:dyDescent="0.45">
      <c r="B49" s="240" t="s">
        <v>58</v>
      </c>
      <c r="C49" s="240"/>
      <c r="D49" s="34"/>
      <c r="E49" s="34"/>
      <c r="F49" s="240" t="s">
        <v>348</v>
      </c>
      <c r="G49" s="240"/>
      <c r="H49" s="240"/>
      <c r="I49" s="240"/>
      <c r="J49" s="240"/>
      <c r="K49" s="240"/>
      <c r="L49" s="34"/>
      <c r="M49" s="240" t="s">
        <v>125</v>
      </c>
      <c r="N49" s="240"/>
      <c r="O49" s="240"/>
    </row>
    <row r="50" spans="2:42" ht="15" customHeight="1" x14ac:dyDescent="0.45">
      <c r="B50" s="35"/>
      <c r="C50" s="38"/>
      <c r="D50" s="38"/>
      <c r="E50" s="38"/>
      <c r="F50" s="38"/>
      <c r="G50" s="35"/>
      <c r="H50" s="35"/>
      <c r="I50" s="38"/>
      <c r="J50" s="38"/>
      <c r="K50" s="38"/>
      <c r="L50" s="38"/>
      <c r="M50" s="35"/>
      <c r="N50" s="35"/>
      <c r="O50" s="35"/>
    </row>
    <row r="51" spans="2:42" x14ac:dyDescent="0.45">
      <c r="B51" s="34"/>
      <c r="C51" s="25"/>
      <c r="D51" s="25"/>
      <c r="E51" s="25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2:42" ht="15.75" customHeight="1" x14ac:dyDescent="0.45">
      <c r="B52" s="207" t="s">
        <v>373</v>
      </c>
      <c r="C52" s="207"/>
      <c r="D52" s="12"/>
      <c r="E52" s="12"/>
      <c r="F52" s="241"/>
      <c r="G52" s="241"/>
      <c r="H52" s="241"/>
      <c r="I52" s="241"/>
      <c r="J52" s="241"/>
      <c r="K52" s="242"/>
      <c r="L52" s="242"/>
      <c r="M52" s="12"/>
      <c r="N52" s="208" t="s">
        <v>367</v>
      </c>
      <c r="O52" s="208"/>
    </row>
    <row r="53" spans="2:42" ht="20.100000000000001" customHeight="1" x14ac:dyDescent="0.45"/>
    <row r="54" spans="2:42" x14ac:dyDescent="0.45"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P54" s="41"/>
    </row>
    <row r="55" spans="2:42" x14ac:dyDescent="0.45"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spans="2:42" x14ac:dyDescent="0.45"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7"/>
      <c r="AE56" s="37"/>
      <c r="AF56" s="37"/>
    </row>
  </sheetData>
  <mergeCells count="25">
    <mergeCell ref="B31:G45"/>
    <mergeCell ref="K30:O30"/>
    <mergeCell ref="K31:O45"/>
    <mergeCell ref="B7:C7"/>
    <mergeCell ref="B2:B3"/>
    <mergeCell ref="C2:L3"/>
    <mergeCell ref="M2:O3"/>
    <mergeCell ref="C4:E4"/>
    <mergeCell ref="F4:K4"/>
    <mergeCell ref="C6:J6"/>
    <mergeCell ref="B12:G12"/>
    <mergeCell ref="B13:G27"/>
    <mergeCell ref="K12:O12"/>
    <mergeCell ref="K13:O27"/>
    <mergeCell ref="B30:G30"/>
    <mergeCell ref="B52:C52"/>
    <mergeCell ref="F52:J52"/>
    <mergeCell ref="K52:L52"/>
    <mergeCell ref="N52:O52"/>
    <mergeCell ref="B48:C48"/>
    <mergeCell ref="F48:K48"/>
    <mergeCell ref="M48:O48"/>
    <mergeCell ref="B49:C49"/>
    <mergeCell ref="F49:K49"/>
    <mergeCell ref="M49:O4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1185" r:id="rId4" name="Check Box 1">
              <controlPr defaultSize="0" autoFill="0" autoLine="0" autoPict="0">
                <anchor moveWithCells="1">
                  <from>
                    <xdr:col>3</xdr:col>
                    <xdr:colOff>238125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86" r:id="rId5" name="Check Box 2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87" r:id="rId6" name="Check Box 3">
              <controlPr defaultSize="0" autoFill="0" autoLine="0" autoPict="0">
                <anchor moveWithCells="1">
                  <from>
                    <xdr:col>3</xdr:col>
                    <xdr:colOff>238125</xdr:colOff>
                    <xdr:row>8</xdr:row>
                    <xdr:rowOff>9525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88" r:id="rId7" name="Check Box 4">
              <controlPr defaultSize="0" autoFill="0" autoLine="0" autoPict="0">
                <anchor moveWithCells="1">
                  <from>
                    <xdr:col>3</xdr:col>
                    <xdr:colOff>238125</xdr:colOff>
                    <xdr:row>9</xdr:row>
                    <xdr:rowOff>9525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89" r:id="rId8" name="Check Box 5">
              <controlPr defaultSize="0" autoFill="0" autoLine="0" autoPict="0">
                <anchor moveWithCells="1">
                  <from>
                    <xdr:col>11</xdr:col>
                    <xdr:colOff>238125</xdr:colOff>
                    <xdr:row>6</xdr:row>
                    <xdr:rowOff>9525</xdr:rowOff>
                  </from>
                  <to>
                    <xdr:col>11</xdr:col>
                    <xdr:colOff>419100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90" r:id="rId9" name="Check Box 6">
              <controlPr defaultSize="0" autoFill="0" autoLine="0" autoPict="0">
                <anchor moveWithCells="1">
                  <from>
                    <xdr:col>11</xdr:col>
                    <xdr:colOff>238125</xdr:colOff>
                    <xdr:row>7</xdr:row>
                    <xdr:rowOff>9525</xdr:rowOff>
                  </from>
                  <to>
                    <xdr:col>11</xdr:col>
                    <xdr:colOff>419100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91" r:id="rId10" name="Check Box 7">
              <controlPr defaultSize="0" autoFill="0" autoLine="0" autoPict="0">
                <anchor moveWithCells="1">
                  <from>
                    <xdr:col>11</xdr:col>
                    <xdr:colOff>238125</xdr:colOff>
                    <xdr:row>8</xdr:row>
                    <xdr:rowOff>9525</xdr:rowOff>
                  </from>
                  <to>
                    <xdr:col>11</xdr:col>
                    <xdr:colOff>419100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N56"/>
  <sheetViews>
    <sheetView view="pageBreakPreview" topLeftCell="A33" zoomScaleNormal="100" zoomScaleSheetLayoutView="100" workbookViewId="0">
      <selection activeCell="L49" sqref="L49:M49"/>
    </sheetView>
  </sheetViews>
  <sheetFormatPr baseColWidth="10" defaultRowHeight="18.75" x14ac:dyDescent="0.45"/>
  <cols>
    <col min="1" max="1" width="3.28515625" style="5" customWidth="1"/>
    <col min="2" max="2" width="19.28515625" style="5" customWidth="1"/>
    <col min="3" max="3" width="7.28515625" style="5" customWidth="1"/>
    <col min="4" max="4" width="6.140625" style="5" customWidth="1"/>
    <col min="5" max="5" width="7.7109375" style="5" customWidth="1"/>
    <col min="6" max="6" width="4.28515625" style="5" customWidth="1"/>
    <col min="7" max="7" width="5.140625" style="5" customWidth="1"/>
    <col min="8" max="8" width="4.5703125" style="5" customWidth="1"/>
    <col min="9" max="9" width="4.28515625" style="5" customWidth="1"/>
    <col min="10" max="10" width="7" style="5" customWidth="1"/>
    <col min="11" max="11" width="12.7109375" style="5" customWidth="1"/>
    <col min="12" max="12" width="10.140625" style="5" customWidth="1"/>
    <col min="13" max="13" width="18" style="5" customWidth="1"/>
    <col min="14" max="14" width="3.28515625" style="5" customWidth="1"/>
    <col min="15" max="16384" width="11.42578125" style="5"/>
  </cols>
  <sheetData>
    <row r="1" spans="2:23" ht="20.100000000000001" customHeight="1" x14ac:dyDescent="0.45"/>
    <row r="2" spans="2:23" ht="27.75" customHeight="1" x14ac:dyDescent="0.45">
      <c r="B2" s="221"/>
      <c r="C2" s="223" t="s">
        <v>354</v>
      </c>
      <c r="D2" s="189"/>
      <c r="E2" s="189"/>
      <c r="F2" s="189"/>
      <c r="G2" s="189"/>
      <c r="H2" s="189"/>
      <c r="I2" s="189"/>
      <c r="J2" s="189"/>
      <c r="K2" s="189"/>
      <c r="L2" s="225" t="s">
        <v>184</v>
      </c>
      <c r="M2" s="227" t="s">
        <v>184</v>
      </c>
    </row>
    <row r="3" spans="2:23" ht="27.75" customHeight="1" x14ac:dyDescent="0.45">
      <c r="B3" s="222"/>
      <c r="C3" s="224"/>
      <c r="D3" s="193"/>
      <c r="E3" s="193"/>
      <c r="F3" s="193"/>
      <c r="G3" s="193"/>
      <c r="H3" s="193"/>
      <c r="I3" s="193"/>
      <c r="J3" s="193"/>
      <c r="K3" s="193"/>
      <c r="L3" s="228"/>
      <c r="M3" s="230"/>
    </row>
    <row r="4" spans="2:23" x14ac:dyDescent="0.45">
      <c r="B4" s="6" t="s">
        <v>168</v>
      </c>
      <c r="C4" s="231">
        <f>SERIGRAFIA!C4</f>
        <v>0</v>
      </c>
      <c r="D4" s="232"/>
      <c r="E4" s="232"/>
      <c r="F4" s="233"/>
      <c r="G4" s="233"/>
      <c r="H4" s="233"/>
      <c r="I4" s="233"/>
      <c r="J4" s="233"/>
      <c r="K4" s="7"/>
      <c r="L4" s="8" t="s">
        <v>59</v>
      </c>
      <c r="M4" s="9" t="str">
        <f>REFLEXION!H6</f>
        <v>02/02/2020</v>
      </c>
    </row>
    <row r="5" spans="2:23" x14ac:dyDescent="0.45">
      <c r="B5" s="10" t="s">
        <v>169</v>
      </c>
      <c r="C5" s="11">
        <f>DATOS!E9</f>
        <v>0</v>
      </c>
      <c r="D5" s="12"/>
      <c r="E5" s="12"/>
      <c r="F5" s="13"/>
      <c r="G5" s="13"/>
      <c r="H5" s="13"/>
      <c r="I5" s="13"/>
      <c r="J5" s="13"/>
      <c r="K5" s="13"/>
      <c r="L5" s="13"/>
      <c r="M5" s="14"/>
      <c r="N5" s="15"/>
      <c r="O5" s="16"/>
      <c r="P5" s="16"/>
      <c r="Q5" s="16"/>
    </row>
    <row r="6" spans="2:23" x14ac:dyDescent="0.45">
      <c r="B6" s="17" t="s">
        <v>132</v>
      </c>
      <c r="C6" s="236" t="s">
        <v>170</v>
      </c>
      <c r="D6" s="236"/>
      <c r="E6" s="236"/>
      <c r="F6" s="236"/>
      <c r="G6" s="236"/>
      <c r="H6" s="236"/>
      <c r="I6" s="236"/>
      <c r="J6" s="18"/>
      <c r="K6" s="19"/>
      <c r="L6" s="18"/>
      <c r="M6" s="20"/>
      <c r="Q6" s="12"/>
      <c r="R6" s="12"/>
      <c r="S6" s="12"/>
      <c r="T6" s="12"/>
      <c r="U6" s="12"/>
    </row>
    <row r="7" spans="2:23" ht="15" customHeight="1" x14ac:dyDescent="0.45">
      <c r="B7" s="237" t="s">
        <v>133</v>
      </c>
      <c r="C7" s="233"/>
      <c r="D7" s="21"/>
      <c r="E7" s="22" t="s">
        <v>134</v>
      </c>
      <c r="F7" s="21"/>
      <c r="G7" s="21"/>
      <c r="H7" s="22"/>
      <c r="I7" s="22"/>
      <c r="J7" s="22"/>
      <c r="K7" s="22"/>
      <c r="L7" s="23" t="s">
        <v>140</v>
      </c>
      <c r="M7" s="23"/>
      <c r="Q7" s="12"/>
      <c r="R7" s="12"/>
      <c r="S7" s="12"/>
      <c r="T7" s="12"/>
      <c r="U7" s="12"/>
    </row>
    <row r="8" spans="2:23" ht="15" customHeight="1" x14ac:dyDescent="0.45">
      <c r="B8" s="24"/>
      <c r="C8" s="25"/>
      <c r="D8" s="25"/>
      <c r="E8" s="12" t="s">
        <v>135</v>
      </c>
      <c r="F8" s="25"/>
      <c r="G8" s="25"/>
      <c r="H8" s="12"/>
      <c r="I8" s="12"/>
      <c r="J8" s="12"/>
      <c r="K8" s="12"/>
      <c r="L8" s="12" t="s">
        <v>141</v>
      </c>
      <c r="M8" s="26"/>
      <c r="Q8" s="12"/>
      <c r="R8" s="12"/>
      <c r="S8" s="12"/>
      <c r="T8" s="12"/>
      <c r="U8" s="12"/>
    </row>
    <row r="9" spans="2:23" ht="15" customHeight="1" x14ac:dyDescent="0.45">
      <c r="B9" s="27"/>
      <c r="C9" s="12"/>
      <c r="D9" s="12"/>
      <c r="E9" s="12" t="s">
        <v>142</v>
      </c>
      <c r="F9" s="12"/>
      <c r="G9" s="12"/>
      <c r="H9" s="12"/>
      <c r="I9" s="12"/>
      <c r="J9" s="12"/>
      <c r="K9" s="12"/>
      <c r="L9" s="12" t="s">
        <v>143</v>
      </c>
      <c r="M9" s="26"/>
      <c r="Q9" s="12"/>
      <c r="R9" s="12"/>
      <c r="S9" s="12"/>
      <c r="T9" s="12"/>
      <c r="U9" s="12"/>
    </row>
    <row r="10" spans="2:23" ht="15" customHeight="1" x14ac:dyDescent="0.45">
      <c r="B10" s="28"/>
      <c r="C10" s="29"/>
      <c r="D10" s="29"/>
      <c r="E10" s="29" t="s">
        <v>144</v>
      </c>
      <c r="F10" s="29"/>
      <c r="G10" s="29"/>
      <c r="H10" s="29"/>
      <c r="I10" s="29"/>
      <c r="J10" s="29"/>
      <c r="K10" s="29"/>
      <c r="L10" s="29"/>
      <c r="M10" s="30"/>
      <c r="Q10" s="12"/>
      <c r="R10" s="12"/>
      <c r="S10" s="12"/>
      <c r="T10" s="12"/>
      <c r="U10" s="12"/>
    </row>
    <row r="11" spans="2:23" ht="15" customHeight="1" x14ac:dyDescent="0.4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Q11" s="12"/>
      <c r="R11" s="12"/>
      <c r="S11" s="12"/>
      <c r="T11" s="12"/>
      <c r="U11" s="12"/>
    </row>
    <row r="12" spans="2:23" ht="15" customHeight="1" x14ac:dyDescent="0.45">
      <c r="B12" s="12"/>
      <c r="C12" s="244" t="s">
        <v>352</v>
      </c>
      <c r="D12" s="245"/>
      <c r="E12" s="245"/>
      <c r="F12" s="245"/>
      <c r="G12" s="245"/>
      <c r="H12" s="245"/>
      <c r="I12" s="245"/>
      <c r="J12" s="245"/>
      <c r="K12" s="245"/>
      <c r="L12" s="246"/>
      <c r="M12" s="12"/>
      <c r="Q12" s="12"/>
      <c r="R12" s="12"/>
      <c r="S12" s="12"/>
      <c r="T12" s="12"/>
      <c r="U12" s="12"/>
    </row>
    <row r="13" spans="2:23" ht="15" customHeight="1" x14ac:dyDescent="0.45">
      <c r="B13" s="31"/>
      <c r="C13" s="261"/>
      <c r="D13" s="262"/>
      <c r="E13" s="262"/>
      <c r="F13" s="262"/>
      <c r="G13" s="262"/>
      <c r="H13" s="262"/>
      <c r="I13" s="262"/>
      <c r="J13" s="262"/>
      <c r="K13" s="262"/>
      <c r="L13" s="263"/>
      <c r="M13" s="31"/>
    </row>
    <row r="14" spans="2:23" ht="15" customHeight="1" x14ac:dyDescent="0.45">
      <c r="B14" s="25"/>
      <c r="C14" s="264"/>
      <c r="D14" s="265"/>
      <c r="E14" s="265"/>
      <c r="F14" s="265"/>
      <c r="G14" s="265"/>
      <c r="H14" s="265"/>
      <c r="I14" s="265"/>
      <c r="J14" s="265"/>
      <c r="K14" s="265"/>
      <c r="L14" s="266"/>
      <c r="M14" s="25"/>
      <c r="Q14" s="32" t="s">
        <v>275</v>
      </c>
      <c r="R14" s="32"/>
      <c r="S14" s="32"/>
      <c r="T14" s="32"/>
      <c r="U14" s="32"/>
      <c r="V14" s="32"/>
      <c r="W14" s="32"/>
    </row>
    <row r="15" spans="2:23" ht="13.5" customHeight="1" x14ac:dyDescent="0.45">
      <c r="B15" s="25"/>
      <c r="C15" s="264"/>
      <c r="D15" s="265"/>
      <c r="E15" s="265"/>
      <c r="F15" s="265"/>
      <c r="G15" s="265"/>
      <c r="H15" s="265"/>
      <c r="I15" s="265"/>
      <c r="J15" s="265"/>
      <c r="K15" s="265"/>
      <c r="L15" s="266"/>
      <c r="M15" s="25"/>
      <c r="Q15" s="33"/>
      <c r="R15" s="33"/>
      <c r="S15" s="33"/>
      <c r="T15" s="33"/>
      <c r="U15" s="33"/>
      <c r="V15" s="33"/>
      <c r="W15" s="33"/>
    </row>
    <row r="16" spans="2:23" ht="13.5" customHeight="1" x14ac:dyDescent="0.45">
      <c r="B16" s="25"/>
      <c r="C16" s="264"/>
      <c r="D16" s="265"/>
      <c r="E16" s="265"/>
      <c r="F16" s="265"/>
      <c r="G16" s="265"/>
      <c r="H16" s="265"/>
      <c r="I16" s="265"/>
      <c r="J16" s="265"/>
      <c r="K16" s="265"/>
      <c r="L16" s="266"/>
      <c r="M16" s="25"/>
      <c r="Q16" s="33"/>
      <c r="R16" s="33"/>
      <c r="S16" s="33"/>
      <c r="T16" s="33"/>
      <c r="U16" s="33"/>
      <c r="V16" s="33"/>
      <c r="W16" s="33"/>
    </row>
    <row r="17" spans="2:23" ht="13.5" customHeight="1" x14ac:dyDescent="0.45">
      <c r="B17" s="25"/>
      <c r="C17" s="264"/>
      <c r="D17" s="265"/>
      <c r="E17" s="265"/>
      <c r="F17" s="265"/>
      <c r="G17" s="265"/>
      <c r="H17" s="265"/>
      <c r="I17" s="265"/>
      <c r="J17" s="265"/>
      <c r="K17" s="265"/>
      <c r="L17" s="266"/>
      <c r="M17" s="25"/>
      <c r="Q17" s="33"/>
      <c r="R17" s="33"/>
      <c r="S17" s="33"/>
      <c r="T17" s="33"/>
      <c r="U17" s="33"/>
      <c r="V17" s="33"/>
      <c r="W17" s="33"/>
    </row>
    <row r="18" spans="2:23" ht="13.5" customHeight="1" x14ac:dyDescent="0.45">
      <c r="B18" s="25"/>
      <c r="C18" s="264"/>
      <c r="D18" s="265"/>
      <c r="E18" s="265"/>
      <c r="F18" s="265"/>
      <c r="G18" s="265"/>
      <c r="H18" s="265"/>
      <c r="I18" s="265"/>
      <c r="J18" s="265"/>
      <c r="K18" s="265"/>
      <c r="L18" s="266"/>
      <c r="M18" s="25"/>
      <c r="Q18" s="33"/>
      <c r="R18" s="33"/>
      <c r="S18" s="33"/>
      <c r="T18" s="33"/>
      <c r="U18" s="33"/>
      <c r="V18" s="33"/>
      <c r="W18" s="33"/>
    </row>
    <row r="19" spans="2:23" ht="13.5" customHeight="1" x14ac:dyDescent="0.45">
      <c r="B19" s="25"/>
      <c r="C19" s="264"/>
      <c r="D19" s="265"/>
      <c r="E19" s="265"/>
      <c r="F19" s="265"/>
      <c r="G19" s="265"/>
      <c r="H19" s="265"/>
      <c r="I19" s="265"/>
      <c r="J19" s="265"/>
      <c r="K19" s="265"/>
      <c r="L19" s="266"/>
      <c r="M19" s="25"/>
      <c r="Q19" s="33"/>
      <c r="R19" s="33"/>
      <c r="S19" s="33"/>
      <c r="T19" s="33"/>
      <c r="U19" s="33"/>
      <c r="V19" s="33"/>
      <c r="W19" s="33"/>
    </row>
    <row r="20" spans="2:23" ht="13.5" customHeight="1" x14ac:dyDescent="0.45">
      <c r="B20" s="25"/>
      <c r="C20" s="264"/>
      <c r="D20" s="265"/>
      <c r="E20" s="265"/>
      <c r="F20" s="265"/>
      <c r="G20" s="265"/>
      <c r="H20" s="265"/>
      <c r="I20" s="265"/>
      <c r="J20" s="265"/>
      <c r="K20" s="265"/>
      <c r="L20" s="266"/>
      <c r="M20" s="25"/>
      <c r="Q20" s="33"/>
      <c r="R20" s="33"/>
      <c r="S20" s="33"/>
      <c r="T20" s="33"/>
      <c r="U20" s="33"/>
      <c r="V20" s="33"/>
      <c r="W20" s="33"/>
    </row>
    <row r="21" spans="2:23" ht="13.5" customHeight="1" x14ac:dyDescent="0.45">
      <c r="B21" s="25"/>
      <c r="C21" s="264"/>
      <c r="D21" s="265"/>
      <c r="E21" s="265"/>
      <c r="F21" s="265"/>
      <c r="G21" s="265"/>
      <c r="H21" s="265"/>
      <c r="I21" s="265"/>
      <c r="J21" s="265"/>
      <c r="K21" s="265"/>
      <c r="L21" s="266"/>
      <c r="M21" s="25"/>
      <c r="Q21" s="33"/>
      <c r="R21" s="33"/>
      <c r="S21" s="33"/>
      <c r="T21" s="33"/>
      <c r="U21" s="33"/>
      <c r="V21" s="33"/>
      <c r="W21" s="33"/>
    </row>
    <row r="22" spans="2:23" ht="13.5" customHeight="1" x14ac:dyDescent="0.45">
      <c r="B22" s="25"/>
      <c r="C22" s="264"/>
      <c r="D22" s="265"/>
      <c r="E22" s="265"/>
      <c r="F22" s="265"/>
      <c r="G22" s="265"/>
      <c r="H22" s="265"/>
      <c r="I22" s="265"/>
      <c r="J22" s="265"/>
      <c r="K22" s="265"/>
      <c r="L22" s="266"/>
      <c r="M22" s="25"/>
      <c r="Q22" s="33"/>
      <c r="R22" s="33"/>
      <c r="S22" s="33"/>
      <c r="T22" s="33"/>
      <c r="U22" s="33"/>
      <c r="V22" s="33"/>
      <c r="W22" s="33"/>
    </row>
    <row r="23" spans="2:23" ht="13.5" customHeight="1" x14ac:dyDescent="0.45">
      <c r="B23" s="25"/>
      <c r="C23" s="264"/>
      <c r="D23" s="265"/>
      <c r="E23" s="265"/>
      <c r="F23" s="265"/>
      <c r="G23" s="265"/>
      <c r="H23" s="265"/>
      <c r="I23" s="265"/>
      <c r="J23" s="265"/>
      <c r="K23" s="265"/>
      <c r="L23" s="266"/>
      <c r="M23" s="25"/>
      <c r="Q23" s="33"/>
      <c r="R23" s="33"/>
      <c r="S23" s="33"/>
      <c r="T23" s="33"/>
      <c r="U23" s="33"/>
      <c r="V23" s="33"/>
      <c r="W23" s="33"/>
    </row>
    <row r="24" spans="2:23" ht="13.5" customHeight="1" x14ac:dyDescent="0.45">
      <c r="B24" s="25"/>
      <c r="C24" s="264"/>
      <c r="D24" s="265"/>
      <c r="E24" s="265"/>
      <c r="F24" s="265"/>
      <c r="G24" s="265"/>
      <c r="H24" s="265"/>
      <c r="I24" s="265"/>
      <c r="J24" s="265"/>
      <c r="K24" s="265"/>
      <c r="L24" s="266"/>
      <c r="M24" s="25"/>
      <c r="Q24" s="33"/>
      <c r="R24" s="33"/>
      <c r="S24" s="33"/>
      <c r="T24" s="33"/>
      <c r="U24" s="33"/>
      <c r="V24" s="33"/>
      <c r="W24" s="33"/>
    </row>
    <row r="25" spans="2:23" ht="13.5" customHeight="1" x14ac:dyDescent="0.45">
      <c r="B25" s="25"/>
      <c r="C25" s="264"/>
      <c r="D25" s="265"/>
      <c r="E25" s="265"/>
      <c r="F25" s="265"/>
      <c r="G25" s="265"/>
      <c r="H25" s="265"/>
      <c r="I25" s="265"/>
      <c r="J25" s="265"/>
      <c r="K25" s="265"/>
      <c r="L25" s="266"/>
      <c r="M25" s="25"/>
      <c r="Q25" s="33"/>
      <c r="R25" s="33"/>
      <c r="S25" s="33"/>
      <c r="T25" s="33"/>
      <c r="U25" s="33"/>
      <c r="V25" s="33"/>
      <c r="W25" s="33"/>
    </row>
    <row r="26" spans="2:23" ht="13.5" customHeight="1" x14ac:dyDescent="0.45">
      <c r="B26" s="25"/>
      <c r="C26" s="264"/>
      <c r="D26" s="265"/>
      <c r="E26" s="265"/>
      <c r="F26" s="265"/>
      <c r="G26" s="265"/>
      <c r="H26" s="265"/>
      <c r="I26" s="265"/>
      <c r="J26" s="265"/>
      <c r="K26" s="265"/>
      <c r="L26" s="266"/>
      <c r="M26" s="25"/>
      <c r="Q26" s="33"/>
      <c r="R26" s="33"/>
      <c r="S26" s="33"/>
      <c r="T26" s="33"/>
      <c r="U26" s="33"/>
      <c r="V26" s="33"/>
      <c r="W26" s="33"/>
    </row>
    <row r="27" spans="2:23" ht="13.5" customHeight="1" x14ac:dyDescent="0.45">
      <c r="B27" s="25"/>
      <c r="C27" s="267"/>
      <c r="D27" s="268"/>
      <c r="E27" s="268"/>
      <c r="F27" s="268"/>
      <c r="G27" s="268"/>
      <c r="H27" s="268"/>
      <c r="I27" s="268"/>
      <c r="J27" s="268"/>
      <c r="K27" s="268"/>
      <c r="L27" s="269"/>
      <c r="M27" s="25"/>
      <c r="Q27" s="33"/>
      <c r="R27" s="33"/>
      <c r="S27" s="33"/>
      <c r="T27" s="33"/>
      <c r="U27" s="33"/>
      <c r="V27" s="33"/>
      <c r="W27" s="33"/>
    </row>
    <row r="28" spans="2:23" ht="13.5" customHeight="1" x14ac:dyDescent="0.45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Q28" s="33"/>
      <c r="R28" s="33"/>
      <c r="S28" s="33"/>
      <c r="T28" s="33"/>
      <c r="U28" s="33"/>
      <c r="V28" s="33"/>
      <c r="W28" s="33"/>
    </row>
    <row r="29" spans="2:23" ht="13.5" customHeight="1" x14ac:dyDescent="0.45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Q29" s="33"/>
      <c r="R29" s="33"/>
      <c r="S29" s="33"/>
      <c r="T29" s="33"/>
      <c r="U29" s="33"/>
      <c r="V29" s="33"/>
      <c r="W29" s="33"/>
    </row>
    <row r="30" spans="2:23" ht="15" customHeight="1" x14ac:dyDescent="0.45">
      <c r="B30" s="25"/>
      <c r="C30" s="244" t="s">
        <v>353</v>
      </c>
      <c r="D30" s="245"/>
      <c r="E30" s="245"/>
      <c r="F30" s="245"/>
      <c r="G30" s="245"/>
      <c r="H30" s="245"/>
      <c r="I30" s="245"/>
      <c r="J30" s="245"/>
      <c r="K30" s="245"/>
      <c r="L30" s="246"/>
      <c r="M30" s="25"/>
      <c r="Q30" s="33"/>
      <c r="R30" s="33"/>
      <c r="S30" s="33"/>
      <c r="T30" s="33"/>
      <c r="U30" s="33"/>
      <c r="V30" s="33"/>
      <c r="W30" s="33"/>
    </row>
    <row r="31" spans="2:23" ht="13.5" customHeight="1" x14ac:dyDescent="0.45">
      <c r="B31" s="25"/>
      <c r="C31" s="270"/>
      <c r="D31" s="271"/>
      <c r="E31" s="271"/>
      <c r="F31" s="271"/>
      <c r="G31" s="271"/>
      <c r="H31" s="271"/>
      <c r="I31" s="271"/>
      <c r="J31" s="271"/>
      <c r="K31" s="271"/>
      <c r="L31" s="272"/>
      <c r="M31" s="25"/>
      <c r="Q31" s="33"/>
      <c r="R31" s="33"/>
      <c r="S31" s="33"/>
      <c r="T31" s="33"/>
      <c r="U31" s="33"/>
      <c r="V31" s="33"/>
      <c r="W31" s="33"/>
    </row>
    <row r="32" spans="2:23" ht="13.5" customHeight="1" x14ac:dyDescent="0.45">
      <c r="B32" s="25"/>
      <c r="C32" s="273"/>
      <c r="D32" s="274"/>
      <c r="E32" s="274"/>
      <c r="F32" s="274"/>
      <c r="G32" s="274"/>
      <c r="H32" s="274"/>
      <c r="I32" s="274"/>
      <c r="J32" s="274"/>
      <c r="K32" s="274"/>
      <c r="L32" s="275"/>
      <c r="M32" s="25"/>
      <c r="Q32" s="33"/>
      <c r="R32" s="33"/>
      <c r="S32" s="33"/>
      <c r="T32" s="33"/>
      <c r="U32" s="33"/>
      <c r="V32" s="33"/>
      <c r="W32" s="33"/>
    </row>
    <row r="33" spans="2:31" ht="13.5" customHeight="1" x14ac:dyDescent="0.45">
      <c r="B33" s="25"/>
      <c r="C33" s="273"/>
      <c r="D33" s="274"/>
      <c r="E33" s="274"/>
      <c r="F33" s="274"/>
      <c r="G33" s="274"/>
      <c r="H33" s="274"/>
      <c r="I33" s="274"/>
      <c r="J33" s="274"/>
      <c r="K33" s="274"/>
      <c r="L33" s="275"/>
      <c r="M33" s="25"/>
      <c r="Q33" s="33"/>
      <c r="R33" s="33"/>
      <c r="S33" s="33"/>
      <c r="T33" s="33"/>
      <c r="U33" s="33"/>
      <c r="V33" s="33"/>
      <c r="W33" s="33"/>
    </row>
    <row r="34" spans="2:31" ht="13.5" customHeight="1" x14ac:dyDescent="0.45">
      <c r="B34" s="25"/>
      <c r="C34" s="273"/>
      <c r="D34" s="274"/>
      <c r="E34" s="274"/>
      <c r="F34" s="274"/>
      <c r="G34" s="274"/>
      <c r="H34" s="274"/>
      <c r="I34" s="274"/>
      <c r="J34" s="274"/>
      <c r="K34" s="274"/>
      <c r="L34" s="275"/>
      <c r="M34" s="25"/>
      <c r="Q34" s="33"/>
      <c r="R34" s="33"/>
      <c r="S34" s="33"/>
      <c r="T34" s="33"/>
      <c r="U34" s="33"/>
      <c r="V34" s="33"/>
      <c r="W34" s="33"/>
    </row>
    <row r="35" spans="2:31" ht="13.5" customHeight="1" x14ac:dyDescent="0.45">
      <c r="B35" s="25"/>
      <c r="C35" s="273"/>
      <c r="D35" s="274"/>
      <c r="E35" s="274"/>
      <c r="F35" s="274"/>
      <c r="G35" s="274"/>
      <c r="H35" s="274"/>
      <c r="I35" s="274"/>
      <c r="J35" s="274"/>
      <c r="K35" s="274"/>
      <c r="L35" s="275"/>
      <c r="M35" s="25"/>
      <c r="Q35" s="33"/>
      <c r="R35" s="33"/>
      <c r="S35" s="33"/>
      <c r="T35" s="33"/>
      <c r="U35" s="33"/>
      <c r="V35" s="33"/>
      <c r="W35" s="33"/>
    </row>
    <row r="36" spans="2:31" ht="15" customHeight="1" x14ac:dyDescent="0.45">
      <c r="B36" s="25"/>
      <c r="C36" s="273"/>
      <c r="D36" s="274"/>
      <c r="E36" s="274"/>
      <c r="F36" s="274"/>
      <c r="G36" s="274"/>
      <c r="H36" s="274"/>
      <c r="I36" s="274"/>
      <c r="J36" s="274"/>
      <c r="K36" s="274"/>
      <c r="L36" s="275"/>
      <c r="M36" s="25"/>
      <c r="Q36" s="33"/>
      <c r="R36" s="33"/>
      <c r="S36" s="33"/>
      <c r="T36" s="33"/>
      <c r="U36" s="33"/>
      <c r="V36" s="33"/>
      <c r="W36" s="33"/>
    </row>
    <row r="37" spans="2:31" ht="15" customHeight="1" x14ac:dyDescent="0.45">
      <c r="B37" s="25"/>
      <c r="C37" s="273"/>
      <c r="D37" s="274"/>
      <c r="E37" s="274"/>
      <c r="F37" s="274"/>
      <c r="G37" s="274"/>
      <c r="H37" s="274"/>
      <c r="I37" s="274"/>
      <c r="J37" s="274"/>
      <c r="K37" s="274"/>
      <c r="L37" s="275"/>
      <c r="M37" s="25"/>
      <c r="Q37" s="33"/>
      <c r="R37" s="33"/>
      <c r="S37" s="33"/>
      <c r="T37" s="33"/>
      <c r="U37" s="33"/>
      <c r="V37" s="33"/>
      <c r="W37" s="33"/>
    </row>
    <row r="38" spans="2:31" ht="15" customHeight="1" x14ac:dyDescent="0.45">
      <c r="B38" s="25"/>
      <c r="C38" s="273"/>
      <c r="D38" s="274"/>
      <c r="E38" s="274"/>
      <c r="F38" s="274"/>
      <c r="G38" s="274"/>
      <c r="H38" s="274"/>
      <c r="I38" s="274"/>
      <c r="J38" s="274"/>
      <c r="K38" s="274"/>
      <c r="L38" s="275"/>
      <c r="M38" s="25"/>
      <c r="Q38" s="33"/>
      <c r="R38" s="33"/>
      <c r="S38" s="33"/>
      <c r="T38" s="33"/>
      <c r="U38" s="33"/>
      <c r="V38" s="33"/>
      <c r="W38" s="33"/>
    </row>
    <row r="39" spans="2:31" ht="15" customHeight="1" x14ac:dyDescent="0.45">
      <c r="B39" s="25"/>
      <c r="C39" s="273"/>
      <c r="D39" s="274"/>
      <c r="E39" s="274"/>
      <c r="F39" s="274"/>
      <c r="G39" s="274"/>
      <c r="H39" s="274"/>
      <c r="I39" s="274"/>
      <c r="J39" s="274"/>
      <c r="K39" s="274"/>
      <c r="L39" s="275"/>
      <c r="M39" s="25"/>
      <c r="Q39" s="33"/>
      <c r="R39" s="33"/>
      <c r="S39" s="33"/>
      <c r="T39" s="33"/>
      <c r="U39" s="33"/>
      <c r="V39" s="33"/>
      <c r="W39" s="33"/>
    </row>
    <row r="40" spans="2:31" ht="15" customHeight="1" x14ac:dyDescent="0.45">
      <c r="B40" s="25"/>
      <c r="C40" s="273"/>
      <c r="D40" s="274"/>
      <c r="E40" s="274"/>
      <c r="F40" s="274"/>
      <c r="G40" s="274"/>
      <c r="H40" s="274"/>
      <c r="I40" s="274"/>
      <c r="J40" s="274"/>
      <c r="K40" s="274"/>
      <c r="L40" s="275"/>
      <c r="M40" s="25"/>
      <c r="Q40" s="33"/>
      <c r="R40" s="33"/>
      <c r="S40" s="33"/>
      <c r="T40" s="33"/>
      <c r="U40" s="33"/>
      <c r="V40" s="33"/>
      <c r="W40" s="33"/>
    </row>
    <row r="41" spans="2:31" ht="15" customHeight="1" x14ac:dyDescent="0.45">
      <c r="B41" s="25"/>
      <c r="C41" s="273"/>
      <c r="D41" s="274"/>
      <c r="E41" s="274"/>
      <c r="F41" s="274"/>
      <c r="G41" s="274"/>
      <c r="H41" s="274"/>
      <c r="I41" s="274"/>
      <c r="J41" s="274"/>
      <c r="K41" s="274"/>
      <c r="L41" s="275"/>
      <c r="M41" s="25"/>
      <c r="Q41" s="33"/>
      <c r="R41" s="33"/>
      <c r="S41" s="33"/>
      <c r="T41" s="33"/>
      <c r="U41" s="33"/>
      <c r="V41" s="33"/>
      <c r="W41" s="33"/>
    </row>
    <row r="42" spans="2:31" ht="15" customHeight="1" x14ac:dyDescent="0.45">
      <c r="B42" s="25"/>
      <c r="C42" s="273"/>
      <c r="D42" s="274"/>
      <c r="E42" s="274"/>
      <c r="F42" s="274"/>
      <c r="G42" s="274"/>
      <c r="H42" s="274"/>
      <c r="I42" s="274"/>
      <c r="J42" s="274"/>
      <c r="K42" s="274"/>
      <c r="L42" s="275"/>
      <c r="M42" s="25"/>
      <c r="Q42" s="33"/>
      <c r="R42" s="33"/>
      <c r="S42" s="33"/>
      <c r="T42" s="33"/>
      <c r="U42" s="33"/>
      <c r="V42" s="33"/>
      <c r="W42" s="33"/>
    </row>
    <row r="43" spans="2:31" ht="15" customHeight="1" x14ac:dyDescent="0.45">
      <c r="B43" s="25"/>
      <c r="C43" s="273"/>
      <c r="D43" s="274"/>
      <c r="E43" s="274"/>
      <c r="F43" s="274"/>
      <c r="G43" s="274"/>
      <c r="H43" s="274"/>
      <c r="I43" s="274"/>
      <c r="J43" s="274"/>
      <c r="K43" s="274"/>
      <c r="L43" s="275"/>
      <c r="M43" s="25"/>
      <c r="Q43" s="33"/>
      <c r="R43" s="33"/>
      <c r="S43" s="33"/>
      <c r="T43" s="33"/>
      <c r="U43" s="33"/>
      <c r="V43" s="33"/>
      <c r="W43" s="33"/>
    </row>
    <row r="44" spans="2:31" ht="15" customHeight="1" x14ac:dyDescent="0.45">
      <c r="B44" s="25"/>
      <c r="C44" s="273"/>
      <c r="D44" s="274"/>
      <c r="E44" s="274"/>
      <c r="F44" s="274"/>
      <c r="G44" s="274"/>
      <c r="H44" s="274"/>
      <c r="I44" s="274"/>
      <c r="J44" s="274"/>
      <c r="K44" s="274"/>
      <c r="L44" s="275"/>
      <c r="M44" s="25"/>
      <c r="Q44" s="33"/>
      <c r="R44" s="33"/>
      <c r="S44" s="33"/>
      <c r="T44" s="33"/>
      <c r="U44" s="33"/>
      <c r="V44" s="33"/>
      <c r="W44" s="33"/>
    </row>
    <row r="45" spans="2:31" ht="15" customHeight="1" x14ac:dyDescent="0.45">
      <c r="B45" s="25"/>
      <c r="C45" s="276"/>
      <c r="D45" s="277"/>
      <c r="E45" s="277"/>
      <c r="F45" s="277"/>
      <c r="G45" s="277"/>
      <c r="H45" s="277"/>
      <c r="I45" s="277"/>
      <c r="J45" s="277"/>
      <c r="K45" s="277"/>
      <c r="L45" s="278"/>
      <c r="M45" s="25"/>
      <c r="Q45" s="33"/>
      <c r="R45" s="33"/>
      <c r="S45" s="33"/>
      <c r="T45" s="33"/>
      <c r="U45" s="33"/>
      <c r="V45" s="33"/>
      <c r="W45" s="33"/>
    </row>
    <row r="46" spans="2:31" ht="15" customHeight="1" x14ac:dyDescent="0.45">
      <c r="B46" s="34"/>
      <c r="C46" s="34"/>
      <c r="D46" s="34"/>
      <c r="E46" s="34"/>
      <c r="F46" s="34"/>
      <c r="G46" s="34"/>
      <c r="H46" s="35"/>
      <c r="I46" s="35"/>
      <c r="J46" s="34"/>
      <c r="K46" s="34"/>
      <c r="L46" s="34"/>
      <c r="M46" s="34"/>
    </row>
    <row r="47" spans="2:31" ht="15" customHeight="1" x14ac:dyDescent="0.45"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T47" s="36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</row>
    <row r="48" spans="2:31" ht="15" customHeight="1" x14ac:dyDescent="0.45">
      <c r="B48" s="238" t="s">
        <v>376</v>
      </c>
      <c r="C48" s="238"/>
      <c r="D48" s="37"/>
      <c r="E48" s="37"/>
      <c r="F48" s="239"/>
      <c r="G48" s="239"/>
      <c r="H48" s="239"/>
      <c r="I48" s="239"/>
      <c r="J48" s="239"/>
      <c r="K48" s="37"/>
      <c r="L48" s="238" t="s">
        <v>382</v>
      </c>
      <c r="M48" s="238"/>
    </row>
    <row r="49" spans="2:40" ht="15" customHeight="1" x14ac:dyDescent="0.45">
      <c r="B49" s="260" t="s">
        <v>58</v>
      </c>
      <c r="C49" s="260"/>
      <c r="D49" s="34"/>
      <c r="E49" s="34"/>
      <c r="F49" s="260" t="s">
        <v>348</v>
      </c>
      <c r="G49" s="260"/>
      <c r="H49" s="260"/>
      <c r="I49" s="260"/>
      <c r="J49" s="260"/>
      <c r="K49" s="34"/>
      <c r="L49" s="260" t="s">
        <v>125</v>
      </c>
      <c r="M49" s="260"/>
    </row>
    <row r="50" spans="2:40" ht="15" customHeight="1" x14ac:dyDescent="0.45">
      <c r="B50" s="35"/>
      <c r="C50" s="38"/>
      <c r="D50" s="38"/>
      <c r="E50" s="38"/>
      <c r="F50" s="38"/>
      <c r="G50" s="35"/>
      <c r="H50" s="35"/>
      <c r="I50" s="38"/>
      <c r="J50" s="38"/>
      <c r="K50" s="38"/>
      <c r="L50" s="35"/>
      <c r="M50" s="35"/>
    </row>
    <row r="51" spans="2:40" x14ac:dyDescent="0.45">
      <c r="B51" s="34"/>
      <c r="C51" s="25"/>
      <c r="D51" s="25"/>
      <c r="E51" s="25"/>
      <c r="F51" s="12"/>
      <c r="G51" s="12"/>
      <c r="H51" s="12"/>
      <c r="I51" s="12"/>
      <c r="J51" s="12"/>
      <c r="K51" s="12"/>
      <c r="L51" s="12"/>
      <c r="M51" s="12"/>
    </row>
    <row r="52" spans="2:40" ht="15.75" customHeight="1" x14ac:dyDescent="0.45">
      <c r="B52" s="207" t="s">
        <v>373</v>
      </c>
      <c r="C52" s="207"/>
      <c r="D52" s="12"/>
      <c r="E52" s="12"/>
      <c r="F52" s="241"/>
      <c r="G52" s="241"/>
      <c r="H52" s="241"/>
      <c r="I52" s="241"/>
      <c r="J52" s="242"/>
      <c r="K52" s="242"/>
      <c r="L52" s="12"/>
      <c r="M52" s="40" t="s">
        <v>368</v>
      </c>
    </row>
    <row r="53" spans="2:40" ht="20.100000000000001" customHeight="1" x14ac:dyDescent="0.45"/>
    <row r="54" spans="2:40" x14ac:dyDescent="0.45"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N54" s="41"/>
    </row>
    <row r="55" spans="2:40" x14ac:dyDescent="0.45"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 spans="2:40" x14ac:dyDescent="0.45"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7"/>
      <c r="AC56" s="37"/>
      <c r="AD56" s="37"/>
    </row>
  </sheetData>
  <mergeCells count="20">
    <mergeCell ref="C6:I6"/>
    <mergeCell ref="B2:B3"/>
    <mergeCell ref="C4:E4"/>
    <mergeCell ref="C2:K3"/>
    <mergeCell ref="L2:M3"/>
    <mergeCell ref="F4:J4"/>
    <mergeCell ref="B7:C7"/>
    <mergeCell ref="B48:C48"/>
    <mergeCell ref="F48:J48"/>
    <mergeCell ref="L48:M48"/>
    <mergeCell ref="B52:C52"/>
    <mergeCell ref="B49:C49"/>
    <mergeCell ref="F49:J49"/>
    <mergeCell ref="L49:M49"/>
    <mergeCell ref="C12:L12"/>
    <mergeCell ref="C13:L27"/>
    <mergeCell ref="C30:L30"/>
    <mergeCell ref="C31:L45"/>
    <mergeCell ref="F52:I52"/>
    <mergeCell ref="J52:K5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2209" r:id="rId4" name="Check Box 1">
              <controlPr defaultSize="0" autoFill="0" autoLine="0" autoPict="0">
                <anchor moveWithCells="1">
                  <from>
                    <xdr:col>3</xdr:col>
                    <xdr:colOff>238125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0" r:id="rId5" name="Check Box 2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1" r:id="rId6" name="Check Box 3">
              <controlPr defaultSize="0" autoFill="0" autoLine="0" autoPict="0">
                <anchor moveWithCells="1">
                  <from>
                    <xdr:col>3</xdr:col>
                    <xdr:colOff>238125</xdr:colOff>
                    <xdr:row>8</xdr:row>
                    <xdr:rowOff>9525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2" r:id="rId7" name="Check Box 4">
              <controlPr defaultSize="0" autoFill="0" autoLine="0" autoPict="0">
                <anchor moveWithCells="1">
                  <from>
                    <xdr:col>3</xdr:col>
                    <xdr:colOff>238125</xdr:colOff>
                    <xdr:row>9</xdr:row>
                    <xdr:rowOff>9525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3" r:id="rId8" name="Check Box 5">
              <controlPr defaultSize="0" autoFill="0" autoLine="0" autoPict="0">
                <anchor moveWithCells="1">
                  <from>
                    <xdr:col>10</xdr:col>
                    <xdr:colOff>628650</xdr:colOff>
                    <xdr:row>6</xdr:row>
                    <xdr:rowOff>9525</xdr:rowOff>
                  </from>
                  <to>
                    <xdr:col>10</xdr:col>
                    <xdr:colOff>819150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4" r:id="rId9" name="Check Box 6">
              <controlPr defaultSize="0" autoFill="0" autoLine="0" autoPict="0">
                <anchor moveWithCells="1">
                  <from>
                    <xdr:col>10</xdr:col>
                    <xdr:colOff>628650</xdr:colOff>
                    <xdr:row>7</xdr:row>
                    <xdr:rowOff>9525</xdr:rowOff>
                  </from>
                  <to>
                    <xdr:col>10</xdr:col>
                    <xdr:colOff>819150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15" r:id="rId10" name="Check Box 7">
              <controlPr defaultSize="0" autoFill="0" autoLine="0" autoPict="0">
                <anchor moveWithCells="1">
                  <from>
                    <xdr:col>10</xdr:col>
                    <xdr:colOff>628650</xdr:colOff>
                    <xdr:row>8</xdr:row>
                    <xdr:rowOff>9525</xdr:rowOff>
                  </from>
                  <to>
                    <xdr:col>10</xdr:col>
                    <xdr:colOff>819150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N39"/>
  <sheetViews>
    <sheetView view="pageBreakPreview" topLeftCell="A25" zoomScaleNormal="100" zoomScaleSheetLayoutView="100" workbookViewId="0">
      <selection activeCell="L32" sqref="L32:M32"/>
    </sheetView>
  </sheetViews>
  <sheetFormatPr baseColWidth="10" defaultRowHeight="18.75" x14ac:dyDescent="0.45"/>
  <cols>
    <col min="1" max="1" width="3.28515625" style="5" customWidth="1"/>
    <col min="2" max="2" width="19.28515625" style="5" customWidth="1"/>
    <col min="3" max="3" width="7.28515625" style="5" customWidth="1"/>
    <col min="4" max="4" width="6.140625" style="5" customWidth="1"/>
    <col min="5" max="5" width="7.7109375" style="5" customWidth="1"/>
    <col min="6" max="6" width="4.28515625" style="5" customWidth="1"/>
    <col min="7" max="7" width="5.140625" style="5" customWidth="1"/>
    <col min="8" max="8" width="4.5703125" style="5" customWidth="1"/>
    <col min="9" max="9" width="4.28515625" style="5" customWidth="1"/>
    <col min="10" max="10" width="7" style="5" customWidth="1"/>
    <col min="11" max="11" width="12.7109375" style="5" customWidth="1"/>
    <col min="12" max="12" width="10.140625" style="5" customWidth="1"/>
    <col min="13" max="13" width="18" style="5" customWidth="1"/>
    <col min="14" max="14" width="3.28515625" style="5" customWidth="1"/>
    <col min="15" max="16384" width="11.42578125" style="5"/>
  </cols>
  <sheetData>
    <row r="1" spans="2:23" ht="20.100000000000001" customHeight="1" x14ac:dyDescent="0.45"/>
    <row r="2" spans="2:23" ht="27.75" customHeight="1" x14ac:dyDescent="0.45">
      <c r="B2" s="221"/>
      <c r="C2" s="223" t="s">
        <v>370</v>
      </c>
      <c r="D2" s="189"/>
      <c r="E2" s="189"/>
      <c r="F2" s="189"/>
      <c r="G2" s="189"/>
      <c r="H2" s="189"/>
      <c r="I2" s="189"/>
      <c r="J2" s="189"/>
      <c r="K2" s="189"/>
      <c r="L2" s="225" t="s">
        <v>184</v>
      </c>
      <c r="M2" s="227" t="s">
        <v>184</v>
      </c>
    </row>
    <row r="3" spans="2:23" ht="27.75" customHeight="1" x14ac:dyDescent="0.45">
      <c r="B3" s="222"/>
      <c r="C3" s="224"/>
      <c r="D3" s="193"/>
      <c r="E3" s="193"/>
      <c r="F3" s="193"/>
      <c r="G3" s="193"/>
      <c r="H3" s="193"/>
      <c r="I3" s="193"/>
      <c r="J3" s="193"/>
      <c r="K3" s="193"/>
      <c r="L3" s="228"/>
      <c r="M3" s="230"/>
    </row>
    <row r="4" spans="2:23" x14ac:dyDescent="0.45">
      <c r="B4" s="6" t="s">
        <v>168</v>
      </c>
      <c r="C4" s="231">
        <f>PC!C4</f>
        <v>0</v>
      </c>
      <c r="D4" s="232"/>
      <c r="E4" s="232"/>
      <c r="F4" s="233"/>
      <c r="G4" s="233"/>
      <c r="H4" s="233"/>
      <c r="I4" s="233"/>
      <c r="J4" s="233"/>
      <c r="K4" s="7"/>
      <c r="L4" s="8" t="s">
        <v>59</v>
      </c>
      <c r="M4" s="9" t="str">
        <f>REFLEXION!H6</f>
        <v>02/02/2020</v>
      </c>
    </row>
    <row r="5" spans="2:23" x14ac:dyDescent="0.45">
      <c r="B5" s="10" t="s">
        <v>169</v>
      </c>
      <c r="C5" s="11">
        <f>DATOS!E9</f>
        <v>0</v>
      </c>
      <c r="D5" s="12"/>
      <c r="E5" s="12"/>
      <c r="F5" s="13"/>
      <c r="G5" s="13"/>
      <c r="H5" s="13"/>
      <c r="I5" s="13"/>
      <c r="J5" s="13"/>
      <c r="K5" s="13"/>
      <c r="L5" s="13"/>
      <c r="M5" s="14"/>
      <c r="N5" s="15"/>
      <c r="O5" s="16"/>
      <c r="P5" s="16"/>
      <c r="Q5" s="16"/>
    </row>
    <row r="6" spans="2:23" x14ac:dyDescent="0.45">
      <c r="B6" s="17" t="s">
        <v>132</v>
      </c>
      <c r="C6" s="236" t="s">
        <v>170</v>
      </c>
      <c r="D6" s="236"/>
      <c r="E6" s="236"/>
      <c r="F6" s="236"/>
      <c r="G6" s="236"/>
      <c r="H6" s="236"/>
      <c r="I6" s="236"/>
      <c r="J6" s="18"/>
      <c r="K6" s="19"/>
      <c r="L6" s="18"/>
      <c r="M6" s="20"/>
      <c r="Q6" s="12"/>
      <c r="R6" s="12"/>
      <c r="S6" s="12"/>
      <c r="T6" s="12"/>
      <c r="U6" s="12"/>
    </row>
    <row r="7" spans="2:23" ht="15" customHeight="1" x14ac:dyDescent="0.45">
      <c r="B7" s="237" t="s">
        <v>133</v>
      </c>
      <c r="C7" s="233"/>
      <c r="D7" s="21"/>
      <c r="E7" s="22" t="s">
        <v>134</v>
      </c>
      <c r="F7" s="21"/>
      <c r="G7" s="21"/>
      <c r="H7" s="22"/>
      <c r="I7" s="22"/>
      <c r="J7" s="22"/>
      <c r="K7" s="22"/>
      <c r="L7" s="23" t="s">
        <v>140</v>
      </c>
      <c r="M7" s="23"/>
      <c r="Q7" s="12"/>
      <c r="R7" s="12"/>
      <c r="S7" s="12"/>
      <c r="T7" s="12"/>
      <c r="U7" s="12"/>
    </row>
    <row r="8" spans="2:23" ht="15" customHeight="1" x14ac:dyDescent="0.45">
      <c r="B8" s="24"/>
      <c r="C8" s="25"/>
      <c r="D8" s="25"/>
      <c r="E8" s="12" t="s">
        <v>135</v>
      </c>
      <c r="F8" s="25"/>
      <c r="G8" s="25"/>
      <c r="H8" s="12"/>
      <c r="I8" s="12"/>
      <c r="J8" s="12"/>
      <c r="K8" s="12"/>
      <c r="L8" s="12" t="s">
        <v>141</v>
      </c>
      <c r="M8" s="26"/>
      <c r="Q8" s="12"/>
      <c r="R8" s="12"/>
      <c r="S8" s="12"/>
      <c r="T8" s="12"/>
      <c r="U8" s="12"/>
    </row>
    <row r="9" spans="2:23" ht="15" customHeight="1" x14ac:dyDescent="0.45">
      <c r="B9" s="27"/>
      <c r="C9" s="12"/>
      <c r="D9" s="12"/>
      <c r="E9" s="12" t="s">
        <v>142</v>
      </c>
      <c r="F9" s="12"/>
      <c r="G9" s="12"/>
      <c r="H9" s="12"/>
      <c r="I9" s="12"/>
      <c r="J9" s="12"/>
      <c r="K9" s="12"/>
      <c r="L9" s="12" t="s">
        <v>143</v>
      </c>
      <c r="M9" s="26"/>
      <c r="Q9" s="12"/>
      <c r="R9" s="12"/>
      <c r="S9" s="12"/>
      <c r="T9" s="12"/>
      <c r="U9" s="12"/>
    </row>
    <row r="10" spans="2:23" ht="15" customHeight="1" x14ac:dyDescent="0.45">
      <c r="B10" s="28"/>
      <c r="C10" s="29"/>
      <c r="D10" s="29"/>
      <c r="E10" s="29" t="s">
        <v>144</v>
      </c>
      <c r="F10" s="29"/>
      <c r="G10" s="29"/>
      <c r="H10" s="29"/>
      <c r="I10" s="29"/>
      <c r="J10" s="29"/>
      <c r="K10" s="29"/>
      <c r="L10" s="29"/>
      <c r="M10" s="30"/>
      <c r="Q10" s="12"/>
      <c r="R10" s="12"/>
      <c r="S10" s="12"/>
      <c r="T10" s="12"/>
      <c r="U10" s="12"/>
    </row>
    <row r="11" spans="2:23" ht="15" customHeight="1" x14ac:dyDescent="0.4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Q11" s="12"/>
      <c r="R11" s="12"/>
      <c r="S11" s="12"/>
      <c r="T11" s="12"/>
      <c r="U11" s="12"/>
    </row>
    <row r="12" spans="2:23" ht="15" customHeight="1" x14ac:dyDescent="0.45">
      <c r="B12" s="12"/>
      <c r="C12" s="244" t="s">
        <v>352</v>
      </c>
      <c r="D12" s="245"/>
      <c r="E12" s="245"/>
      <c r="F12" s="245"/>
      <c r="G12" s="245"/>
      <c r="H12" s="245"/>
      <c r="I12" s="245"/>
      <c r="J12" s="245"/>
      <c r="K12" s="245"/>
      <c r="L12" s="246"/>
      <c r="M12" s="12"/>
      <c r="Q12" s="12"/>
      <c r="R12" s="12"/>
      <c r="S12" s="12"/>
      <c r="T12" s="12"/>
      <c r="U12" s="12"/>
    </row>
    <row r="13" spans="2:23" ht="15" customHeight="1" x14ac:dyDescent="0.45">
      <c r="B13" s="31"/>
      <c r="C13" s="261"/>
      <c r="D13" s="262"/>
      <c r="E13" s="262"/>
      <c r="F13" s="262"/>
      <c r="G13" s="262"/>
      <c r="H13" s="262"/>
      <c r="I13" s="262"/>
      <c r="J13" s="262"/>
      <c r="K13" s="262"/>
      <c r="L13" s="263"/>
      <c r="M13" s="31"/>
    </row>
    <row r="14" spans="2:23" ht="15" customHeight="1" x14ac:dyDescent="0.45">
      <c r="B14" s="25"/>
      <c r="C14" s="264"/>
      <c r="D14" s="265"/>
      <c r="E14" s="265"/>
      <c r="F14" s="265"/>
      <c r="G14" s="265"/>
      <c r="H14" s="265"/>
      <c r="I14" s="265"/>
      <c r="J14" s="265"/>
      <c r="K14" s="265"/>
      <c r="L14" s="266"/>
      <c r="M14" s="25"/>
      <c r="Q14" s="32" t="s">
        <v>275</v>
      </c>
      <c r="R14" s="32"/>
      <c r="S14" s="32"/>
      <c r="T14" s="32"/>
      <c r="U14" s="32"/>
      <c r="V14" s="32"/>
      <c r="W14" s="32"/>
    </row>
    <row r="15" spans="2:23" ht="13.5" customHeight="1" x14ac:dyDescent="0.45">
      <c r="B15" s="25"/>
      <c r="C15" s="264"/>
      <c r="D15" s="265"/>
      <c r="E15" s="265"/>
      <c r="F15" s="265"/>
      <c r="G15" s="265"/>
      <c r="H15" s="265"/>
      <c r="I15" s="265"/>
      <c r="J15" s="265"/>
      <c r="K15" s="265"/>
      <c r="L15" s="266"/>
      <c r="M15" s="25"/>
      <c r="Q15" s="33"/>
      <c r="R15" s="33"/>
      <c r="S15" s="33"/>
      <c r="T15" s="33"/>
      <c r="U15" s="33"/>
      <c r="V15" s="33"/>
      <c r="W15" s="33"/>
    </row>
    <row r="16" spans="2:23" ht="13.5" customHeight="1" x14ac:dyDescent="0.45">
      <c r="B16" s="25"/>
      <c r="C16" s="264"/>
      <c r="D16" s="265"/>
      <c r="E16" s="265"/>
      <c r="F16" s="265"/>
      <c r="G16" s="265"/>
      <c r="H16" s="265"/>
      <c r="I16" s="265"/>
      <c r="J16" s="265"/>
      <c r="K16" s="265"/>
      <c r="L16" s="266"/>
      <c r="M16" s="25"/>
      <c r="Q16" s="33"/>
      <c r="R16" s="33"/>
      <c r="S16" s="33"/>
      <c r="T16" s="33"/>
      <c r="U16" s="33"/>
      <c r="V16" s="33"/>
      <c r="W16" s="33"/>
    </row>
    <row r="17" spans="2:31" ht="13.5" customHeight="1" x14ac:dyDescent="0.45">
      <c r="B17" s="25"/>
      <c r="C17" s="264"/>
      <c r="D17" s="265"/>
      <c r="E17" s="265"/>
      <c r="F17" s="265"/>
      <c r="G17" s="265"/>
      <c r="H17" s="265"/>
      <c r="I17" s="265"/>
      <c r="J17" s="265"/>
      <c r="K17" s="265"/>
      <c r="L17" s="266"/>
      <c r="M17" s="25"/>
      <c r="Q17" s="33"/>
      <c r="R17" s="33"/>
      <c r="S17" s="33"/>
      <c r="T17" s="33"/>
      <c r="U17" s="33"/>
      <c r="V17" s="33"/>
      <c r="W17" s="33"/>
    </row>
    <row r="18" spans="2:31" ht="13.5" customHeight="1" x14ac:dyDescent="0.45">
      <c r="B18" s="25"/>
      <c r="C18" s="264"/>
      <c r="D18" s="265"/>
      <c r="E18" s="265"/>
      <c r="F18" s="265"/>
      <c r="G18" s="265"/>
      <c r="H18" s="265"/>
      <c r="I18" s="265"/>
      <c r="J18" s="265"/>
      <c r="K18" s="265"/>
      <c r="L18" s="266"/>
      <c r="M18" s="25"/>
      <c r="Q18" s="33"/>
      <c r="R18" s="33"/>
      <c r="S18" s="33"/>
      <c r="T18" s="33"/>
      <c r="U18" s="33"/>
      <c r="V18" s="33"/>
      <c r="W18" s="33"/>
    </row>
    <row r="19" spans="2:31" ht="13.5" customHeight="1" x14ac:dyDescent="0.45">
      <c r="B19" s="25"/>
      <c r="C19" s="264"/>
      <c r="D19" s="265"/>
      <c r="E19" s="265"/>
      <c r="F19" s="265"/>
      <c r="G19" s="265"/>
      <c r="H19" s="265"/>
      <c r="I19" s="265"/>
      <c r="J19" s="265"/>
      <c r="K19" s="265"/>
      <c r="L19" s="266"/>
      <c r="M19" s="25"/>
      <c r="Q19" s="33"/>
      <c r="R19" s="33"/>
      <c r="S19" s="33"/>
      <c r="T19" s="33"/>
      <c r="U19" s="33"/>
      <c r="V19" s="33"/>
      <c r="W19" s="33"/>
    </row>
    <row r="20" spans="2:31" ht="13.5" customHeight="1" x14ac:dyDescent="0.45">
      <c r="B20" s="25"/>
      <c r="C20" s="264"/>
      <c r="D20" s="265"/>
      <c r="E20" s="265"/>
      <c r="F20" s="265"/>
      <c r="G20" s="265"/>
      <c r="H20" s="265"/>
      <c r="I20" s="265"/>
      <c r="J20" s="265"/>
      <c r="K20" s="265"/>
      <c r="L20" s="266"/>
      <c r="M20" s="25"/>
      <c r="Q20" s="33"/>
      <c r="R20" s="33"/>
      <c r="S20" s="33"/>
      <c r="T20" s="33"/>
      <c r="U20" s="33"/>
      <c r="V20" s="33"/>
      <c r="W20" s="33"/>
    </row>
    <row r="21" spans="2:31" ht="13.5" customHeight="1" x14ac:dyDescent="0.45">
      <c r="B21" s="25"/>
      <c r="C21" s="264"/>
      <c r="D21" s="265"/>
      <c r="E21" s="265"/>
      <c r="F21" s="265"/>
      <c r="G21" s="265"/>
      <c r="H21" s="265"/>
      <c r="I21" s="265"/>
      <c r="J21" s="265"/>
      <c r="K21" s="265"/>
      <c r="L21" s="266"/>
      <c r="M21" s="25"/>
      <c r="Q21" s="33"/>
      <c r="R21" s="33"/>
      <c r="S21" s="33"/>
      <c r="T21" s="33"/>
      <c r="U21" s="33"/>
      <c r="V21" s="33"/>
      <c r="W21" s="33"/>
    </row>
    <row r="22" spans="2:31" ht="13.5" customHeight="1" x14ac:dyDescent="0.45">
      <c r="B22" s="25"/>
      <c r="C22" s="264"/>
      <c r="D22" s="265"/>
      <c r="E22" s="265"/>
      <c r="F22" s="265"/>
      <c r="G22" s="265"/>
      <c r="H22" s="265"/>
      <c r="I22" s="265"/>
      <c r="J22" s="265"/>
      <c r="K22" s="265"/>
      <c r="L22" s="266"/>
      <c r="M22" s="25"/>
      <c r="Q22" s="33"/>
      <c r="R22" s="33"/>
      <c r="S22" s="33"/>
      <c r="T22" s="33"/>
      <c r="U22" s="33"/>
      <c r="V22" s="33"/>
      <c r="W22" s="33"/>
    </row>
    <row r="23" spans="2:31" ht="13.5" customHeight="1" x14ac:dyDescent="0.45">
      <c r="B23" s="25"/>
      <c r="C23" s="264"/>
      <c r="D23" s="265"/>
      <c r="E23" s="265"/>
      <c r="F23" s="265"/>
      <c r="G23" s="265"/>
      <c r="H23" s="265"/>
      <c r="I23" s="265"/>
      <c r="J23" s="265"/>
      <c r="K23" s="265"/>
      <c r="L23" s="266"/>
      <c r="M23" s="25"/>
      <c r="Q23" s="33"/>
      <c r="R23" s="33"/>
      <c r="S23" s="33"/>
      <c r="T23" s="33"/>
      <c r="U23" s="33"/>
      <c r="V23" s="33"/>
      <c r="W23" s="33"/>
    </row>
    <row r="24" spans="2:31" ht="13.5" customHeight="1" x14ac:dyDescent="0.45">
      <c r="B24" s="25"/>
      <c r="C24" s="264"/>
      <c r="D24" s="265"/>
      <c r="E24" s="265"/>
      <c r="F24" s="265"/>
      <c r="G24" s="265"/>
      <c r="H24" s="265"/>
      <c r="I24" s="265"/>
      <c r="J24" s="265"/>
      <c r="K24" s="265"/>
      <c r="L24" s="266"/>
      <c r="M24" s="25"/>
      <c r="Q24" s="33"/>
      <c r="R24" s="33"/>
      <c r="S24" s="33"/>
      <c r="T24" s="33"/>
      <c r="U24" s="33"/>
      <c r="V24" s="33"/>
      <c r="W24" s="33"/>
    </row>
    <row r="25" spans="2:31" ht="13.5" customHeight="1" x14ac:dyDescent="0.45">
      <c r="B25" s="25"/>
      <c r="C25" s="264"/>
      <c r="D25" s="265"/>
      <c r="E25" s="265"/>
      <c r="F25" s="265"/>
      <c r="G25" s="265"/>
      <c r="H25" s="265"/>
      <c r="I25" s="265"/>
      <c r="J25" s="265"/>
      <c r="K25" s="265"/>
      <c r="L25" s="266"/>
      <c r="M25" s="25"/>
      <c r="Q25" s="33"/>
      <c r="R25" s="33"/>
      <c r="S25" s="33"/>
      <c r="T25" s="33"/>
      <c r="U25" s="33"/>
      <c r="V25" s="33"/>
      <c r="W25" s="33"/>
    </row>
    <row r="26" spans="2:31" ht="13.5" customHeight="1" x14ac:dyDescent="0.45">
      <c r="B26" s="25"/>
      <c r="C26" s="264"/>
      <c r="D26" s="265"/>
      <c r="E26" s="265"/>
      <c r="F26" s="265"/>
      <c r="G26" s="265"/>
      <c r="H26" s="265"/>
      <c r="I26" s="265"/>
      <c r="J26" s="265"/>
      <c r="K26" s="265"/>
      <c r="L26" s="266"/>
      <c r="M26" s="25"/>
      <c r="Q26" s="33"/>
      <c r="R26" s="33"/>
      <c r="S26" s="33"/>
      <c r="T26" s="33"/>
      <c r="U26" s="33"/>
      <c r="V26" s="33"/>
      <c r="W26" s="33"/>
    </row>
    <row r="27" spans="2:31" ht="13.5" customHeight="1" x14ac:dyDescent="0.45">
      <c r="B27" s="25"/>
      <c r="C27" s="267"/>
      <c r="D27" s="268"/>
      <c r="E27" s="268"/>
      <c r="F27" s="268"/>
      <c r="G27" s="268"/>
      <c r="H27" s="268"/>
      <c r="I27" s="268"/>
      <c r="J27" s="268"/>
      <c r="K27" s="268"/>
      <c r="L27" s="269"/>
      <c r="M27" s="25"/>
      <c r="Q27" s="33"/>
      <c r="R27" s="33"/>
      <c r="S27" s="33"/>
      <c r="T27" s="33"/>
      <c r="U27" s="33"/>
      <c r="V27" s="33"/>
      <c r="W27" s="33"/>
    </row>
    <row r="28" spans="2:31" ht="13.5" customHeight="1" x14ac:dyDescent="0.45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Q28" s="33"/>
      <c r="R28" s="33"/>
      <c r="S28" s="33"/>
      <c r="T28" s="33"/>
      <c r="U28" s="33"/>
      <c r="V28" s="33"/>
      <c r="W28" s="33"/>
    </row>
    <row r="29" spans="2:31" ht="15" customHeight="1" x14ac:dyDescent="0.45">
      <c r="B29" s="34"/>
      <c r="C29" s="34"/>
      <c r="D29" s="34"/>
      <c r="E29" s="34"/>
      <c r="F29" s="34"/>
      <c r="G29" s="34"/>
      <c r="H29" s="35"/>
      <c r="I29" s="35"/>
      <c r="J29" s="34"/>
      <c r="K29" s="34"/>
      <c r="L29" s="34"/>
      <c r="M29" s="34"/>
    </row>
    <row r="30" spans="2:31" ht="15" customHeight="1" x14ac:dyDescent="0.4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T30" s="36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</row>
    <row r="31" spans="2:31" ht="15" customHeight="1" x14ac:dyDescent="0.45">
      <c r="B31" s="238" t="s">
        <v>376</v>
      </c>
      <c r="C31" s="238"/>
      <c r="D31" s="37"/>
      <c r="E31" s="37"/>
      <c r="F31" s="239"/>
      <c r="G31" s="239"/>
      <c r="H31" s="239"/>
      <c r="I31" s="239"/>
      <c r="J31" s="239"/>
      <c r="K31" s="37"/>
      <c r="L31" s="238" t="s">
        <v>382</v>
      </c>
      <c r="M31" s="238"/>
    </row>
    <row r="32" spans="2:31" ht="15" customHeight="1" x14ac:dyDescent="0.45">
      <c r="B32" s="260" t="s">
        <v>58</v>
      </c>
      <c r="C32" s="260"/>
      <c r="D32" s="34"/>
      <c r="E32" s="34"/>
      <c r="F32" s="260" t="s">
        <v>348</v>
      </c>
      <c r="G32" s="260"/>
      <c r="H32" s="260"/>
      <c r="I32" s="260"/>
      <c r="J32" s="260"/>
      <c r="K32" s="34"/>
      <c r="L32" s="260" t="s">
        <v>125</v>
      </c>
      <c r="M32" s="260"/>
    </row>
    <row r="33" spans="2:40" ht="15" customHeight="1" x14ac:dyDescent="0.45">
      <c r="B33" s="35"/>
      <c r="C33" s="38"/>
      <c r="D33" s="38"/>
      <c r="E33" s="38"/>
      <c r="F33" s="38"/>
      <c r="G33" s="35"/>
      <c r="H33" s="35"/>
      <c r="I33" s="38"/>
      <c r="J33" s="38"/>
      <c r="K33" s="38"/>
      <c r="L33" s="35"/>
      <c r="M33" s="35"/>
    </row>
    <row r="34" spans="2:40" x14ac:dyDescent="0.45">
      <c r="B34" s="34"/>
      <c r="C34" s="25"/>
      <c r="D34" s="25"/>
      <c r="E34" s="25"/>
      <c r="F34" s="12"/>
      <c r="G34" s="12"/>
      <c r="H34" s="12"/>
      <c r="I34" s="12"/>
      <c r="J34" s="12"/>
      <c r="K34" s="12"/>
      <c r="L34" s="12"/>
      <c r="M34" s="12"/>
    </row>
    <row r="35" spans="2:40" ht="15.75" customHeight="1" x14ac:dyDescent="0.45">
      <c r="B35" s="207" t="s">
        <v>373</v>
      </c>
      <c r="C35" s="207"/>
      <c r="D35" s="12"/>
      <c r="E35" s="12"/>
      <c r="F35" s="241"/>
      <c r="G35" s="241"/>
      <c r="H35" s="241"/>
      <c r="I35" s="241"/>
      <c r="J35" s="242"/>
      <c r="K35" s="242"/>
      <c r="L35" s="12"/>
      <c r="M35" s="40" t="s">
        <v>369</v>
      </c>
    </row>
    <row r="36" spans="2:40" ht="20.100000000000001" customHeight="1" x14ac:dyDescent="0.45"/>
    <row r="37" spans="2:40" x14ac:dyDescent="0.45"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N37" s="41"/>
    </row>
    <row r="38" spans="2:40" x14ac:dyDescent="0.45"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spans="2:40" x14ac:dyDescent="0.45"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7"/>
      <c r="AC39" s="37"/>
      <c r="AD39" s="37"/>
    </row>
  </sheetData>
  <mergeCells count="18">
    <mergeCell ref="C6:I6"/>
    <mergeCell ref="B2:B3"/>
    <mergeCell ref="C2:K3"/>
    <mergeCell ref="L2:M3"/>
    <mergeCell ref="C4:E4"/>
    <mergeCell ref="F4:J4"/>
    <mergeCell ref="B7:C7"/>
    <mergeCell ref="C12:L12"/>
    <mergeCell ref="C13:L27"/>
    <mergeCell ref="B31:C31"/>
    <mergeCell ref="F31:J31"/>
    <mergeCell ref="L31:M31"/>
    <mergeCell ref="B32:C32"/>
    <mergeCell ref="F32:J32"/>
    <mergeCell ref="L32:M32"/>
    <mergeCell ref="B35:C35"/>
    <mergeCell ref="F35:I35"/>
    <mergeCell ref="J35:K35"/>
  </mergeCells>
  <pageMargins left="0.7" right="0.7" top="0.75" bottom="0.75" header="0.3" footer="0.3"/>
  <pageSetup paperSize="9" scale="78" orientation="portrait" r:id="rId1"/>
  <colBreaks count="1" manualBreakCount="1">
    <brk id="14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281" r:id="rId4" name="Check Box 1">
              <controlPr defaultSize="0" autoFill="0" autoLine="0" autoPict="0">
                <anchor moveWithCells="1">
                  <from>
                    <xdr:col>3</xdr:col>
                    <xdr:colOff>238125</xdr:colOff>
                    <xdr:row>6</xdr:row>
                    <xdr:rowOff>9525</xdr:rowOff>
                  </from>
                  <to>
                    <xdr:col>4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2" r:id="rId5" name="Check Box 2">
              <controlPr defaultSize="0" autoFill="0" autoLine="0" autoPict="0">
                <anchor moveWithCells="1">
                  <from>
                    <xdr:col>3</xdr:col>
                    <xdr:colOff>238125</xdr:colOff>
                    <xdr:row>7</xdr:row>
                    <xdr:rowOff>9525</xdr:rowOff>
                  </from>
                  <to>
                    <xdr:col>4</xdr:col>
                    <xdr:colOff>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3" r:id="rId6" name="Check Box 3">
              <controlPr defaultSize="0" autoFill="0" autoLine="0" autoPict="0">
                <anchor moveWithCells="1">
                  <from>
                    <xdr:col>3</xdr:col>
                    <xdr:colOff>238125</xdr:colOff>
                    <xdr:row>8</xdr:row>
                    <xdr:rowOff>9525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4" r:id="rId7" name="Check Box 4">
              <controlPr defaultSize="0" autoFill="0" autoLine="0" autoPict="0">
                <anchor moveWithCells="1">
                  <from>
                    <xdr:col>3</xdr:col>
                    <xdr:colOff>238125</xdr:colOff>
                    <xdr:row>9</xdr:row>
                    <xdr:rowOff>9525</xdr:rowOff>
                  </from>
                  <to>
                    <xdr:col>4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5" r:id="rId8" name="Check Box 5">
              <controlPr defaultSize="0" autoFill="0" autoLine="0" autoPict="0">
                <anchor moveWithCells="1">
                  <from>
                    <xdr:col>10</xdr:col>
                    <xdr:colOff>628650</xdr:colOff>
                    <xdr:row>6</xdr:row>
                    <xdr:rowOff>9525</xdr:rowOff>
                  </from>
                  <to>
                    <xdr:col>10</xdr:col>
                    <xdr:colOff>819150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6" r:id="rId9" name="Check Box 6">
              <controlPr defaultSize="0" autoFill="0" autoLine="0" autoPict="0">
                <anchor moveWithCells="1">
                  <from>
                    <xdr:col>10</xdr:col>
                    <xdr:colOff>628650</xdr:colOff>
                    <xdr:row>7</xdr:row>
                    <xdr:rowOff>9525</xdr:rowOff>
                  </from>
                  <to>
                    <xdr:col>10</xdr:col>
                    <xdr:colOff>819150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287" r:id="rId10" name="Check Box 7">
              <controlPr defaultSize="0" autoFill="0" autoLine="0" autoPict="0">
                <anchor moveWithCells="1">
                  <from>
                    <xdr:col>10</xdr:col>
                    <xdr:colOff>628650</xdr:colOff>
                    <xdr:row>8</xdr:row>
                    <xdr:rowOff>9525</xdr:rowOff>
                  </from>
                  <to>
                    <xdr:col>10</xdr:col>
                    <xdr:colOff>819150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2"/>
  <dimension ref="A1:AB121"/>
  <sheetViews>
    <sheetView tabSelected="1" zoomScaleNormal="100" workbookViewId="0">
      <selection activeCell="F9" sqref="F9"/>
    </sheetView>
  </sheetViews>
  <sheetFormatPr baseColWidth="10" defaultRowHeight="18.75" x14ac:dyDescent="0.45"/>
  <cols>
    <col min="1" max="1" width="7.85546875" style="102" customWidth="1"/>
    <col min="2" max="2" width="52.140625" style="4" customWidth="1"/>
    <col min="3" max="3" width="47.140625" style="4" bestFit="1" customWidth="1"/>
    <col min="4" max="16384" width="11.42578125" style="4"/>
  </cols>
  <sheetData>
    <row r="1" spans="1:3" x14ac:dyDescent="0.45">
      <c r="A1" s="97" t="s">
        <v>60</v>
      </c>
      <c r="B1" s="97"/>
      <c r="C1" s="97"/>
    </row>
    <row r="2" spans="1:3" x14ac:dyDescent="0.45">
      <c r="A2" s="97" t="s">
        <v>61</v>
      </c>
      <c r="B2" s="98" t="s">
        <v>62</v>
      </c>
      <c r="C2" s="98" t="s">
        <v>63</v>
      </c>
    </row>
    <row r="3" spans="1:3" x14ac:dyDescent="0.45">
      <c r="A3" s="99">
        <v>0</v>
      </c>
      <c r="B3" s="100" t="s">
        <v>64</v>
      </c>
      <c r="C3" s="100" t="s">
        <v>64</v>
      </c>
    </row>
    <row r="4" spans="1:3" x14ac:dyDescent="0.45">
      <c r="A4" s="99">
        <v>1</v>
      </c>
      <c r="B4" s="100" t="s">
        <v>205</v>
      </c>
      <c r="C4" s="100" t="s">
        <v>65</v>
      </c>
    </row>
    <row r="5" spans="1:3" x14ac:dyDescent="0.45">
      <c r="A5" s="99">
        <v>2</v>
      </c>
      <c r="B5" s="100" t="s">
        <v>206</v>
      </c>
      <c r="C5" s="100" t="s">
        <v>66</v>
      </c>
    </row>
    <row r="6" spans="1:3" x14ac:dyDescent="0.45">
      <c r="A6" s="99">
        <v>3</v>
      </c>
      <c r="B6" s="100" t="s">
        <v>207</v>
      </c>
      <c r="C6" s="100" t="s">
        <v>67</v>
      </c>
    </row>
    <row r="7" spans="1:3" x14ac:dyDescent="0.45">
      <c r="A7" s="99">
        <v>4</v>
      </c>
      <c r="B7" s="100" t="s">
        <v>208</v>
      </c>
      <c r="C7" s="100" t="s">
        <v>68</v>
      </c>
    </row>
    <row r="8" spans="1:3" x14ac:dyDescent="0.45">
      <c r="A8" s="99">
        <v>5</v>
      </c>
      <c r="B8" s="100" t="s">
        <v>209</v>
      </c>
      <c r="C8" s="100" t="s">
        <v>69</v>
      </c>
    </row>
    <row r="9" spans="1:3" x14ac:dyDescent="0.45">
      <c r="A9" s="99">
        <v>6</v>
      </c>
      <c r="B9" s="100" t="s">
        <v>210</v>
      </c>
      <c r="C9" s="100" t="s">
        <v>70</v>
      </c>
    </row>
    <row r="10" spans="1:3" x14ac:dyDescent="0.45">
      <c r="A10" s="99">
        <v>7</v>
      </c>
      <c r="B10" s="100" t="s">
        <v>211</v>
      </c>
      <c r="C10" s="100" t="s">
        <v>71</v>
      </c>
    </row>
    <row r="11" spans="1:3" x14ac:dyDescent="0.45">
      <c r="A11" s="99">
        <v>8</v>
      </c>
      <c r="B11" s="100" t="s">
        <v>212</v>
      </c>
      <c r="C11" s="100" t="s">
        <v>72</v>
      </c>
    </row>
    <row r="12" spans="1:3" x14ac:dyDescent="0.45">
      <c r="A12" s="99">
        <v>9</v>
      </c>
      <c r="B12" s="100" t="s">
        <v>213</v>
      </c>
      <c r="C12" s="100" t="s">
        <v>73</v>
      </c>
    </row>
    <row r="13" spans="1:3" x14ac:dyDescent="0.45">
      <c r="A13" s="99">
        <v>10</v>
      </c>
      <c r="B13" s="100" t="s">
        <v>214</v>
      </c>
      <c r="C13" s="100" t="s">
        <v>74</v>
      </c>
    </row>
    <row r="14" spans="1:3" x14ac:dyDescent="0.45">
      <c r="A14" s="99">
        <v>11</v>
      </c>
      <c r="B14" s="100" t="s">
        <v>215</v>
      </c>
      <c r="C14" s="100" t="s">
        <v>75</v>
      </c>
    </row>
    <row r="15" spans="1:3" x14ac:dyDescent="0.45">
      <c r="A15" s="99">
        <v>12</v>
      </c>
      <c r="B15" s="100" t="s">
        <v>216</v>
      </c>
      <c r="C15" s="100" t="s">
        <v>76</v>
      </c>
    </row>
    <row r="16" spans="1:3" x14ac:dyDescent="0.45">
      <c r="A16" s="99">
        <v>13</v>
      </c>
      <c r="B16" s="100" t="s">
        <v>217</v>
      </c>
      <c r="C16" s="100" t="s">
        <v>77</v>
      </c>
    </row>
    <row r="17" spans="1:3" x14ac:dyDescent="0.45">
      <c r="A17" s="99">
        <v>14</v>
      </c>
      <c r="B17" s="100" t="s">
        <v>218</v>
      </c>
      <c r="C17" s="100" t="s">
        <v>78</v>
      </c>
    </row>
    <row r="18" spans="1:3" x14ac:dyDescent="0.45">
      <c r="A18" s="99">
        <v>15</v>
      </c>
      <c r="B18" s="100" t="s">
        <v>219</v>
      </c>
      <c r="C18" s="100" t="s">
        <v>79</v>
      </c>
    </row>
    <row r="19" spans="1:3" x14ac:dyDescent="0.45">
      <c r="A19" s="99">
        <v>16</v>
      </c>
      <c r="B19" s="100" t="s">
        <v>220</v>
      </c>
      <c r="C19" s="100" t="s">
        <v>80</v>
      </c>
    </row>
    <row r="20" spans="1:3" x14ac:dyDescent="0.45">
      <c r="A20" s="99">
        <v>17</v>
      </c>
      <c r="B20" s="100" t="s">
        <v>221</v>
      </c>
      <c r="C20" s="100" t="s">
        <v>81</v>
      </c>
    </row>
    <row r="21" spans="1:3" x14ac:dyDescent="0.45">
      <c r="A21" s="99">
        <v>18</v>
      </c>
      <c r="B21" s="100" t="s">
        <v>222</v>
      </c>
      <c r="C21" s="100" t="s">
        <v>82</v>
      </c>
    </row>
    <row r="22" spans="1:3" x14ac:dyDescent="0.45">
      <c r="A22" s="99">
        <v>19</v>
      </c>
      <c r="B22" s="100" t="s">
        <v>223</v>
      </c>
      <c r="C22" s="100" t="s">
        <v>83</v>
      </c>
    </row>
    <row r="23" spans="1:3" x14ac:dyDescent="0.45">
      <c r="A23" s="99">
        <v>20</v>
      </c>
      <c r="B23" s="100" t="s">
        <v>224</v>
      </c>
      <c r="C23" s="100" t="s">
        <v>84</v>
      </c>
    </row>
    <row r="24" spans="1:3" x14ac:dyDescent="0.45">
      <c r="A24" s="99">
        <v>21</v>
      </c>
      <c r="B24" s="100" t="s">
        <v>225</v>
      </c>
      <c r="C24" s="100" t="s">
        <v>85</v>
      </c>
    </row>
    <row r="25" spans="1:3" x14ac:dyDescent="0.45">
      <c r="A25" s="99">
        <v>22</v>
      </c>
      <c r="B25" s="100" t="s">
        <v>226</v>
      </c>
      <c r="C25" s="100" t="s">
        <v>86</v>
      </c>
    </row>
    <row r="26" spans="1:3" x14ac:dyDescent="0.45">
      <c r="A26" s="99">
        <v>23</v>
      </c>
      <c r="B26" s="100" t="s">
        <v>227</v>
      </c>
      <c r="C26" s="100" t="s">
        <v>87</v>
      </c>
    </row>
    <row r="27" spans="1:3" x14ac:dyDescent="0.45">
      <c r="A27" s="99">
        <v>24</v>
      </c>
      <c r="B27" s="100" t="s">
        <v>228</v>
      </c>
      <c r="C27" s="100" t="s">
        <v>88</v>
      </c>
    </row>
    <row r="28" spans="1:3" x14ac:dyDescent="0.45">
      <c r="A28" s="99">
        <v>25</v>
      </c>
      <c r="B28" s="100" t="s">
        <v>229</v>
      </c>
      <c r="C28" s="100" t="s">
        <v>89</v>
      </c>
    </row>
    <row r="29" spans="1:3" x14ac:dyDescent="0.45">
      <c r="A29" s="99">
        <v>26</v>
      </c>
      <c r="B29" s="100" t="s">
        <v>230</v>
      </c>
      <c r="C29" s="100" t="s">
        <v>90</v>
      </c>
    </row>
    <row r="30" spans="1:3" x14ac:dyDescent="0.45">
      <c r="A30" s="99">
        <v>27</v>
      </c>
      <c r="B30" s="100" t="s">
        <v>231</v>
      </c>
      <c r="C30" s="100" t="s">
        <v>91</v>
      </c>
    </row>
    <row r="31" spans="1:3" x14ac:dyDescent="0.45">
      <c r="A31" s="99">
        <v>28</v>
      </c>
      <c r="B31" s="100" t="s">
        <v>232</v>
      </c>
      <c r="C31" s="100" t="s">
        <v>92</v>
      </c>
    </row>
    <row r="32" spans="1:3" x14ac:dyDescent="0.45">
      <c r="A32" s="99">
        <v>29</v>
      </c>
      <c r="B32" s="100" t="s">
        <v>233</v>
      </c>
      <c r="C32" s="100" t="s">
        <v>93</v>
      </c>
    </row>
    <row r="33" spans="1:3" x14ac:dyDescent="0.45">
      <c r="A33" s="99">
        <v>30</v>
      </c>
      <c r="B33" s="100" t="s">
        <v>234</v>
      </c>
      <c r="C33" s="100" t="s">
        <v>94</v>
      </c>
    </row>
    <row r="34" spans="1:3" x14ac:dyDescent="0.45">
      <c r="A34" s="99">
        <v>31</v>
      </c>
      <c r="B34" s="100" t="s">
        <v>235</v>
      </c>
      <c r="C34" s="100" t="s">
        <v>111</v>
      </c>
    </row>
    <row r="35" spans="1:3" x14ac:dyDescent="0.45">
      <c r="A35" s="99">
        <v>32</v>
      </c>
      <c r="B35" s="100" t="s">
        <v>236</v>
      </c>
      <c r="C35" s="100" t="s">
        <v>95</v>
      </c>
    </row>
    <row r="36" spans="1:3" x14ac:dyDescent="0.45">
      <c r="A36" s="99">
        <v>33</v>
      </c>
      <c r="B36" s="100" t="s">
        <v>237</v>
      </c>
      <c r="C36" s="100" t="s">
        <v>96</v>
      </c>
    </row>
    <row r="37" spans="1:3" x14ac:dyDescent="0.45">
      <c r="A37" s="99">
        <v>34</v>
      </c>
      <c r="B37" s="100" t="s">
        <v>238</v>
      </c>
      <c r="C37" s="100" t="s">
        <v>97</v>
      </c>
    </row>
    <row r="38" spans="1:3" x14ac:dyDescent="0.45">
      <c r="A38" s="99">
        <v>35</v>
      </c>
      <c r="B38" s="100" t="s">
        <v>239</v>
      </c>
      <c r="C38" s="100" t="s">
        <v>98</v>
      </c>
    </row>
    <row r="39" spans="1:3" x14ac:dyDescent="0.45">
      <c r="A39" s="99">
        <v>36</v>
      </c>
      <c r="B39" s="100" t="s">
        <v>240</v>
      </c>
      <c r="C39" s="100" t="s">
        <v>99</v>
      </c>
    </row>
    <row r="40" spans="1:3" x14ac:dyDescent="0.45">
      <c r="A40" s="99">
        <v>37</v>
      </c>
      <c r="B40" s="100" t="s">
        <v>241</v>
      </c>
      <c r="C40" s="100" t="s">
        <v>100</v>
      </c>
    </row>
    <row r="41" spans="1:3" x14ac:dyDescent="0.45">
      <c r="A41" s="99">
        <v>38</v>
      </c>
      <c r="B41" s="100" t="s">
        <v>242</v>
      </c>
      <c r="C41" s="100" t="s">
        <v>101</v>
      </c>
    </row>
    <row r="42" spans="1:3" x14ac:dyDescent="0.45">
      <c r="A42" s="99">
        <v>39</v>
      </c>
      <c r="B42" s="100" t="s">
        <v>243</v>
      </c>
      <c r="C42" s="100" t="s">
        <v>102</v>
      </c>
    </row>
    <row r="43" spans="1:3" x14ac:dyDescent="0.45">
      <c r="A43" s="99">
        <v>40</v>
      </c>
      <c r="B43" s="100" t="s">
        <v>244</v>
      </c>
      <c r="C43" s="100" t="s">
        <v>103</v>
      </c>
    </row>
    <row r="44" spans="1:3" x14ac:dyDescent="0.45">
      <c r="A44" s="99">
        <v>41</v>
      </c>
      <c r="B44" s="100" t="s">
        <v>245</v>
      </c>
      <c r="C44" s="100" t="s">
        <v>104</v>
      </c>
    </row>
    <row r="45" spans="1:3" x14ac:dyDescent="0.45">
      <c r="A45" s="99">
        <v>42</v>
      </c>
      <c r="B45" s="100" t="s">
        <v>246</v>
      </c>
      <c r="C45" s="100" t="s">
        <v>105</v>
      </c>
    </row>
    <row r="46" spans="1:3" x14ac:dyDescent="0.45">
      <c r="A46" s="99">
        <v>43</v>
      </c>
      <c r="B46" s="100" t="s">
        <v>247</v>
      </c>
      <c r="C46" s="100" t="s">
        <v>106</v>
      </c>
    </row>
    <row r="47" spans="1:3" x14ac:dyDescent="0.45">
      <c r="A47" s="99">
        <v>44</v>
      </c>
      <c r="B47" s="100" t="s">
        <v>248</v>
      </c>
      <c r="C47" s="100" t="s">
        <v>107</v>
      </c>
    </row>
    <row r="48" spans="1:3" x14ac:dyDescent="0.45">
      <c r="A48" s="99">
        <v>45</v>
      </c>
      <c r="B48" s="100" t="s">
        <v>249</v>
      </c>
      <c r="C48" s="100" t="s">
        <v>108</v>
      </c>
    </row>
    <row r="49" spans="1:28" x14ac:dyDescent="0.45">
      <c r="A49" s="99">
        <v>46</v>
      </c>
      <c r="B49" s="100" t="s">
        <v>250</v>
      </c>
      <c r="C49" s="100" t="s">
        <v>109</v>
      </c>
    </row>
    <row r="50" spans="1:28" x14ac:dyDescent="0.45">
      <c r="A50" s="99">
        <v>47</v>
      </c>
      <c r="B50" s="100" t="s">
        <v>251</v>
      </c>
      <c r="C50" s="100" t="s">
        <v>110</v>
      </c>
    </row>
    <row r="51" spans="1:28" x14ac:dyDescent="0.45">
      <c r="A51" s="99">
        <v>48</v>
      </c>
      <c r="B51" s="100" t="s">
        <v>235</v>
      </c>
      <c r="C51" s="100" t="s">
        <v>111</v>
      </c>
    </row>
    <row r="52" spans="1:28" x14ac:dyDescent="0.45">
      <c r="A52" s="99">
        <v>49</v>
      </c>
      <c r="B52" s="100" t="s">
        <v>252</v>
      </c>
      <c r="C52" s="100" t="s">
        <v>112</v>
      </c>
    </row>
    <row r="53" spans="1:28" x14ac:dyDescent="0.45">
      <c r="A53" s="99">
        <v>50</v>
      </c>
      <c r="B53" s="100" t="s">
        <v>113</v>
      </c>
      <c r="C53" s="100" t="s">
        <v>114</v>
      </c>
    </row>
    <row r="54" spans="1:28" x14ac:dyDescent="0.45">
      <c r="A54" s="99">
        <v>51</v>
      </c>
      <c r="B54" s="100" t="s">
        <v>115</v>
      </c>
      <c r="C54" s="100" t="s">
        <v>116</v>
      </c>
    </row>
    <row r="55" spans="1:28" x14ac:dyDescent="0.45">
      <c r="A55" s="99">
        <v>52</v>
      </c>
      <c r="B55" s="100" t="s">
        <v>117</v>
      </c>
      <c r="C55" s="100" t="s">
        <v>118</v>
      </c>
    </row>
    <row r="56" spans="1:28" x14ac:dyDescent="0.45">
      <c r="A56" s="99">
        <v>53</v>
      </c>
      <c r="B56" s="101" t="s">
        <v>253</v>
      </c>
      <c r="C56" s="100" t="s">
        <v>119</v>
      </c>
    </row>
    <row r="57" spans="1:28" x14ac:dyDescent="0.45">
      <c r="A57" s="99">
        <v>54</v>
      </c>
      <c r="B57" s="100" t="s">
        <v>254</v>
      </c>
      <c r="C57" s="100"/>
    </row>
    <row r="58" spans="1:28" x14ac:dyDescent="0.45">
      <c r="A58" s="99">
        <v>55</v>
      </c>
      <c r="B58" s="100" t="s">
        <v>120</v>
      </c>
      <c r="C58" s="100" t="s">
        <v>45</v>
      </c>
    </row>
    <row r="59" spans="1:28" x14ac:dyDescent="0.45">
      <c r="A59" s="99">
        <v>56</v>
      </c>
      <c r="B59" s="100" t="s">
        <v>121</v>
      </c>
      <c r="C59" s="100" t="s">
        <v>122</v>
      </c>
    </row>
    <row r="60" spans="1:28" x14ac:dyDescent="0.45">
      <c r="A60" s="99">
        <v>57</v>
      </c>
      <c r="B60" s="100" t="s">
        <v>255</v>
      </c>
      <c r="C60" s="100" t="s">
        <v>128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</row>
    <row r="61" spans="1:28" x14ac:dyDescent="0.45">
      <c r="A61" s="99">
        <v>58</v>
      </c>
      <c r="B61" s="100" t="s">
        <v>256</v>
      </c>
      <c r="C61" s="100" t="s">
        <v>129</v>
      </c>
    </row>
    <row r="62" spans="1:28" x14ac:dyDescent="0.45">
      <c r="A62" s="99">
        <v>59</v>
      </c>
      <c r="B62" s="100" t="s">
        <v>257</v>
      </c>
      <c r="C62" s="100" t="s">
        <v>130</v>
      </c>
    </row>
    <row r="63" spans="1:28" x14ac:dyDescent="0.45">
      <c r="A63" s="99">
        <v>60</v>
      </c>
      <c r="B63" s="100" t="s">
        <v>258</v>
      </c>
      <c r="C63" s="100" t="s">
        <v>131</v>
      </c>
    </row>
    <row r="64" spans="1:28" x14ac:dyDescent="0.45">
      <c r="A64" s="99">
        <v>61</v>
      </c>
      <c r="B64" s="100" t="s">
        <v>259</v>
      </c>
      <c r="C64" s="100" t="s">
        <v>149</v>
      </c>
    </row>
    <row r="65" spans="1:3" x14ac:dyDescent="0.45">
      <c r="A65" s="99">
        <v>62</v>
      </c>
      <c r="B65" s="101" t="s">
        <v>151</v>
      </c>
      <c r="C65" s="101" t="s">
        <v>150</v>
      </c>
    </row>
    <row r="66" spans="1:3" x14ac:dyDescent="0.45">
      <c r="A66" s="99">
        <v>63</v>
      </c>
      <c r="B66" s="101" t="s">
        <v>260</v>
      </c>
      <c r="C66" s="101" t="s">
        <v>152</v>
      </c>
    </row>
    <row r="67" spans="1:3" x14ac:dyDescent="0.45">
      <c r="A67" s="99">
        <v>64</v>
      </c>
      <c r="B67" s="100" t="s">
        <v>261</v>
      </c>
      <c r="C67" s="100" t="s">
        <v>153</v>
      </c>
    </row>
    <row r="68" spans="1:3" x14ac:dyDescent="0.45">
      <c r="A68" s="99">
        <v>65</v>
      </c>
      <c r="B68" s="100" t="s">
        <v>156</v>
      </c>
      <c r="C68" s="100" t="s">
        <v>154</v>
      </c>
    </row>
    <row r="69" spans="1:3" x14ac:dyDescent="0.45">
      <c r="A69" s="102">
        <v>66</v>
      </c>
      <c r="B69" s="101" t="s">
        <v>155</v>
      </c>
      <c r="C69" s="100" t="s">
        <v>160</v>
      </c>
    </row>
    <row r="70" spans="1:3" x14ac:dyDescent="0.45">
      <c r="A70" s="99">
        <v>67</v>
      </c>
      <c r="B70" s="100" t="s">
        <v>157</v>
      </c>
      <c r="C70" s="100" t="s">
        <v>159</v>
      </c>
    </row>
    <row r="71" spans="1:3" x14ac:dyDescent="0.45">
      <c r="A71" s="99">
        <v>68</v>
      </c>
      <c r="B71" s="100" t="s">
        <v>262</v>
      </c>
      <c r="C71" s="100" t="s">
        <v>158</v>
      </c>
    </row>
    <row r="72" spans="1:3" x14ac:dyDescent="0.45">
      <c r="A72" s="99">
        <v>69</v>
      </c>
      <c r="B72" s="100" t="s">
        <v>190</v>
      </c>
      <c r="C72" s="100" t="s">
        <v>191</v>
      </c>
    </row>
    <row r="73" spans="1:3" x14ac:dyDescent="0.45">
      <c r="A73" s="99">
        <v>70</v>
      </c>
      <c r="B73" s="100" t="s">
        <v>263</v>
      </c>
      <c r="C73" s="100" t="s">
        <v>192</v>
      </c>
    </row>
    <row r="74" spans="1:3" x14ac:dyDescent="0.45">
      <c r="A74" s="99">
        <v>71</v>
      </c>
      <c r="B74" s="100" t="s">
        <v>193</v>
      </c>
      <c r="C74" s="100" t="s">
        <v>194</v>
      </c>
    </row>
    <row r="75" spans="1:3" x14ac:dyDescent="0.45">
      <c r="A75" s="102">
        <v>72</v>
      </c>
      <c r="B75" s="100" t="s">
        <v>195</v>
      </c>
      <c r="C75" s="100" t="s">
        <v>196</v>
      </c>
    </row>
    <row r="76" spans="1:3" x14ac:dyDescent="0.45">
      <c r="A76" s="102">
        <v>73</v>
      </c>
      <c r="B76" s="100" t="s">
        <v>197</v>
      </c>
      <c r="C76" s="100" t="s">
        <v>198</v>
      </c>
    </row>
    <row r="77" spans="1:3" x14ac:dyDescent="0.45">
      <c r="A77" s="99">
        <v>74</v>
      </c>
      <c r="B77" s="100" t="s">
        <v>199</v>
      </c>
      <c r="C77" s="100" t="s">
        <v>200</v>
      </c>
    </row>
    <row r="78" spans="1:3" x14ac:dyDescent="0.45">
      <c r="A78" s="102">
        <v>75</v>
      </c>
      <c r="B78" s="101" t="s">
        <v>201</v>
      </c>
      <c r="C78" s="101" t="s">
        <v>202</v>
      </c>
    </row>
    <row r="79" spans="1:3" x14ac:dyDescent="0.45">
      <c r="A79" s="102">
        <v>76</v>
      </c>
      <c r="B79" s="4" t="s">
        <v>264</v>
      </c>
      <c r="C79" s="4" t="s">
        <v>265</v>
      </c>
    </row>
    <row r="80" spans="1:3" x14ac:dyDescent="0.45">
      <c r="A80" s="102">
        <v>77</v>
      </c>
      <c r="B80" s="4" t="s">
        <v>266</v>
      </c>
      <c r="C80" s="4" t="s">
        <v>267</v>
      </c>
    </row>
    <row r="81" spans="1:3" x14ac:dyDescent="0.45">
      <c r="A81" s="102">
        <v>78</v>
      </c>
      <c r="B81" s="4" t="s">
        <v>268</v>
      </c>
      <c r="C81" s="4" t="s">
        <v>269</v>
      </c>
    </row>
    <row r="82" spans="1:3" x14ac:dyDescent="0.45">
      <c r="A82" s="102">
        <v>79</v>
      </c>
      <c r="B82" s="4" t="s">
        <v>270</v>
      </c>
      <c r="C82" s="4" t="s">
        <v>271</v>
      </c>
    </row>
    <row r="83" spans="1:3" x14ac:dyDescent="0.45">
      <c r="A83" s="102">
        <v>80</v>
      </c>
      <c r="B83" s="4" t="s">
        <v>272</v>
      </c>
      <c r="C83" s="4" t="s">
        <v>273</v>
      </c>
    </row>
    <row r="84" spans="1:3" x14ac:dyDescent="0.45">
      <c r="A84" s="102">
        <v>81</v>
      </c>
      <c r="B84" s="4" t="s">
        <v>276</v>
      </c>
      <c r="C84" s="4" t="s">
        <v>277</v>
      </c>
    </row>
    <row r="85" spans="1:3" x14ac:dyDescent="0.45">
      <c r="A85" s="102">
        <v>82</v>
      </c>
      <c r="B85" s="100" t="s">
        <v>278</v>
      </c>
      <c r="C85" s="100" t="s">
        <v>279</v>
      </c>
    </row>
    <row r="86" spans="1:3" x14ac:dyDescent="0.45">
      <c r="A86" s="102">
        <v>83</v>
      </c>
      <c r="B86" s="4" t="s">
        <v>280</v>
      </c>
      <c r="C86" s="4" t="s">
        <v>281</v>
      </c>
    </row>
    <row r="87" spans="1:3" x14ac:dyDescent="0.45">
      <c r="A87" s="102">
        <v>84</v>
      </c>
      <c r="B87" s="4" t="s">
        <v>282</v>
      </c>
      <c r="C87" s="4" t="s">
        <v>283</v>
      </c>
    </row>
    <row r="88" spans="1:3" x14ac:dyDescent="0.45">
      <c r="A88" s="102">
        <v>85</v>
      </c>
      <c r="B88" s="4" t="s">
        <v>284</v>
      </c>
      <c r="C88" s="4" t="s">
        <v>285</v>
      </c>
    </row>
    <row r="89" spans="1:3" x14ac:dyDescent="0.45">
      <c r="A89" s="102">
        <v>86</v>
      </c>
      <c r="B89" s="4" t="s">
        <v>286</v>
      </c>
      <c r="C89" s="4" t="s">
        <v>287</v>
      </c>
    </row>
    <row r="90" spans="1:3" x14ac:dyDescent="0.45">
      <c r="A90" s="102">
        <v>87</v>
      </c>
      <c r="B90" s="4" t="s">
        <v>288</v>
      </c>
      <c r="C90" s="4" t="s">
        <v>130</v>
      </c>
    </row>
    <row r="91" spans="1:3" x14ac:dyDescent="0.45">
      <c r="A91" s="102">
        <v>88</v>
      </c>
      <c r="B91" s="4" t="s">
        <v>289</v>
      </c>
      <c r="C91" s="4" t="s">
        <v>290</v>
      </c>
    </row>
    <row r="92" spans="1:3" x14ac:dyDescent="0.45">
      <c r="A92" s="102">
        <v>89</v>
      </c>
      <c r="B92" s="4" t="s">
        <v>291</v>
      </c>
      <c r="C92" s="4" t="s">
        <v>292</v>
      </c>
    </row>
    <row r="93" spans="1:3" x14ac:dyDescent="0.45">
      <c r="A93" s="102">
        <v>90</v>
      </c>
      <c r="B93" s="4" t="s">
        <v>293</v>
      </c>
      <c r="C93" s="4" t="s">
        <v>294</v>
      </c>
    </row>
    <row r="94" spans="1:3" x14ac:dyDescent="0.45">
      <c r="A94" s="102">
        <v>91</v>
      </c>
      <c r="B94" s="4" t="s">
        <v>295</v>
      </c>
      <c r="C94" s="4" t="s">
        <v>296</v>
      </c>
    </row>
    <row r="95" spans="1:3" x14ac:dyDescent="0.45">
      <c r="A95" s="102">
        <v>92</v>
      </c>
      <c r="B95" s="4" t="s">
        <v>297</v>
      </c>
      <c r="C95" s="4" t="s">
        <v>298</v>
      </c>
    </row>
    <row r="96" spans="1:3" x14ac:dyDescent="0.45">
      <c r="A96" s="102">
        <v>93</v>
      </c>
      <c r="B96" s="4" t="s">
        <v>299</v>
      </c>
      <c r="C96" s="4" t="s">
        <v>300</v>
      </c>
    </row>
    <row r="97" spans="1:3" x14ac:dyDescent="0.45">
      <c r="A97" s="102">
        <v>94</v>
      </c>
      <c r="B97" s="4" t="s">
        <v>301</v>
      </c>
      <c r="C97" s="4" t="s">
        <v>302</v>
      </c>
    </row>
    <row r="98" spans="1:3" x14ac:dyDescent="0.45">
      <c r="A98" s="102">
        <v>95</v>
      </c>
      <c r="B98" s="4" t="s">
        <v>308</v>
      </c>
      <c r="C98" s="4" t="s">
        <v>309</v>
      </c>
    </row>
    <row r="99" spans="1:3" x14ac:dyDescent="0.45">
      <c r="A99" s="102">
        <v>96</v>
      </c>
      <c r="B99" s="4" t="s">
        <v>310</v>
      </c>
      <c r="C99" s="4" t="s">
        <v>311</v>
      </c>
    </row>
    <row r="100" spans="1:3" x14ac:dyDescent="0.45">
      <c r="A100" s="102">
        <v>97</v>
      </c>
      <c r="B100" s="4" t="s">
        <v>312</v>
      </c>
      <c r="C100" s="4" t="s">
        <v>313</v>
      </c>
    </row>
    <row r="101" spans="1:3" x14ac:dyDescent="0.45">
      <c r="A101" s="102">
        <v>98</v>
      </c>
      <c r="B101" s="4" t="s">
        <v>314</v>
      </c>
      <c r="C101" s="4" t="s">
        <v>315</v>
      </c>
    </row>
    <row r="102" spans="1:3" x14ac:dyDescent="0.45">
      <c r="A102" s="102">
        <v>99</v>
      </c>
      <c r="B102" s="4" t="s">
        <v>316</v>
      </c>
      <c r="C102" s="4" t="s">
        <v>317</v>
      </c>
    </row>
    <row r="103" spans="1:3" x14ac:dyDescent="0.45">
      <c r="A103" s="102">
        <v>100</v>
      </c>
      <c r="B103" s="4" t="s">
        <v>318</v>
      </c>
      <c r="C103" s="4" t="s">
        <v>319</v>
      </c>
    </row>
    <row r="104" spans="1:3" x14ac:dyDescent="0.45">
      <c r="A104" s="102">
        <v>101</v>
      </c>
      <c r="B104" s="4" t="s">
        <v>320</v>
      </c>
      <c r="C104" s="4" t="s">
        <v>321</v>
      </c>
    </row>
    <row r="105" spans="1:3" x14ac:dyDescent="0.45">
      <c r="A105" s="102">
        <v>102</v>
      </c>
      <c r="B105" s="4" t="s">
        <v>322</v>
      </c>
      <c r="C105" s="4" t="s">
        <v>323</v>
      </c>
    </row>
    <row r="106" spans="1:3" x14ac:dyDescent="0.45">
      <c r="A106" s="102">
        <v>103</v>
      </c>
      <c r="B106" s="4" t="s">
        <v>324</v>
      </c>
      <c r="C106" s="4" t="s">
        <v>325</v>
      </c>
    </row>
    <row r="107" spans="1:3" x14ac:dyDescent="0.45">
      <c r="A107" s="102">
        <v>104</v>
      </c>
      <c r="B107" s="4" t="s">
        <v>326</v>
      </c>
      <c r="C107" s="4" t="s">
        <v>327</v>
      </c>
    </row>
    <row r="108" spans="1:3" x14ac:dyDescent="0.45">
      <c r="A108" s="102">
        <v>105</v>
      </c>
      <c r="B108" s="4" t="s">
        <v>328</v>
      </c>
      <c r="C108" s="4" t="s">
        <v>329</v>
      </c>
    </row>
    <row r="109" spans="1:3" x14ac:dyDescent="0.45">
      <c r="A109" s="102">
        <v>106</v>
      </c>
      <c r="B109" s="4" t="s">
        <v>330</v>
      </c>
      <c r="C109" s="4" t="s">
        <v>331</v>
      </c>
    </row>
    <row r="110" spans="1:3" x14ac:dyDescent="0.45">
      <c r="A110" s="102">
        <v>107</v>
      </c>
      <c r="B110" s="4" t="s">
        <v>332</v>
      </c>
      <c r="C110" s="4" t="s">
        <v>333</v>
      </c>
    </row>
    <row r="111" spans="1:3" x14ac:dyDescent="0.45">
      <c r="A111" s="102">
        <v>108</v>
      </c>
      <c r="B111" s="4" t="s">
        <v>334</v>
      </c>
      <c r="C111" s="4" t="s">
        <v>335</v>
      </c>
    </row>
    <row r="112" spans="1:3" x14ac:dyDescent="0.45">
      <c r="A112" s="102">
        <v>109</v>
      </c>
      <c r="B112" s="4" t="s">
        <v>336</v>
      </c>
      <c r="C112" s="4" t="s">
        <v>337</v>
      </c>
    </row>
    <row r="113" spans="1:3" x14ac:dyDescent="0.45">
      <c r="A113" s="102">
        <v>110</v>
      </c>
      <c r="B113" s="4" t="s">
        <v>338</v>
      </c>
      <c r="C113" s="4" t="s">
        <v>339</v>
      </c>
    </row>
    <row r="114" spans="1:3" x14ac:dyDescent="0.45">
      <c r="A114" s="102">
        <v>111</v>
      </c>
      <c r="B114" s="4" t="s">
        <v>340</v>
      </c>
      <c r="C114" s="4" t="s">
        <v>341</v>
      </c>
    </row>
    <row r="115" spans="1:3" x14ac:dyDescent="0.45">
      <c r="A115" s="102">
        <v>112</v>
      </c>
      <c r="B115" s="4" t="s">
        <v>342</v>
      </c>
      <c r="C115" s="4" t="s">
        <v>343</v>
      </c>
    </row>
    <row r="116" spans="1:3" x14ac:dyDescent="0.45">
      <c r="A116" s="102">
        <v>113</v>
      </c>
      <c r="B116" s="4" t="s">
        <v>344</v>
      </c>
      <c r="C116" s="4" t="s">
        <v>345</v>
      </c>
    </row>
    <row r="117" spans="1:3" x14ac:dyDescent="0.45">
      <c r="A117" s="102">
        <v>114</v>
      </c>
      <c r="B117" s="4" t="s">
        <v>346</v>
      </c>
      <c r="C117" s="4" t="s">
        <v>347</v>
      </c>
    </row>
    <row r="118" spans="1:3" x14ac:dyDescent="0.45">
      <c r="A118" s="102">
        <v>115</v>
      </c>
      <c r="B118" s="4" t="s">
        <v>355</v>
      </c>
      <c r="C118" s="4" t="s">
        <v>356</v>
      </c>
    </row>
    <row r="119" spans="1:3" x14ac:dyDescent="0.45">
      <c r="A119" s="102">
        <v>116</v>
      </c>
      <c r="B119" s="4" t="s">
        <v>357</v>
      </c>
      <c r="C119" s="4" t="s">
        <v>358</v>
      </c>
    </row>
    <row r="120" spans="1:3" x14ac:dyDescent="0.45">
      <c r="A120" s="102">
        <v>117</v>
      </c>
      <c r="B120" s="4" t="s">
        <v>359</v>
      </c>
      <c r="C120" s="4" t="s">
        <v>360</v>
      </c>
    </row>
    <row r="121" spans="1:3" x14ac:dyDescent="0.45">
      <c r="A121" s="102">
        <v>118</v>
      </c>
      <c r="B121" s="4" t="s">
        <v>361</v>
      </c>
      <c r="C121" s="4" t="s">
        <v>362</v>
      </c>
    </row>
  </sheetData>
  <autoFilter ref="A2:C121" xr:uid="{00000000-0009-0000-0000-000007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B2"/>
  <sheetViews>
    <sheetView workbookViewId="0">
      <selection activeCell="B2" sqref="B2"/>
    </sheetView>
  </sheetViews>
  <sheetFormatPr baseColWidth="10" defaultRowHeight="12.75" x14ac:dyDescent="0.2"/>
  <sheetData>
    <row r="1" spans="1:2" x14ac:dyDescent="0.2">
      <c r="A1" t="s">
        <v>22</v>
      </c>
      <c r="B1">
        <v>2</v>
      </c>
    </row>
    <row r="2" spans="1:2" x14ac:dyDescent="0.2">
      <c r="A2" t="s">
        <v>23</v>
      </c>
      <c r="B2">
        <f>COUNTA(#REF!)</f>
        <v>1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4"/>
  <dimension ref="A1:A7"/>
  <sheetViews>
    <sheetView workbookViewId="0">
      <selection activeCell="B3" sqref="B3:E49"/>
    </sheetView>
  </sheetViews>
  <sheetFormatPr baseColWidth="10" defaultRowHeight="12.75" x14ac:dyDescent="0.2"/>
  <sheetData>
    <row r="1" spans="1:1" x14ac:dyDescent="0.2">
      <c r="A1" t="s">
        <v>4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26</v>
      </c>
    </row>
    <row r="7" spans="1:1" x14ac:dyDescent="0.2">
      <c r="A7" s="3" t="s">
        <v>24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3"/>
  <dimension ref="A1:D10"/>
  <sheetViews>
    <sheetView workbookViewId="0">
      <selection activeCell="B49" sqref="B49"/>
    </sheetView>
  </sheetViews>
  <sheetFormatPr baseColWidth="10" defaultRowHeight="12.75" x14ac:dyDescent="0.2"/>
  <cols>
    <col min="1" max="1" width="32.85546875" style="1" customWidth="1"/>
    <col min="2" max="2" width="28.85546875" customWidth="1"/>
    <col min="3" max="3" width="26.42578125" style="1" customWidth="1"/>
    <col min="4" max="4" width="38.28515625" bestFit="1" customWidth="1"/>
    <col min="5" max="5" width="9.140625" customWidth="1"/>
    <col min="6" max="6" width="12.28515625" bestFit="1" customWidth="1"/>
  </cols>
  <sheetData>
    <row r="1" spans="1:4" x14ac:dyDescent="0.2">
      <c r="A1" s="1" t="s">
        <v>5</v>
      </c>
      <c r="B1">
        <v>15</v>
      </c>
      <c r="C1" s="1" t="s">
        <v>12</v>
      </c>
      <c r="D1" t="s">
        <v>29</v>
      </c>
    </row>
    <row r="2" spans="1:4" x14ac:dyDescent="0.2">
      <c r="A2" s="1" t="s">
        <v>6</v>
      </c>
      <c r="B2">
        <v>4</v>
      </c>
      <c r="C2" s="1" t="s">
        <v>13</v>
      </c>
      <c r="D2" t="s">
        <v>30</v>
      </c>
    </row>
    <row r="3" spans="1:4" x14ac:dyDescent="0.2">
      <c r="A3" s="1" t="s">
        <v>7</v>
      </c>
      <c r="B3">
        <v>8</v>
      </c>
      <c r="C3" s="1" t="s">
        <v>14</v>
      </c>
      <c r="D3" t="s">
        <v>30</v>
      </c>
    </row>
    <row r="4" spans="1:4" x14ac:dyDescent="0.2">
      <c r="A4" s="1" t="s">
        <v>8</v>
      </c>
      <c r="B4">
        <v>65</v>
      </c>
      <c r="C4" s="1" t="s">
        <v>15</v>
      </c>
      <c r="D4" t="s">
        <v>32</v>
      </c>
    </row>
    <row r="5" spans="1:4" x14ac:dyDescent="0.2">
      <c r="A5" s="1" t="s">
        <v>9</v>
      </c>
      <c r="B5">
        <v>640</v>
      </c>
      <c r="C5" s="1" t="s">
        <v>16</v>
      </c>
      <c r="D5" t="s">
        <v>28</v>
      </c>
    </row>
    <row r="6" spans="1:4" x14ac:dyDescent="0.2">
      <c r="A6" s="1" t="s">
        <v>11</v>
      </c>
      <c r="B6">
        <v>40</v>
      </c>
      <c r="C6" s="1" t="s">
        <v>17</v>
      </c>
      <c r="D6" t="s">
        <v>27</v>
      </c>
    </row>
    <row r="7" spans="1:4" x14ac:dyDescent="0.2">
      <c r="A7" s="1" t="s">
        <v>10</v>
      </c>
      <c r="B7">
        <v>450</v>
      </c>
      <c r="C7" s="1" t="s">
        <v>18</v>
      </c>
      <c r="D7" t="s">
        <v>123</v>
      </c>
    </row>
    <row r="8" spans="1:4" x14ac:dyDescent="0.2">
      <c r="A8" s="1" t="s">
        <v>25</v>
      </c>
      <c r="B8" t="s">
        <v>124</v>
      </c>
      <c r="C8" s="1" t="s">
        <v>19</v>
      </c>
      <c r="D8" s="2" t="s">
        <v>31</v>
      </c>
    </row>
    <row r="9" spans="1:4" x14ac:dyDescent="0.2">
      <c r="C9" s="1" t="s">
        <v>20</v>
      </c>
      <c r="D9" t="s">
        <v>21</v>
      </c>
    </row>
    <row r="10" spans="1:4" x14ac:dyDescent="0.2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8</vt:i4>
      </vt:variant>
    </vt:vector>
  </HeadingPairs>
  <TitlesOfParts>
    <vt:vector size="19" baseType="lpstr">
      <vt:lpstr>DATOS</vt:lpstr>
      <vt:lpstr>REFLEXION</vt:lpstr>
      <vt:lpstr>ACCESORIOS</vt:lpstr>
      <vt:lpstr>BN</vt:lpstr>
      <vt:lpstr>SERIGRAFIA</vt:lpstr>
      <vt:lpstr>PC</vt:lpstr>
      <vt:lpstr>STICKER ADUANA</vt:lpstr>
      <vt:lpstr>Lista Defeitos</vt:lpstr>
      <vt:lpstr>VARIABLES</vt:lpstr>
      <vt:lpstr>POSICIONES</vt:lpstr>
      <vt:lpstr>parametros</vt:lpstr>
      <vt:lpstr>ACCESORIOS!Área_de_impresión</vt:lpstr>
      <vt:lpstr>BN!Área_de_impresión</vt:lpstr>
      <vt:lpstr>DATOS!Área_de_impresión</vt:lpstr>
      <vt:lpstr>PC!Área_de_impresión</vt:lpstr>
      <vt:lpstr>REFLEXION!Área_de_impresión</vt:lpstr>
      <vt:lpstr>SERIGRAFIA!Área_de_impresión</vt:lpstr>
      <vt:lpstr>'STICKER ADUANA'!Área_de_impresión</vt:lpstr>
      <vt:lpstr>HOLA</vt:lpstr>
    </vt:vector>
  </TitlesOfParts>
  <Company>A.G.P. de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Kovalski</dc:creator>
  <cp:lastModifiedBy>Lina Tovar Bermudez</cp:lastModifiedBy>
  <cp:lastPrinted>2021-01-05T20:41:56Z</cp:lastPrinted>
  <dcterms:created xsi:type="dcterms:W3CDTF">2003-06-21T14:33:30Z</dcterms:created>
  <dcterms:modified xsi:type="dcterms:W3CDTF">2023-11-30T22:57:45Z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